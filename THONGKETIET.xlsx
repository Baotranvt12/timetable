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aotran/Downloads/TKB-26-27/"/>
    </mc:Choice>
  </mc:AlternateContent>
  <xr:revisionPtr revIDLastSave="0" documentId="8_{BA92CDC5-82B1-C043-AA28-3B0AEA1F292D}" xr6:coauthVersionLast="47" xr6:coauthVersionMax="47" xr10:uidLastSave="{00000000-0000-0000-0000-000000000000}"/>
  <bookViews>
    <workbookView xWindow="780" yWindow="1100" windowWidth="27640" windowHeight="15680" xr2:uid="{4F56F0BD-3183-4542-99FA-5DB0FB32DFBB}"/>
  </bookViews>
  <sheets>
    <sheet name="04_THONG_KE_TIET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B54" i="1" l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B5" i="1"/>
  <c r="AB55" i="1" s="1"/>
  <c r="AA5" i="1"/>
  <c r="AA55" i="1" s="1"/>
  <c r="Z5" i="1"/>
  <c r="Z55" i="1" s="1"/>
  <c r="Y5" i="1"/>
  <c r="Y55" i="1" s="1"/>
  <c r="X5" i="1"/>
  <c r="X55" i="1" s="1"/>
  <c r="W5" i="1"/>
  <c r="W55" i="1" s="1"/>
  <c r="V5" i="1"/>
  <c r="V55" i="1" s="1"/>
  <c r="U5" i="1"/>
  <c r="U55" i="1" s="1"/>
  <c r="T5" i="1"/>
  <c r="T55" i="1" s="1"/>
  <c r="S5" i="1"/>
  <c r="S55" i="1" s="1"/>
  <c r="R5" i="1"/>
  <c r="R55" i="1" s="1"/>
  <c r="Q5" i="1"/>
  <c r="Q55" i="1" s="1"/>
  <c r="P5" i="1"/>
  <c r="P55" i="1" s="1"/>
  <c r="O5" i="1"/>
  <c r="O55" i="1" s="1"/>
  <c r="N5" i="1"/>
  <c r="N55" i="1" s="1"/>
  <c r="M5" i="1"/>
  <c r="M55" i="1" s="1"/>
  <c r="L5" i="1"/>
  <c r="L55" i="1" s="1"/>
  <c r="K5" i="1"/>
  <c r="K55" i="1" s="1"/>
  <c r="J5" i="1"/>
  <c r="J55" i="1" s="1"/>
  <c r="I5" i="1"/>
  <c r="I55" i="1" s="1"/>
  <c r="H5" i="1"/>
  <c r="H55" i="1" s="1"/>
  <c r="G5" i="1"/>
  <c r="G55" i="1" s="1"/>
  <c r="F5" i="1"/>
  <c r="F55" i="1" s="1"/>
  <c r="E5" i="1"/>
  <c r="E55" i="1" s="1"/>
  <c r="D5" i="1"/>
  <c r="D55" i="1" s="1"/>
  <c r="C5" i="1"/>
  <c r="C55" i="1" s="1"/>
  <c r="B5" i="1"/>
  <c r="A5" i="1"/>
</calcChain>
</file>

<file path=xl/sharedStrings.xml><?xml version="1.0" encoding="utf-8"?>
<sst xmlns="http://schemas.openxmlformats.org/spreadsheetml/2006/main" count="31" uniqueCount="31">
  <si>
    <t>THỐNG KÊ SỐ TIẾT THEO MÔN – TỪNG LỚP</t>
  </si>
  <si>
    <t>Số liệu tự tính từ sheet 03_TKB_LOP. HĐTN gồm Chào cờ/HĐTN + HĐTN + HĐTN online. Các cột NHÓM: đếm theo từng hoạt động trong ô nhóm (ô ghi nhiều hoạt động tính 1 tiết cho mỗi hoạt động). Ô "-" = lớp không có môn đó.</t>
  </si>
  <si>
    <t>Lớp</t>
  </si>
  <si>
    <t>GVCN</t>
  </si>
  <si>
    <t>HĐTN</t>
  </si>
  <si>
    <t>TOÁN</t>
  </si>
  <si>
    <t>VĂN</t>
  </si>
  <si>
    <t>ANH</t>
  </si>
  <si>
    <t>LÝ</t>
  </si>
  <si>
    <t>HÓA</t>
  </si>
  <si>
    <t>SINH</t>
  </si>
  <si>
    <t>SỬ</t>
  </si>
  <si>
    <t>ĐỊA</t>
  </si>
  <si>
    <t>KTPL</t>
  </si>
  <si>
    <t>TIN</t>
  </si>
  <si>
    <t>CN</t>
  </si>
  <si>
    <t>GDĐP</t>
  </si>
  <si>
    <t>QPAN</t>
  </si>
  <si>
    <t>CĐ TOÁN</t>
  </si>
  <si>
    <t>CĐ VĂN</t>
  </si>
  <si>
    <t>CĐ LÝ</t>
  </si>
  <si>
    <t>CĐ HÓA</t>
  </si>
  <si>
    <t>CĐ SINH</t>
  </si>
  <si>
    <t>CĐ SỬ</t>
  </si>
  <si>
    <t>CĐ ĐỊA</t>
  </si>
  <si>
    <t>NHÓM: GDTC</t>
  </si>
  <si>
    <t>NHÓM: THQT</t>
  </si>
  <si>
    <t>NHÓM: STEM</t>
  </si>
  <si>
    <t>NHÓM: AVBN</t>
  </si>
  <si>
    <t>NHÓM: ÔN TN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</si>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</sst>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&quot;-&quot;"/>
  </numFmts>
  <fonts count="6" x14ac:knownFonts="1">
    <font>
      <sz val="11"/>
      <color theme="1"/>
      <name val="Calibri"/>
      <family val="2"/>
      <scheme val="minor"/>
    </font>
    <font>
      <b/>
      <sz val="14"/>
      <color rgb="FF2F5597"/>
      <name val="Times New Roman"/>
      <family val="1"/>
    </font>
    <font>
      <sz val="10"/>
      <color theme="1"/>
      <name val="Times New Roman"/>
      <family val="1"/>
    </font>
    <font>
      <i/>
      <sz val="9"/>
      <color rgb="FF595959"/>
      <name val="Times New Roman"/>
      <family val="1"/>
    </font>
    <font>
      <b/>
      <sz val="10"/>
      <color rgb="FFFFFFFF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ojects/Timetable/TKB_HKI_2026_2027_Ap_Dung_12_10_2026_Chinh_Thuc.xlsx" TargetMode="External"/><Relationship Id="rId2" Type="http://schemas.openxmlformats.org/officeDocument/2006/relationships/externalLinkPath" Target="/Users/baotran/Projects/Timetable/TKB_HKI_2026_2027_Ap_Dung_12_10_2026_Chinh_Thuc.xlsx" TargetMode="External"/><Relationship Id="rId1" Type="http://schemas.openxmlformats.org/officeDocument/2006/relationships/externalLinkPath" Target="/Users/baotran/Projects/Timetable/TKB_HKI_2026_2027_Ap_Dung_12_10_2026_Chinh_Thu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1_TKB_SANG"/>
      <sheetName val="02_TKB_CHIEU"/>
      <sheetName val="03_TKB_LOP"/>
      <sheetName val="04_TKB_GV"/>
      <sheetName val="05_TKB_TO"/>
      <sheetName val="06_TKB_NHOM"/>
      <sheetName val="07_TKB_CA_NHAN_HS"/>
      <sheetName val="08_GV_DAY_THAY_THEO_TO"/>
      <sheetName val="09_HS_HOC_NHO_PHONG"/>
      <sheetName val="10_SO_HS_THEO_PHONG"/>
      <sheetName val="11_SO_DO_PHONG_HOC"/>
      <sheetName val="04_THONG_KE_TIET"/>
    </sheetNames>
    <sheetDataSet>
      <sheetData sheetId="0"/>
      <sheetData sheetId="1"/>
      <sheetData sheetId="2">
        <row r="4">
          <cell r="A4" t="str">
            <v>LỚP 10A1   |   GVCN: NGUYỄN THỊ QUỲNH DIỄM   |   Phòng D.121</v>
          </cell>
        </row>
        <row r="6">
          <cell r="B6" t="str">
            <v>Chào cờ/HĐTN – SINH02
D.121</v>
          </cell>
          <cell r="C6" t="str">
            <v>SINH – SINH02
D.121</v>
          </cell>
          <cell r="D6" t="str">
            <v>ANH – ANH02
D.121</v>
          </cell>
          <cell r="E6" t="str">
            <v>SỬ – SU05
D.121</v>
          </cell>
          <cell r="F6" t="str">
            <v>TOÁN – TOAN01
D.121</v>
          </cell>
          <cell r="G6" t="str">
            <v>HĐTN online – SINH02</v>
          </cell>
        </row>
        <row r="7">
          <cell r="B7" t="str">
            <v>VĂN – VAN03
D.121</v>
          </cell>
          <cell r="C7" t="str">
            <v>LÝ – LY03
D.121</v>
          </cell>
          <cell r="D7" t="str">
            <v>HĐTN – SINH02
D.121</v>
          </cell>
          <cell r="E7" t="str">
            <v>GDĐP – LY11
D.121</v>
          </cell>
          <cell r="F7" t="str">
            <v>TOÁN – TOAN01
D.121</v>
          </cell>
        </row>
        <row r="8">
          <cell r="B8" t="str">
            <v>VĂN – VAN03
D.121</v>
          </cell>
          <cell r="C8" t="str">
            <v>CĐ HÓA – HOA02
D.121</v>
          </cell>
          <cell r="D8" t="str">
            <v>TIN – TIN01
C.118 (Vi tính 1)</v>
          </cell>
          <cell r="E8" t="str">
            <v>HÓA – HOA02
D.121</v>
          </cell>
          <cell r="F8" t="str">
            <v>SỬ – SU05
D.121</v>
          </cell>
        </row>
        <row r="9">
          <cell r="B9" t="str">
            <v>SINH – SINH02
D.121</v>
          </cell>
          <cell r="C9" t="str">
            <v>VĂN – VAN03
D.121</v>
          </cell>
          <cell r="D9" t="str">
            <v>QPAN – QPAN02
Sân / BM Quốc phòng</v>
          </cell>
          <cell r="E9" t="str">
            <v>TOÁN – TOAN01
D.121</v>
          </cell>
          <cell r="F9" t="str">
            <v>TIN – TIN01
C.118 (Vi tính 1)</v>
          </cell>
        </row>
        <row r="10">
          <cell r="C10" t="str">
            <v>ANH – ANH02
D.121</v>
          </cell>
          <cell r="D10" t="str">
            <v>CĐ TOÁN – TOAN01
D.121</v>
          </cell>
          <cell r="E10" t="str">
            <v>NHÓM: THQT</v>
          </cell>
          <cell r="F10" t="str">
            <v>NHÓM: GDTC</v>
          </cell>
        </row>
        <row r="11">
          <cell r="C11" t="str">
            <v>ANH – ANH02
D.121</v>
          </cell>
          <cell r="D11" t="str">
            <v>HÓA – HOA02
D.121</v>
          </cell>
          <cell r="E11" t="str">
            <v>NHÓM: THQT</v>
          </cell>
          <cell r="F11" t="str">
            <v>NHÓM: GDTC</v>
          </cell>
        </row>
        <row r="12">
          <cell r="B12" t="str">
            <v>NHÓM: GDTC</v>
          </cell>
          <cell r="C12" t="str">
            <v>NHÓM: STEM</v>
          </cell>
          <cell r="D12" t="str">
            <v>NHÓM: GDTC</v>
          </cell>
          <cell r="E12" t="str">
            <v>LÝ – LY03
D.121</v>
          </cell>
          <cell r="F12" t="str">
            <v>NHÓM: AVBN</v>
          </cell>
        </row>
        <row r="13">
          <cell r="B13" t="str">
            <v>NHÓM: GDTC</v>
          </cell>
          <cell r="C13" t="str">
            <v>NHÓM: STEM</v>
          </cell>
          <cell r="D13" t="str">
            <v>NHÓM: GDTC</v>
          </cell>
          <cell r="E13" t="str">
            <v>CĐ LÝ – LY03
D.121</v>
          </cell>
          <cell r="F13" t="str">
            <v>NHÓM: AVBN</v>
          </cell>
        </row>
        <row r="16">
          <cell r="A16" t="str">
            <v>LỚP 10A2   |   GVCN: TRẦN THỊ KHUYÊN   |   Phòng D.122</v>
          </cell>
        </row>
        <row r="18">
          <cell r="B18" t="str">
            <v>Chào cờ/HĐTN – SINH03
D.122</v>
          </cell>
          <cell r="C18" t="str">
            <v>SINH – SINH03
D.122</v>
          </cell>
          <cell r="D18" t="str">
            <v>ANH – ANH01
D.122</v>
          </cell>
          <cell r="E18" t="str">
            <v>GDĐP – LY04
D.122</v>
          </cell>
          <cell r="F18" t="str">
            <v>VĂN – VAN09
D.122</v>
          </cell>
          <cell r="G18" t="str">
            <v>HĐTN online – SINH03</v>
          </cell>
        </row>
        <row r="19">
          <cell r="B19" t="str">
            <v>CĐ LÝ – LY09
D.122</v>
          </cell>
          <cell r="C19" t="str">
            <v>ANH – ANH01
D.122</v>
          </cell>
          <cell r="D19" t="str">
            <v>TIN – TIN03
C.118 (Vi tính 1)</v>
          </cell>
          <cell r="E19" t="str">
            <v>CĐ HÓA – HOA06
D.122</v>
          </cell>
          <cell r="F19" t="str">
            <v>TOÁN – TOAN08
D.122</v>
          </cell>
        </row>
        <row r="20">
          <cell r="B20" t="str">
            <v>SINH – SINH03
D.122</v>
          </cell>
          <cell r="C20" t="str">
            <v>ANH – ANH01
D.122</v>
          </cell>
          <cell r="D20" t="str">
            <v>HĐTN – SINH03
D.122</v>
          </cell>
          <cell r="E20" t="str">
            <v>HÓA – HOA06
D.122</v>
          </cell>
          <cell r="F20" t="str">
            <v>CĐ TOÁN – TOAN08
D.122</v>
          </cell>
        </row>
        <row r="21">
          <cell r="B21" t="str">
            <v>SỬ – SU01
D.122</v>
          </cell>
          <cell r="C21" t="str">
            <v>LÝ – LY09
D.122</v>
          </cell>
          <cell r="D21" t="str">
            <v>TIN – TIN03
C.118 (Vi tính 1)</v>
          </cell>
          <cell r="E21" t="str">
            <v>LÝ – LY09
D.122</v>
          </cell>
          <cell r="F21" t="str">
            <v>SỬ – SU01
D.122</v>
          </cell>
        </row>
        <row r="22">
          <cell r="B22" t="str">
            <v>TOÁN – TOAN08
D.122</v>
          </cell>
          <cell r="C22" t="str">
            <v>HÓA – HOA06
D.122</v>
          </cell>
          <cell r="D22" t="str">
            <v>NHÓM: THQT</v>
          </cell>
          <cell r="E22" t="str">
            <v>NHÓM: AVBN, THQT</v>
          </cell>
          <cell r="F22" t="str">
            <v>NHÓM: GDTC</v>
          </cell>
        </row>
        <row r="23">
          <cell r="B23" t="str">
            <v>TOÁN – TOAN08
D.122</v>
          </cell>
          <cell r="C23" t="str">
            <v>QPAN – QPAN01
Sân / BM Quốc phòng</v>
          </cell>
          <cell r="D23" t="str">
            <v>NHÓM: THQT</v>
          </cell>
          <cell r="E23" t="str">
            <v>NHÓM: AVBN, THQT</v>
          </cell>
          <cell r="F23" t="str">
            <v>NHÓM: GDTC</v>
          </cell>
        </row>
        <row r="24">
          <cell r="B24" t="str">
            <v>NHÓM: GDTC</v>
          </cell>
          <cell r="C24" t="str">
            <v>NHÓM: STEM</v>
          </cell>
          <cell r="D24" t="str">
            <v>NHÓM: GDTC</v>
          </cell>
          <cell r="E24" t="str">
            <v>VĂN – VAN09
D.122</v>
          </cell>
          <cell r="F24" t="str">
            <v>NHÓM: AVBN</v>
          </cell>
        </row>
        <row r="25">
          <cell r="B25" t="str">
            <v>NHÓM: GDTC</v>
          </cell>
          <cell r="C25" t="str">
            <v>NHÓM: STEM</v>
          </cell>
          <cell r="D25" t="str">
            <v>NHÓM: GDTC</v>
          </cell>
          <cell r="E25" t="str">
            <v>VĂN – VAN09
D.122</v>
          </cell>
          <cell r="F25" t="str">
            <v>NHÓM: AVBN</v>
          </cell>
        </row>
        <row r="28">
          <cell r="A28" t="str">
            <v>LỚP 10A3   |   GVCN: NGUYỄN MINH THANH TÙNG   |   Phòng B.108</v>
          </cell>
        </row>
        <row r="30">
          <cell r="B30" t="str">
            <v>Chào cờ/HĐTN – ANH02
B.108</v>
          </cell>
          <cell r="C30" t="str">
            <v>LÝ – LY08
B.108</v>
          </cell>
          <cell r="D30" t="str">
            <v>TIN – TIN01
C.118 (Vi tính 1)</v>
          </cell>
          <cell r="E30" t="str">
            <v>CĐ LÝ – LY08
B.108</v>
          </cell>
          <cell r="F30" t="str">
            <v>TIN – TIN01
C.118 (Vi tính 1)</v>
          </cell>
          <cell r="G30" t="str">
            <v>HĐTN online – DIA05</v>
          </cell>
        </row>
        <row r="31">
          <cell r="B31" t="str">
            <v>TOÁN – TOAN03
B.108</v>
          </cell>
          <cell r="C31" t="str">
            <v>ANH – ANH02
B.108</v>
          </cell>
          <cell r="D31" t="str">
            <v>QPAN – QPAN02
Sân / BM Quốc phòng</v>
          </cell>
          <cell r="E31" t="str">
            <v>SỬ – SU03
B.108</v>
          </cell>
          <cell r="F31" t="str">
            <v>VĂN – VAN06
B.108</v>
          </cell>
        </row>
        <row r="32">
          <cell r="B32" t="str">
            <v>HÓA – HOA05
B.108</v>
          </cell>
          <cell r="C32" t="str">
            <v>CĐ HÓA – HOA05
B.108</v>
          </cell>
          <cell r="D32" t="str">
            <v>GDĐP – DIA05
B.108</v>
          </cell>
          <cell r="E32" t="str">
            <v>VĂN – VAN06
B.108</v>
          </cell>
          <cell r="F32" t="str">
            <v>VĂN – VAN06
B.108</v>
          </cell>
        </row>
        <row r="33">
          <cell r="B33" t="str">
            <v>ANH – ANH02
B.108</v>
          </cell>
          <cell r="C33" t="str">
            <v>LÝ – LY08
B.108</v>
          </cell>
          <cell r="D33" t="str">
            <v>ANH – ANH02
B.108</v>
          </cell>
          <cell r="E33" t="str">
            <v>HĐTN – DIA05
B.108</v>
          </cell>
          <cell r="F33" t="str">
            <v>SỬ – SU03
B.108</v>
          </cell>
        </row>
        <row r="34">
          <cell r="B34" t="str">
            <v>NHÓM: AVBN</v>
          </cell>
          <cell r="C34" t="str">
            <v>HÓA – HOA05
B.108</v>
          </cell>
          <cell r="D34" t="str">
            <v>NHÓM: THQT</v>
          </cell>
          <cell r="E34" t="str">
            <v>NHÓM: AVBN</v>
          </cell>
          <cell r="F34" t="str">
            <v>KTPL – KTPL03
B.108</v>
          </cell>
        </row>
        <row r="35">
          <cell r="B35" t="str">
            <v>NHÓM: AVBN</v>
          </cell>
          <cell r="C35" t="str">
            <v>CĐ TOÁN – TOAN03
B.108</v>
          </cell>
          <cell r="D35" t="str">
            <v>NHÓM: THQT</v>
          </cell>
          <cell r="E35" t="str">
            <v>NHÓM: AVBN</v>
          </cell>
          <cell r="F35" t="str">
            <v>KTPL – KTPL03
B.108</v>
          </cell>
        </row>
        <row r="36">
          <cell r="B36" t="str">
            <v>NHÓM: GDTC</v>
          </cell>
          <cell r="C36" t="str">
            <v>NHÓM: STEM</v>
          </cell>
          <cell r="D36" t="str">
            <v>NHÓM: GDTC</v>
          </cell>
          <cell r="E36" t="str">
            <v>TOÁN – TOAN03
B.108</v>
          </cell>
          <cell r="F36" t="str">
            <v>NHÓM: STEM</v>
          </cell>
        </row>
        <row r="37">
          <cell r="B37" t="str">
            <v>NHÓM: GDTC</v>
          </cell>
          <cell r="C37" t="str">
            <v>NHÓM: STEM</v>
          </cell>
          <cell r="D37" t="str">
            <v>NHÓM: GDTC</v>
          </cell>
          <cell r="E37" t="str">
            <v>TOÁN – TOAN03
B.108</v>
          </cell>
          <cell r="F37" t="str">
            <v>NHÓM: STEM</v>
          </cell>
        </row>
        <row r="40">
          <cell r="A40" t="str">
            <v>LỚP 10A4   |   GVCN: TRẦN THỊ LAM HỒNG   |   Phòng B.109</v>
          </cell>
        </row>
        <row r="42">
          <cell r="B42" t="str">
            <v>Chào cờ/HĐTN – LY06
B.109</v>
          </cell>
          <cell r="C42" t="str">
            <v>ANH – ANH09
B.109</v>
          </cell>
          <cell r="D42" t="str">
            <v>ANH – ANH09
B.109</v>
          </cell>
          <cell r="E42" t="str">
            <v>HÓA – HOA01
B.109</v>
          </cell>
          <cell r="F42" t="str">
            <v>TOÁN – TOAN02
B.109</v>
          </cell>
          <cell r="G42" t="str">
            <v>HĐTN online – LY06</v>
          </cell>
        </row>
        <row r="43">
          <cell r="B43" t="str">
            <v>TOÁN – TOAN02
B.109</v>
          </cell>
          <cell r="C43" t="str">
            <v>HÓA – HOA01
B.109</v>
          </cell>
          <cell r="D43" t="str">
            <v>ANH – ANH09
B.109</v>
          </cell>
          <cell r="E43" t="str">
            <v>TIN – TIN03
C.118 (Vi tính 1)</v>
          </cell>
          <cell r="F43" t="str">
            <v>TOÁN – TOAN02
B.109</v>
          </cell>
        </row>
        <row r="44">
          <cell r="B44" t="str">
            <v>LÝ – LY06
B.109</v>
          </cell>
          <cell r="C44" t="str">
            <v>LÝ – LY06
B.109</v>
          </cell>
          <cell r="D44" t="str">
            <v>CĐ TOÁN – TOAN02
B.109</v>
          </cell>
          <cell r="E44" t="str">
            <v>CĐ HÓA – HOA01
B.109</v>
          </cell>
          <cell r="F44" t="str">
            <v>KTPL – KTPL03
B.109</v>
          </cell>
        </row>
        <row r="45">
          <cell r="B45" t="str">
            <v>KTPL – KTPL03
B.109</v>
          </cell>
          <cell r="C45" t="str">
            <v>CĐ LÝ – LY06
B.109</v>
          </cell>
          <cell r="D45" t="str">
            <v>GDĐP – DIA05
B.109</v>
          </cell>
          <cell r="E45" t="str">
            <v>TIN – TIN03
C.118 (Vi tính 1)</v>
          </cell>
          <cell r="F45" t="str">
            <v>QPAN – QPAN02
Sân / BM Quốc phòng</v>
          </cell>
        </row>
        <row r="46">
          <cell r="B46" t="str">
            <v>NHÓM: AVBN</v>
          </cell>
          <cell r="C46" t="str">
            <v>HĐTN – LY06
B.109</v>
          </cell>
          <cell r="D46" t="str">
            <v>NHÓM: THQT</v>
          </cell>
          <cell r="E46" t="str">
            <v>VĂN – VAN14
B.109</v>
          </cell>
          <cell r="F46" t="str">
            <v>NHÓM: THQT</v>
          </cell>
        </row>
        <row r="47">
          <cell r="B47" t="str">
            <v>NHÓM: AVBN</v>
          </cell>
          <cell r="C47" t="str">
            <v>SỬ – SU03
B.109</v>
          </cell>
          <cell r="D47" t="str">
            <v>NHÓM: THQT</v>
          </cell>
          <cell r="E47" t="str">
            <v>SỬ – SU03
B.109</v>
          </cell>
          <cell r="F47" t="str">
            <v>NHÓM: THQT</v>
          </cell>
        </row>
        <row r="48">
          <cell r="B48" t="str">
            <v>NHÓM: GDTC</v>
          </cell>
          <cell r="C48" t="str">
            <v>VĂN – VAN14
B.109</v>
          </cell>
          <cell r="D48" t="str">
            <v>NHÓM: GDTC</v>
          </cell>
          <cell r="F48" t="str">
            <v>NHÓM: STEM</v>
          </cell>
        </row>
        <row r="49">
          <cell r="B49" t="str">
            <v>NHÓM: GDTC</v>
          </cell>
          <cell r="C49" t="str">
            <v>VĂN – VAN14
B.109</v>
          </cell>
          <cell r="D49" t="str">
            <v>NHÓM: GDTC</v>
          </cell>
          <cell r="F49" t="str">
            <v>NHÓM: STEM</v>
          </cell>
        </row>
        <row r="52">
          <cell r="A52" t="str">
            <v>LỚP 10A5   |   GVCN: LÂM GIA HÂN   |   Phòng B.110</v>
          </cell>
        </row>
        <row r="54">
          <cell r="B54" t="str">
            <v>Chào cờ/HĐTN – HOA03
B.110</v>
          </cell>
          <cell r="C54" t="str">
            <v>LÝ – LY07
B.110</v>
          </cell>
          <cell r="D54" t="str">
            <v>ANH – ANH06
B.110</v>
          </cell>
          <cell r="E54" t="str">
            <v>TOÁN – TOAN06
B.110</v>
          </cell>
          <cell r="F54" t="str">
            <v>TIN – TIN03
C.218 (Vi tính 2)</v>
          </cell>
          <cell r="G54" t="str">
            <v>HĐTN online – HOA03</v>
          </cell>
        </row>
        <row r="55">
          <cell r="B55" t="str">
            <v>CĐ HÓA – HOA03
B.110</v>
          </cell>
          <cell r="C55" t="str">
            <v>KTPL – KTPL02
B.110</v>
          </cell>
          <cell r="D55" t="str">
            <v>ANH – ANH06
B.110</v>
          </cell>
          <cell r="E55" t="str">
            <v>HÓA – HOA03
B.110</v>
          </cell>
          <cell r="F55" t="str">
            <v>TIN – TIN03
C.118 (Vi tính 1)</v>
          </cell>
        </row>
        <row r="56">
          <cell r="B56" t="str">
            <v>CĐ TOÁN – TOAN06
B.110</v>
          </cell>
          <cell r="C56" t="str">
            <v>HÓA – HOA03
B.110</v>
          </cell>
          <cell r="D56" t="str">
            <v>QPAN – QPAN01
Sân / BM Quốc phòng</v>
          </cell>
          <cell r="E56" t="str">
            <v>GDĐP – LY04
B.110</v>
          </cell>
          <cell r="F56" t="str">
            <v>VĂN – VAN05
B.110</v>
          </cell>
        </row>
        <row r="57">
          <cell r="B57" t="str">
            <v>SỬ – SU05
B.110</v>
          </cell>
          <cell r="C57" t="str">
            <v>ANH – ANH06
B.110</v>
          </cell>
          <cell r="D57" t="str">
            <v>KTPL – KTPL02
B.110</v>
          </cell>
          <cell r="E57" t="str">
            <v>HĐTN – HOA03
B.110</v>
          </cell>
          <cell r="F57" t="str">
            <v>SỬ – SU05
B.110</v>
          </cell>
        </row>
        <row r="58">
          <cell r="B58" t="str">
            <v>NHÓM: AVBN, GDTC</v>
          </cell>
          <cell r="C58" t="str">
            <v>VĂN – VAN05
B.110</v>
          </cell>
          <cell r="D58" t="str">
            <v>TOÁN – TOAN06
B.110</v>
          </cell>
          <cell r="E58" t="str">
            <v>LÝ – LY07
B.110</v>
          </cell>
          <cell r="F58" t="str">
            <v>NHÓM: THQT</v>
          </cell>
        </row>
        <row r="59">
          <cell r="B59" t="str">
            <v>NHÓM: AVBN, GDTC</v>
          </cell>
          <cell r="C59" t="str">
            <v>VĂN – VAN05
B.110</v>
          </cell>
          <cell r="D59" t="str">
            <v>TOÁN – TOAN06
B.110</v>
          </cell>
          <cell r="E59" t="str">
            <v>CĐ LÝ – LY07
B.110</v>
          </cell>
          <cell r="F59" t="str">
            <v>NHÓM: THQT</v>
          </cell>
        </row>
        <row r="60">
          <cell r="B60" t="str">
            <v>NHÓM: GDTC</v>
          </cell>
          <cell r="C60" t="str">
            <v>NHÓM: AVBN</v>
          </cell>
          <cell r="D60" t="str">
            <v>NHÓM: GDTC</v>
          </cell>
          <cell r="E60" t="str">
            <v>NHÓM: GDTC</v>
          </cell>
          <cell r="F60" t="str">
            <v>NHÓM: STEM</v>
          </cell>
        </row>
        <row r="61">
          <cell r="B61" t="str">
            <v>NHÓM: GDTC</v>
          </cell>
          <cell r="C61" t="str">
            <v>NHÓM: AVBN</v>
          </cell>
          <cell r="D61" t="str">
            <v>NHÓM: GDTC</v>
          </cell>
          <cell r="E61" t="str">
            <v>NHÓM: GDTC</v>
          </cell>
          <cell r="F61" t="str">
            <v>NHÓM: STEM</v>
          </cell>
        </row>
        <row r="64">
          <cell r="A64" t="str">
            <v>LỚP 10A6   |   GVCN: NGUYỄN XUÂN THU   |   Phòng B.111</v>
          </cell>
        </row>
        <row r="66">
          <cell r="B66" t="str">
            <v>Chào cờ/HĐTN – ANH04
B.111</v>
          </cell>
          <cell r="C66" t="str">
            <v>TIN – TIN02
C.118 (Vi tính 1)</v>
          </cell>
          <cell r="D66" t="str">
            <v>TOÁN – TOAN07
B.111</v>
          </cell>
          <cell r="E66" t="str">
            <v>TOÁN – TOAN07
B.111</v>
          </cell>
          <cell r="F66" t="str">
            <v>HĐTN – LY04
B.111</v>
          </cell>
          <cell r="G66" t="str">
            <v>HĐTN online – LY04</v>
          </cell>
        </row>
        <row r="67">
          <cell r="B67" t="str">
            <v>KTPL – KTPL02
B.111</v>
          </cell>
          <cell r="C67" t="str">
            <v>CĐ LÝ – LY02
B.111</v>
          </cell>
          <cell r="D67" t="str">
            <v>CĐ TOÁN – TOAN07
B.111</v>
          </cell>
          <cell r="E67" t="str">
            <v>VĂN – VAN14
B.111</v>
          </cell>
          <cell r="F67" t="str">
            <v>SỬ – SU05
B.111</v>
          </cell>
        </row>
        <row r="68">
          <cell r="B68" t="str">
            <v>KTPL – KTPL02
B.111</v>
          </cell>
          <cell r="C68" t="str">
            <v>VĂN – VAN14
B.111</v>
          </cell>
          <cell r="D68" t="str">
            <v>TIN – TIN02
C.218 (Vi tính 2)</v>
          </cell>
          <cell r="E68" t="str">
            <v>ANH – ANH04
B.111</v>
          </cell>
          <cell r="F68" t="str">
            <v>LÝ – LY02
B.111</v>
          </cell>
        </row>
        <row r="69">
          <cell r="B69" t="str">
            <v>LÝ – LY02
B.111</v>
          </cell>
          <cell r="C69" t="str">
            <v>VĂN – VAN14
B.111</v>
          </cell>
          <cell r="D69" t="str">
            <v>ANH – ANH04
B.111</v>
          </cell>
          <cell r="E69" t="str">
            <v>ANH – ANH04
B.111</v>
          </cell>
          <cell r="F69" t="str">
            <v>TOÁN – TOAN07
B.111</v>
          </cell>
        </row>
        <row r="70">
          <cell r="B70" t="str">
            <v>NHÓM: GDTC</v>
          </cell>
          <cell r="C70" t="str">
            <v>QPAN – QPAN01
Sân / BM Quốc phòng</v>
          </cell>
          <cell r="D70" t="str">
            <v>NHÓM: GDTC</v>
          </cell>
          <cell r="E70" t="str">
            <v>HÓA – HOA05
B.111</v>
          </cell>
          <cell r="F70" t="str">
            <v>SỬ – SU05
B.111</v>
          </cell>
        </row>
        <row r="71">
          <cell r="B71" t="str">
            <v>NHÓM: GDTC</v>
          </cell>
          <cell r="C71" t="str">
            <v>CĐ HÓA – HOA05
B.111</v>
          </cell>
          <cell r="D71" t="str">
            <v>NHÓM: GDTC</v>
          </cell>
          <cell r="E71" t="str">
            <v>HÓA – HOA05
B.111</v>
          </cell>
          <cell r="F71" t="str">
            <v>GDĐP – LY04
B.111</v>
          </cell>
        </row>
        <row r="72">
          <cell r="B72" t="str">
            <v>NHÓM: THQT</v>
          </cell>
          <cell r="C72" t="str">
            <v>NHÓM: AVBN</v>
          </cell>
          <cell r="D72" t="str">
            <v>NHÓM: GDTC</v>
          </cell>
          <cell r="E72" t="str">
            <v>NHÓM: GDTC</v>
          </cell>
          <cell r="F72" t="str">
            <v>NHÓM: STEM</v>
          </cell>
        </row>
        <row r="73">
          <cell r="B73" t="str">
            <v>NHÓM: THQT</v>
          </cell>
          <cell r="C73" t="str">
            <v>NHÓM: AVBN</v>
          </cell>
          <cell r="D73" t="str">
            <v>NHÓM: GDTC</v>
          </cell>
          <cell r="E73" t="str">
            <v>NHÓM: GDTC</v>
          </cell>
          <cell r="F73" t="str">
            <v>NHÓM: STEM</v>
          </cell>
        </row>
        <row r="76">
          <cell r="A76" t="str">
            <v>LỚP 10A7   |   GVCN: NGUYỄN TRẦN MAI THANH   |   Phòng B.112</v>
          </cell>
        </row>
        <row r="78">
          <cell r="B78" t="str">
            <v>Chào cờ/HĐTN – HOA06
B.112</v>
          </cell>
          <cell r="C78" t="str">
            <v>ANH – ANH04
B.112</v>
          </cell>
          <cell r="D78" t="str">
            <v>ANH – ANH04
B.112</v>
          </cell>
          <cell r="E78" t="str">
            <v>HÓA – HOA06
B.112</v>
          </cell>
          <cell r="F78" t="str">
            <v>TOÁN – TOAN11
B.112</v>
          </cell>
          <cell r="G78" t="str">
            <v>HĐTN online – LY11</v>
          </cell>
        </row>
        <row r="79">
          <cell r="B79" t="str">
            <v>SỬ – SU03
B.112</v>
          </cell>
          <cell r="C79" t="str">
            <v>VĂN – VAN03
B.112</v>
          </cell>
          <cell r="D79" t="str">
            <v>ANH – ANH04
B.112</v>
          </cell>
          <cell r="E79" t="str">
            <v>TOÁN – TOAN11
B.112</v>
          </cell>
          <cell r="F79" t="str">
            <v>CĐ TOÁN – TOAN11
B.112</v>
          </cell>
        </row>
        <row r="80">
          <cell r="B80" t="str">
            <v>LÝ – LY03
B.112</v>
          </cell>
          <cell r="C80" t="str">
            <v>VĂN – VAN03
B.112</v>
          </cell>
          <cell r="D80" t="str">
            <v>KTPL – KTPL02
B.112</v>
          </cell>
          <cell r="E80" t="str">
            <v>QPAN – QPAN03
Sân / BM Quốc phòng</v>
          </cell>
          <cell r="F80" t="str">
            <v>LÝ – LY03
B.112</v>
          </cell>
        </row>
        <row r="81">
          <cell r="B81" t="str">
            <v>CĐ HÓA – HOA06
B.112</v>
          </cell>
          <cell r="C81" t="str">
            <v>GDĐP – LY11
B.112</v>
          </cell>
          <cell r="D81" t="str">
            <v>TOÁN – TOAN11
B.112</v>
          </cell>
          <cell r="E81" t="str">
            <v>HĐTN – LY11
B.112</v>
          </cell>
          <cell r="F81" t="str">
            <v>VĂN – VAN03
B.112</v>
          </cell>
        </row>
        <row r="82">
          <cell r="B82" t="str">
            <v>NHÓM: GDTC</v>
          </cell>
          <cell r="C82" t="str">
            <v>SỬ – SU03
B.112</v>
          </cell>
          <cell r="D82" t="str">
            <v>NHÓM: GDTC</v>
          </cell>
          <cell r="E82" t="str">
            <v>KTPL – KTPL02
B.112</v>
          </cell>
          <cell r="F82" t="str">
            <v>TIN – TIN03
C.218 (Vi tính 2)</v>
          </cell>
        </row>
        <row r="83">
          <cell r="B83" t="str">
            <v>NHÓM: GDTC</v>
          </cell>
          <cell r="C83" t="str">
            <v>HÓA – HOA06
B.112</v>
          </cell>
          <cell r="D83" t="str">
            <v>NHÓM: GDTC</v>
          </cell>
          <cell r="E83" t="str">
            <v>CĐ LÝ – LY03
B.112</v>
          </cell>
          <cell r="F83" t="str">
            <v>TIN – TIN03
C.218 (Vi tính 2)</v>
          </cell>
        </row>
        <row r="84">
          <cell r="B84" t="str">
            <v>NHÓM: THQT</v>
          </cell>
          <cell r="C84" t="str">
            <v>NHÓM: AVBN</v>
          </cell>
          <cell r="D84" t="str">
            <v>NHÓM: GDTC</v>
          </cell>
          <cell r="E84" t="str">
            <v>NHÓM: AVBN, GDTC</v>
          </cell>
          <cell r="F84" t="str">
            <v>NHÓM: STEM</v>
          </cell>
        </row>
        <row r="85">
          <cell r="B85" t="str">
            <v>NHÓM: THQT</v>
          </cell>
          <cell r="C85" t="str">
            <v>NHÓM: AVBN</v>
          </cell>
          <cell r="D85" t="str">
            <v>NHÓM: GDTC</v>
          </cell>
          <cell r="E85" t="str">
            <v>NHÓM: AVBN, GDTC</v>
          </cell>
          <cell r="F85" t="str">
            <v>NHÓM: STEM</v>
          </cell>
        </row>
        <row r="88">
          <cell r="A88" t="str">
            <v>LỚP 10A8   |   GVCN: MAI LAN ANH   |   Phòng B.208</v>
          </cell>
        </row>
        <row r="90">
          <cell r="B90" t="str">
            <v>Chào cờ/HĐTN – ANH06
B.208</v>
          </cell>
          <cell r="C90" t="str">
            <v>LÝ – LY09
B.208</v>
          </cell>
          <cell r="D90" t="str">
            <v>KTPL – KTPL04
B.208</v>
          </cell>
          <cell r="E90" t="str">
            <v>SỬ – SU01
B.208</v>
          </cell>
          <cell r="F90" t="str">
            <v>TOÁN – TOAN14
B.208</v>
          </cell>
          <cell r="G90" t="str">
            <v>HĐTN online – TOAN02</v>
          </cell>
        </row>
        <row r="91">
          <cell r="B91" t="str">
            <v>VĂN – VAN12
B.208</v>
          </cell>
          <cell r="C91" t="str">
            <v>LÝ – LY09
B.208</v>
          </cell>
          <cell r="D91" t="str">
            <v>TIN – TIN01
C.218 (Vi tính 2)</v>
          </cell>
          <cell r="E91" t="str">
            <v>QPAN – QPAN02
Sân / BM Quốc phòng</v>
          </cell>
          <cell r="F91" t="str">
            <v>SỬ – SU01
B.208</v>
          </cell>
        </row>
        <row r="92">
          <cell r="B92" t="str">
            <v>VĂN – VAN12
B.208</v>
          </cell>
          <cell r="C92" t="str">
            <v>ANH – ANH06
B.208</v>
          </cell>
          <cell r="D92" t="str">
            <v>CĐ SỬ – SU01
B.208</v>
          </cell>
          <cell r="E92" t="str">
            <v>CĐ ĐỊA – DIA04
B.208</v>
          </cell>
          <cell r="F92" t="str">
            <v>KTPL – KTPL04
B.208</v>
          </cell>
        </row>
        <row r="93">
          <cell r="B93" t="str">
            <v>GDĐP – LY11
B.208</v>
          </cell>
          <cell r="C93" t="str">
            <v>CĐ VĂN – VAN12
B.208</v>
          </cell>
          <cell r="D93" t="str">
            <v>HĐTN – TOAN02
B.208</v>
          </cell>
          <cell r="E93" t="str">
            <v>VĂN – VAN12
B.208</v>
          </cell>
          <cell r="F93" t="str">
            <v>ĐỊA – DIA04
B.208</v>
          </cell>
        </row>
        <row r="94">
          <cell r="B94" t="str">
            <v>NHÓM: GDTC</v>
          </cell>
          <cell r="C94" t="str">
            <v>TIN – TIN01
C.117 (Vi tính 4)</v>
          </cell>
          <cell r="D94" t="str">
            <v>NHÓM: GDTC</v>
          </cell>
          <cell r="E94" t="str">
            <v>TOÁN – TOAN14
B.208</v>
          </cell>
          <cell r="F94" t="str">
            <v>ANH – ANH06
B.208</v>
          </cell>
        </row>
        <row r="95">
          <cell r="B95" t="str">
            <v>NHÓM: GDTC</v>
          </cell>
          <cell r="C95" t="str">
            <v>ĐỊA – DIA04
B.208</v>
          </cell>
          <cell r="D95" t="str">
            <v>NHÓM: GDTC</v>
          </cell>
          <cell r="E95" t="str">
            <v>TOÁN – TOAN14
B.208</v>
          </cell>
          <cell r="F95" t="str">
            <v>ANH – ANH06
B.208</v>
          </cell>
        </row>
        <row r="96">
          <cell r="B96" t="str">
            <v>NHÓM: AVBN, THQT</v>
          </cell>
          <cell r="C96" t="str">
            <v>NHÓM: THQT</v>
          </cell>
          <cell r="D96" t="str">
            <v>NHÓM: GDTC</v>
          </cell>
          <cell r="E96" t="str">
            <v>NHÓM: AVBN</v>
          </cell>
          <cell r="F96" t="str">
            <v>NHÓM: STEM</v>
          </cell>
        </row>
        <row r="97">
          <cell r="B97" t="str">
            <v>NHÓM: AVBN, THQT</v>
          </cell>
          <cell r="C97" t="str">
            <v>NHÓM: THQT</v>
          </cell>
          <cell r="D97" t="str">
            <v>NHÓM: GDTC</v>
          </cell>
          <cell r="E97" t="str">
            <v>NHÓM: AVBN</v>
          </cell>
          <cell r="F97" t="str">
            <v>NHÓM: STEM</v>
          </cell>
        </row>
        <row r="100">
          <cell r="A100" t="str">
            <v>LỚP 10A9   |   GVCN: HỒ PHƯƠNG THẢO   |   Phòng B.209</v>
          </cell>
        </row>
        <row r="102">
          <cell r="B102" t="str">
            <v>Chào cờ/HĐTN – QPAN03
B.209</v>
          </cell>
          <cell r="C102" t="str">
            <v>KTPL – KTPL04
B.209</v>
          </cell>
          <cell r="D102" t="str">
            <v>SỬ – SU05
B.209</v>
          </cell>
          <cell r="E102" t="str">
            <v>VĂN – VAN10
B.209</v>
          </cell>
          <cell r="F102" t="str">
            <v>HĐTN – LY08
B.209</v>
          </cell>
          <cell r="G102" t="str">
            <v>HĐTN online – LY08</v>
          </cell>
        </row>
        <row r="103">
          <cell r="B103" t="str">
            <v>CĐ ĐỊA – DIA04
B.209</v>
          </cell>
          <cell r="C103" t="str">
            <v>LÝ – LY08
B.209</v>
          </cell>
          <cell r="D103" t="str">
            <v>GDĐP – DIA05
B.209</v>
          </cell>
          <cell r="E103" t="str">
            <v>ĐỊA – DIA04
B.209</v>
          </cell>
          <cell r="F103" t="str">
            <v>KTPL – KTPL04
B.209</v>
          </cell>
        </row>
        <row r="104">
          <cell r="B104" t="str">
            <v>VĂN – VAN10
B.209</v>
          </cell>
          <cell r="C104" t="str">
            <v>TIN – TIN01
C.118 (Vi tính 1)</v>
          </cell>
          <cell r="D104" t="str">
            <v>TOÁN – TOAN08
B.209</v>
          </cell>
          <cell r="E104" t="str">
            <v>ANH – ANH09
B.209</v>
          </cell>
          <cell r="F104" t="str">
            <v>CĐ VĂN – VAN10
B.209</v>
          </cell>
        </row>
        <row r="105">
          <cell r="B105" t="str">
            <v>VĂN – VAN10
B.209</v>
          </cell>
          <cell r="C105" t="str">
            <v>ANH – ANH09
B.209</v>
          </cell>
          <cell r="D105" t="str">
            <v>CĐ SỬ – SU05
B.209</v>
          </cell>
          <cell r="E105" t="str">
            <v>ANH – ANH09
B.209</v>
          </cell>
          <cell r="F105" t="str">
            <v>LÝ – LY08
B.209</v>
          </cell>
        </row>
        <row r="106">
          <cell r="B106" t="str">
            <v>NHÓM: GDTC</v>
          </cell>
          <cell r="C106" t="str">
            <v>ĐỊA – DIA04
B.209</v>
          </cell>
          <cell r="D106" t="str">
            <v>NHÓM: THQT</v>
          </cell>
          <cell r="E106" t="str">
            <v>NHÓM: THQT</v>
          </cell>
          <cell r="F106" t="str">
            <v>TIN – TIN01
C.318 (Vi tính 3)</v>
          </cell>
        </row>
        <row r="107">
          <cell r="B107" t="str">
            <v>NHÓM: GDTC</v>
          </cell>
          <cell r="C107" t="str">
            <v>QPAN – QPAN03
Sân / BM Quốc phòng</v>
          </cell>
          <cell r="D107" t="str">
            <v>NHÓM: THQT</v>
          </cell>
          <cell r="E107" t="str">
            <v>NHÓM: THQT</v>
          </cell>
          <cell r="F107" t="str">
            <v>SỬ – SU05
B.209</v>
          </cell>
        </row>
        <row r="108">
          <cell r="B108" t="str">
            <v>NHÓM: AVBN</v>
          </cell>
          <cell r="C108" t="str">
            <v>NHÓM: STEM, THQT</v>
          </cell>
          <cell r="D108" t="str">
            <v>NHÓM: GDTC</v>
          </cell>
          <cell r="E108" t="str">
            <v>TOÁN – TOAN08
B.209</v>
          </cell>
          <cell r="F108" t="str">
            <v>NHÓM: STEM</v>
          </cell>
        </row>
        <row r="109">
          <cell r="B109" t="str">
            <v>NHÓM: AVBN</v>
          </cell>
          <cell r="C109" t="str">
            <v>NHÓM: STEM, THQT</v>
          </cell>
          <cell r="D109" t="str">
            <v>NHÓM: GDTC</v>
          </cell>
          <cell r="E109" t="str">
            <v>TOÁN – TOAN08
B.209</v>
          </cell>
          <cell r="F109" t="str">
            <v>NHÓM: STEM</v>
          </cell>
        </row>
        <row r="112">
          <cell r="A112" t="str">
            <v>LỚP 10A10   |   GVCN: LƯU BÍCH HOÀI THÊM   |   Phòng B.210</v>
          </cell>
        </row>
        <row r="114">
          <cell r="B114" t="str">
            <v>Chào cờ/HĐTN – VAN10
B.210</v>
          </cell>
          <cell r="C114" t="str">
            <v>ANH – ANH06
B.210</v>
          </cell>
          <cell r="D114" t="str">
            <v>QPAN – QPAN03
Sân / BM Quốc phòng</v>
          </cell>
          <cell r="E114" t="str">
            <v>ANH – ANH06
B.210</v>
          </cell>
          <cell r="F114" t="str">
            <v>VĂN – VAN10
B.210</v>
          </cell>
        </row>
        <row r="115">
          <cell r="B115" t="str">
            <v>TIN – TIN04
C.118 (Vi tính 1)</v>
          </cell>
          <cell r="C115" t="str">
            <v>TIN – TIN04
C.118 (Vi tính 1)</v>
          </cell>
          <cell r="D115" t="str">
            <v>ĐỊA – DIA01
B.210</v>
          </cell>
          <cell r="E115" t="str">
            <v>ANH – ANH06
B.210</v>
          </cell>
          <cell r="F115" t="str">
            <v>ĐỊA – DIA01
B.210</v>
          </cell>
          <cell r="G115" t="str">
            <v>HĐTN online – DIA05</v>
          </cell>
        </row>
        <row r="116">
          <cell r="B116" t="str">
            <v>LÝ – LY10
B.210</v>
          </cell>
          <cell r="C116" t="str">
            <v>KTPL – KTPL03
B.210</v>
          </cell>
          <cell r="D116" t="str">
            <v>TOÁN – TOAN14
B.210</v>
          </cell>
          <cell r="E116" t="str">
            <v>HĐTN – DIA05
B.210</v>
          </cell>
          <cell r="F116" t="str">
            <v>LÝ – LY10
B.210</v>
          </cell>
        </row>
        <row r="117">
          <cell r="B117" t="str">
            <v>SỬ – SU03
B.210</v>
          </cell>
          <cell r="C117" t="str">
            <v>GDĐP – SINH02
B.210</v>
          </cell>
          <cell r="D117" t="str">
            <v>TOÁN – TOAN14
B.210</v>
          </cell>
          <cell r="E117" t="str">
            <v>VĂN – VAN10
B.210</v>
          </cell>
          <cell r="F117" t="str">
            <v>KTPL – KTPL03
B.210</v>
          </cell>
        </row>
        <row r="118">
          <cell r="B118" t="str">
            <v>NHÓM: GDTC</v>
          </cell>
          <cell r="C118" t="str">
            <v>CĐ ĐỊA – DIA01
B.210</v>
          </cell>
          <cell r="D118" t="str">
            <v>NHÓM: STEM</v>
          </cell>
          <cell r="E118" t="str">
            <v>NHÓM: THQT</v>
          </cell>
          <cell r="F118" t="str">
            <v>NHÓM: AVBN</v>
          </cell>
        </row>
        <row r="119">
          <cell r="B119" t="str">
            <v>NHÓM: GDTC</v>
          </cell>
          <cell r="C119" t="str">
            <v>CĐ VĂN – VAN10
B.210</v>
          </cell>
          <cell r="D119" t="str">
            <v>NHÓM: STEM</v>
          </cell>
          <cell r="E119" t="str">
            <v>NHÓM: THQT</v>
          </cell>
          <cell r="F119" t="str">
            <v>NHÓM: AVBN</v>
          </cell>
        </row>
        <row r="120">
          <cell r="B120" t="str">
            <v>NHÓM: AVBN</v>
          </cell>
          <cell r="C120" t="str">
            <v>VĂN – VAN10
B.210</v>
          </cell>
          <cell r="D120" t="str">
            <v>NHÓM: GDTC</v>
          </cell>
          <cell r="E120" t="str">
            <v>SỬ – SU03
B.210</v>
          </cell>
          <cell r="F120" t="str">
            <v>NHÓM: STEM</v>
          </cell>
        </row>
        <row r="121">
          <cell r="B121" t="str">
            <v>NHÓM: AVBN</v>
          </cell>
          <cell r="C121" t="str">
            <v>CĐ SỬ – SU03
B.210</v>
          </cell>
          <cell r="D121" t="str">
            <v>NHÓM: GDTC</v>
          </cell>
          <cell r="E121" t="str">
            <v>TOÁN – TOAN14
B.210</v>
          </cell>
          <cell r="F121" t="str">
            <v>NHÓM: STEM</v>
          </cell>
        </row>
        <row r="124">
          <cell r="A124" t="str">
            <v>LỚP 10A11   |   GVCN: TRƯƠNG THU TRANG   |   Phòng B.211</v>
          </cell>
        </row>
        <row r="126">
          <cell r="B126" t="str">
            <v>Chào cờ/HĐTN – VAN12
B.211</v>
          </cell>
          <cell r="C126" t="str">
            <v>VĂN – VAN12
B.211</v>
          </cell>
          <cell r="D126" t="str">
            <v>TOÁN – TOAN14
B.211</v>
          </cell>
          <cell r="E126" t="str">
            <v>VĂN – VAN12
B.211</v>
          </cell>
          <cell r="F126" t="str">
            <v>QPAN – QPAN03
Sân / BM Quốc phòng</v>
          </cell>
        </row>
        <row r="127">
          <cell r="B127" t="str">
            <v>ANH – ANH03
B.211</v>
          </cell>
          <cell r="C127" t="str">
            <v>CĐ VĂN – VAN12
B.211</v>
          </cell>
          <cell r="D127" t="str">
            <v>GDĐP – QPAN01
B.211</v>
          </cell>
          <cell r="E127" t="str">
            <v>VĂN – VAN12
B.211</v>
          </cell>
          <cell r="F127" t="str">
            <v>SỬ – SU03
B.211</v>
          </cell>
        </row>
        <row r="128">
          <cell r="B128" t="str">
            <v>ANH – ANH03
B.211</v>
          </cell>
          <cell r="C128" t="str">
            <v>HĐTN – VAN02
B.211</v>
          </cell>
          <cell r="D128" t="str">
            <v>CĐ SỬ – SU03
B.211</v>
          </cell>
          <cell r="E128" t="str">
            <v>TOÁN – TOAN14
B.211</v>
          </cell>
          <cell r="F128" t="str">
            <v>SỬ – SU03
B.211</v>
          </cell>
        </row>
        <row r="129">
          <cell r="B129" t="str">
            <v>ĐỊA – DIA03
B.211</v>
          </cell>
          <cell r="C129" t="str">
            <v>HĐTN – VAN02
B.211</v>
          </cell>
          <cell r="D129" t="str">
            <v>CĐ ĐỊA – DIA03
B.211</v>
          </cell>
          <cell r="E129" t="str">
            <v>TOÁN – TOAN14
B.211</v>
          </cell>
          <cell r="F129" t="str">
            <v>TIN – TIN03
C.218 (Vi tính 2)</v>
          </cell>
        </row>
        <row r="130">
          <cell r="B130" t="str">
            <v>NHÓM: GDTC</v>
          </cell>
          <cell r="C130" t="str">
            <v>ANH – ANH03
B.211</v>
          </cell>
          <cell r="D130" t="str">
            <v>NHÓM: STEM</v>
          </cell>
          <cell r="E130" t="str">
            <v>NHÓM: GDTC, THQT</v>
          </cell>
          <cell r="F130" t="str">
            <v>NHÓM: AVBN</v>
          </cell>
        </row>
        <row r="131">
          <cell r="B131" t="str">
            <v>NHÓM: GDTC</v>
          </cell>
          <cell r="C131" t="str">
            <v>LÝ – LY06
B.211</v>
          </cell>
          <cell r="D131" t="str">
            <v>NHÓM: STEM</v>
          </cell>
          <cell r="E131" t="str">
            <v>NHÓM: GDTC, THQT</v>
          </cell>
          <cell r="F131" t="str">
            <v>NHÓM: AVBN</v>
          </cell>
        </row>
        <row r="132">
          <cell r="B132" t="str">
            <v>NHÓM: THQT</v>
          </cell>
          <cell r="C132" t="str">
            <v>LÝ – LY06
B.211</v>
          </cell>
          <cell r="D132" t="str">
            <v>NHÓM: GDTC</v>
          </cell>
          <cell r="E132" t="str">
            <v>KTPL – KTPL02
B.211</v>
          </cell>
          <cell r="F132" t="str">
            <v>KTPL – KTPL02
B.211</v>
          </cell>
        </row>
        <row r="133">
          <cell r="B133" t="str">
            <v>NHÓM: THQT</v>
          </cell>
          <cell r="D133" t="str">
            <v>NHÓM: GDTC</v>
          </cell>
          <cell r="E133" t="str">
            <v>ĐỊA – DIA03
B.211</v>
          </cell>
          <cell r="F133" t="str">
            <v>TIN – TIN03
C.318 (Vi tính 3)</v>
          </cell>
        </row>
        <row r="136">
          <cell r="A136" t="str">
            <v>LỚP 10A12   |   GVCN: NGUYỄN THỊ XUÂN HƯƠNG   |   Phòng B.212</v>
          </cell>
        </row>
        <row r="138">
          <cell r="B138" t="str">
            <v>Chào cờ/HĐTN – LY07
B.212</v>
          </cell>
          <cell r="C138" t="str">
            <v>TIN – TIN04
C.218 (Vi tính 2)</v>
          </cell>
          <cell r="D138" t="str">
            <v>CĐ SỬ – SU03
B.212</v>
          </cell>
          <cell r="E138" t="str">
            <v>ANH – ANH03
B.212</v>
          </cell>
          <cell r="F138" t="str">
            <v>VĂN – VAN04
B.212</v>
          </cell>
          <cell r="G138" t="str">
            <v>HĐTN online – LY07</v>
          </cell>
        </row>
        <row r="139">
          <cell r="B139" t="str">
            <v>TOÁN – TOAN07
B.212</v>
          </cell>
          <cell r="C139" t="str">
            <v>KTPL – KTPL03
B.212</v>
          </cell>
          <cell r="D139" t="str">
            <v>TIN – TIN04
C.318 (Vi tính 3)</v>
          </cell>
          <cell r="E139" t="str">
            <v>ANH – ANH03
B.212</v>
          </cell>
          <cell r="F139" t="str">
            <v>TOÁN – TOAN07
B.212</v>
          </cell>
        </row>
        <row r="140">
          <cell r="B140" t="str">
            <v>VĂN – VAN04
B.212</v>
          </cell>
          <cell r="C140" t="str">
            <v>HĐTN – LY07
B.212</v>
          </cell>
          <cell r="D140" t="str">
            <v>CĐ ĐỊA – DIA03
B.212</v>
          </cell>
          <cell r="E140" t="str">
            <v>ĐỊA – DIA03
B.212</v>
          </cell>
          <cell r="F140" t="str">
            <v>TOÁN – TOAN07
B.212</v>
          </cell>
        </row>
        <row r="141">
          <cell r="B141" t="str">
            <v>VĂN – VAN04
B.212</v>
          </cell>
          <cell r="C141" t="str">
            <v>LÝ – LY07
B.212</v>
          </cell>
          <cell r="D141" t="str">
            <v>KTPL – KTPL03
B.212</v>
          </cell>
          <cell r="E141" t="str">
            <v>ĐỊA – DIA03
B.212</v>
          </cell>
          <cell r="F141" t="str">
            <v>GDĐP – LY04
B.212</v>
          </cell>
        </row>
        <row r="142">
          <cell r="B142" t="str">
            <v>NHÓM: GDTC</v>
          </cell>
          <cell r="C142" t="str">
            <v>NHÓM: AVBN</v>
          </cell>
          <cell r="D142" t="str">
            <v>NHÓM: STEM</v>
          </cell>
          <cell r="E142" t="str">
            <v>NHÓM: GDTC</v>
          </cell>
          <cell r="F142" t="str">
            <v>NHÓM: AVBN</v>
          </cell>
        </row>
        <row r="143">
          <cell r="B143" t="str">
            <v>NHÓM: GDTC</v>
          </cell>
          <cell r="C143" t="str">
            <v>NHÓM: AVBN</v>
          </cell>
          <cell r="D143" t="str">
            <v>NHÓM: STEM</v>
          </cell>
          <cell r="E143" t="str">
            <v>NHÓM: GDTC</v>
          </cell>
          <cell r="F143" t="str">
            <v>NHÓM: AVBN</v>
          </cell>
        </row>
        <row r="144">
          <cell r="B144" t="str">
            <v>NHÓM: THQT</v>
          </cell>
          <cell r="C144" t="str">
            <v>QPAN – QPAN01
Sân / BM Quốc phòng</v>
          </cell>
          <cell r="E144" t="str">
            <v>LÝ – LY07
B.212</v>
          </cell>
          <cell r="F144" t="str">
            <v>SỬ – SU03
B.212</v>
          </cell>
        </row>
        <row r="145">
          <cell r="B145" t="str">
            <v>NHÓM: THQT</v>
          </cell>
          <cell r="C145" t="str">
            <v>ANH – ANH03
B.212</v>
          </cell>
          <cell r="E145" t="str">
            <v>SỬ – SU03
B.212</v>
          </cell>
          <cell r="F145" t="str">
            <v>CĐ VĂN – VAN04
B.212</v>
          </cell>
        </row>
        <row r="148">
          <cell r="A148" t="str">
            <v>LỚP 10A13   |   GVCN: VĂN HUỲNH BẢO PHƯƠNG   |   Phòng B.312</v>
          </cell>
        </row>
        <row r="150">
          <cell r="B150" t="str">
            <v>Chào cờ/HĐTN – ANH07
B.312</v>
          </cell>
          <cell r="C150" t="str">
            <v>LÝ – LY10
B.312</v>
          </cell>
          <cell r="D150" t="str">
            <v>SỬ – SU01
B.312</v>
          </cell>
          <cell r="E150" t="str">
            <v>QPAN – QPAN03
Sân / BM Quốc phòng</v>
          </cell>
          <cell r="F150" t="str">
            <v>HĐTN – LY12
B.312</v>
          </cell>
        </row>
        <row r="151">
          <cell r="B151" t="str">
            <v>CĐ SỬ – SU01
B.312</v>
          </cell>
          <cell r="C151" t="str">
            <v>LÝ – LY10
B.312</v>
          </cell>
          <cell r="D151" t="str">
            <v>KTPL – KTPL02
B.312</v>
          </cell>
          <cell r="E151" t="str">
            <v>TIN – TIN02
C.218 (Vi tính 2)</v>
          </cell>
          <cell r="F151" t="str">
            <v>HĐTN – LY12
B.312</v>
          </cell>
        </row>
        <row r="152">
          <cell r="B152" t="str">
            <v>CĐ VĂN – VAN09
B.312</v>
          </cell>
          <cell r="C152" t="str">
            <v>ANH – ANH07
B.312</v>
          </cell>
          <cell r="D152" t="str">
            <v>ĐỊA – DIA01
B.312</v>
          </cell>
          <cell r="E152" t="str">
            <v>VĂN – VAN09
B.312</v>
          </cell>
          <cell r="F152" t="str">
            <v>CĐ ĐỊA – DIA01
B.312</v>
          </cell>
        </row>
        <row r="153">
          <cell r="B153" t="str">
            <v>KTPL – KTPL02
B.312</v>
          </cell>
          <cell r="C153" t="str">
            <v>VĂN – VAN09
B.312</v>
          </cell>
          <cell r="D153" t="str">
            <v>TIN – TIN02
C.218 (Vi tính 2)</v>
          </cell>
          <cell r="E153" t="str">
            <v>VĂN – VAN09
B.312</v>
          </cell>
          <cell r="F153" t="str">
            <v>TOÁN – TOAN05
B.312</v>
          </cell>
        </row>
        <row r="154">
          <cell r="B154" t="str">
            <v>NHÓM: GDTC</v>
          </cell>
          <cell r="C154" t="str">
            <v>NHÓM: AVBN</v>
          </cell>
          <cell r="D154" t="str">
            <v>NHÓM: STEM</v>
          </cell>
          <cell r="E154" t="str">
            <v>NHÓM: GDTC</v>
          </cell>
          <cell r="F154" t="str">
            <v>ANH – ANH07
B.312</v>
          </cell>
        </row>
        <row r="155">
          <cell r="B155" t="str">
            <v>NHÓM: GDTC</v>
          </cell>
          <cell r="C155" t="str">
            <v>NHÓM: AVBN</v>
          </cell>
          <cell r="D155" t="str">
            <v>NHÓM: STEM</v>
          </cell>
          <cell r="E155" t="str">
            <v>NHÓM: GDTC</v>
          </cell>
          <cell r="F155" t="str">
            <v>ANH – ANH07
B.312</v>
          </cell>
        </row>
        <row r="156">
          <cell r="B156" t="str">
            <v>NHÓM: GDTC, THQT</v>
          </cell>
          <cell r="C156" t="str">
            <v>SỬ – SU01
B.312</v>
          </cell>
          <cell r="D156" t="str">
            <v>NHÓM: GDTC, THQT</v>
          </cell>
          <cell r="E156" t="str">
            <v>TOÁN – TOAN05
B.312</v>
          </cell>
          <cell r="F156" t="str">
            <v>GDĐP – LY11
B.312</v>
          </cell>
        </row>
        <row r="157">
          <cell r="B157" t="str">
            <v>NHÓM: GDTC, THQT</v>
          </cell>
          <cell r="C157" t="str">
            <v>ĐỊA – DIA01
B.312</v>
          </cell>
          <cell r="D157" t="str">
            <v>NHÓM: GDTC, THQT</v>
          </cell>
          <cell r="E157" t="str">
            <v>TOÁN – TOAN05
B.312</v>
          </cell>
        </row>
        <row r="160">
          <cell r="A160" t="str">
            <v>LỚP 10A14   |   GVCN: PHAN QUANG ÁNH   |   Phòng B.311</v>
          </cell>
        </row>
        <row r="162">
          <cell r="B162" t="str">
            <v>Chào cờ/HĐTN – TOAN02
B.311</v>
          </cell>
          <cell r="C162" t="str">
            <v>LÝ – LY01
B.311</v>
          </cell>
          <cell r="D162" t="str">
            <v>TOÁN – TOAN02
B.311</v>
          </cell>
          <cell r="E162" t="str">
            <v>SỬ – SU03
B.311</v>
          </cell>
          <cell r="F162" t="str">
            <v>CN – CN01
B.311</v>
          </cell>
        </row>
        <row r="163">
          <cell r="B163" t="str">
            <v>SINH – SINH02
B.311</v>
          </cell>
          <cell r="C163" t="str">
            <v>GDĐP – SINH02
B.311</v>
          </cell>
          <cell r="D163" t="str">
            <v>CĐ TOÁN – TOAN02
B.311</v>
          </cell>
          <cell r="E163" t="str">
            <v>LÝ – LY01
B.311</v>
          </cell>
          <cell r="F163" t="str">
            <v>CN – CN01
B.311</v>
          </cell>
          <cell r="G163" t="str">
            <v>HĐTN online – TOAN02</v>
          </cell>
        </row>
        <row r="164">
          <cell r="B164" t="str">
            <v>ANH – ANH02
B.311</v>
          </cell>
          <cell r="C164" t="str">
            <v>SINH – SINH02
B.311</v>
          </cell>
          <cell r="D164" t="str">
            <v>CĐ SINH – SINH02
B.311</v>
          </cell>
          <cell r="E164" t="str">
            <v>CĐ LÝ – LY01
B.311</v>
          </cell>
          <cell r="F164" t="str">
            <v>TOÁN – TOAN02
B.311</v>
          </cell>
        </row>
        <row r="165">
          <cell r="B165" t="str">
            <v>TOÁN – TOAN02
B.311</v>
          </cell>
          <cell r="C165" t="str">
            <v>TIN – TIN01
C.118 (Vi tính 1)</v>
          </cell>
          <cell r="D165" t="str">
            <v>TIN – TIN01
C.318 (Vi tính 3)</v>
          </cell>
          <cell r="E165" t="str">
            <v>SỬ – SU03
B.311</v>
          </cell>
          <cell r="F165" t="str">
            <v>HĐTN – TOAN02
B.311</v>
          </cell>
        </row>
        <row r="166">
          <cell r="B166" t="str">
            <v>NHÓM: GDTC, THQT</v>
          </cell>
          <cell r="C166" t="str">
            <v>NHÓM: AVBN</v>
          </cell>
          <cell r="D166" t="str">
            <v>NHÓM: AVBN, STEM</v>
          </cell>
          <cell r="E166" t="str">
            <v>NHÓM: GDTC</v>
          </cell>
          <cell r="F166" t="str">
            <v>QPAN – QPAN02
Sân / BM Quốc phòng</v>
          </cell>
        </row>
        <row r="167">
          <cell r="B167" t="str">
            <v>NHÓM: GDTC, THQT</v>
          </cell>
          <cell r="C167" t="str">
            <v>NHÓM: AVBN</v>
          </cell>
          <cell r="D167" t="str">
            <v>NHÓM: AVBN, STEM</v>
          </cell>
          <cell r="E167" t="str">
            <v>NHÓM: GDTC</v>
          </cell>
          <cell r="F167" t="str">
            <v>VĂN – VAN04
B.311</v>
          </cell>
        </row>
        <row r="168">
          <cell r="B168" t="str">
            <v>NHÓM: GDTC</v>
          </cell>
          <cell r="C168" t="str">
            <v>NHÓM: STEM</v>
          </cell>
          <cell r="D168" t="str">
            <v>NHÓM: THQT</v>
          </cell>
          <cell r="E168" t="str">
            <v>VĂN – VAN04
B.311</v>
          </cell>
          <cell r="F168" t="str">
            <v>ANH – ANH02
B.311</v>
          </cell>
        </row>
        <row r="169">
          <cell r="B169" t="str">
            <v>NHÓM: GDTC</v>
          </cell>
          <cell r="C169" t="str">
            <v>NHÓM: STEM</v>
          </cell>
          <cell r="D169" t="str">
            <v>NHÓM: THQT</v>
          </cell>
          <cell r="E169" t="str">
            <v>VĂN – VAN04
B.311</v>
          </cell>
          <cell r="F169" t="str">
            <v>ANH – ANH02
B.311</v>
          </cell>
        </row>
        <row r="172">
          <cell r="A172" t="str">
            <v>LỚP 10A15   |   GVCN: TRẦN HỒNG UYÊN   |   Phòng B.310</v>
          </cell>
        </row>
        <row r="174">
          <cell r="B174" t="str">
            <v>Chào cờ/HĐTN – LY09
B.310</v>
          </cell>
          <cell r="C174" t="str">
            <v>ANH – ANH07
B.310</v>
          </cell>
          <cell r="D174" t="str">
            <v>HĐTN – SINH03
B.310</v>
          </cell>
          <cell r="E174" t="str">
            <v>VĂN – VAN14
B.310</v>
          </cell>
          <cell r="F174" t="str">
            <v>CN – CN02
B.310</v>
          </cell>
        </row>
        <row r="175">
          <cell r="B175" t="str">
            <v>GDĐP – LY11
B.310</v>
          </cell>
          <cell r="C175" t="str">
            <v>ANH – ANH07
B.310</v>
          </cell>
          <cell r="D175" t="str">
            <v>TOÁN – TOAN14
B.310</v>
          </cell>
          <cell r="E175" t="str">
            <v>CĐ TOÁN – TOAN14
B.310</v>
          </cell>
          <cell r="F175" t="str">
            <v>CN – CN02
B.310</v>
          </cell>
          <cell r="G175" t="str">
            <v>HĐTN online – SINH03</v>
          </cell>
        </row>
        <row r="176">
          <cell r="B176" t="str">
            <v>SỬ – SU01
B.310</v>
          </cell>
          <cell r="C176" t="str">
            <v>SINH – SINH03
B.310</v>
          </cell>
          <cell r="D176" t="str">
            <v>TIN – TIN04
C.318 (Vi tính 3)</v>
          </cell>
          <cell r="E176" t="str">
            <v>TIN – TIN04
C.118 (Vi tính 1)</v>
          </cell>
          <cell r="F176" t="str">
            <v>TOÁN – TOAN14
B.310</v>
          </cell>
        </row>
        <row r="177">
          <cell r="B177" t="str">
            <v>LÝ – LY09
B.310</v>
          </cell>
          <cell r="C177" t="str">
            <v>CĐ SINH – SINH03
B.310</v>
          </cell>
          <cell r="D177" t="str">
            <v>SINH – SINH03
B.310</v>
          </cell>
          <cell r="E177" t="str">
            <v>SỬ – SU01
B.310</v>
          </cell>
          <cell r="F177" t="str">
            <v>TOÁN – TOAN14
B.310</v>
          </cell>
        </row>
        <row r="178">
          <cell r="B178" t="str">
            <v>NHÓM: THQT</v>
          </cell>
          <cell r="C178" t="str">
            <v>NHÓM: GDTC</v>
          </cell>
          <cell r="D178" t="str">
            <v>NHÓM: AVBN</v>
          </cell>
          <cell r="E178" t="str">
            <v>NHÓM: GDTC</v>
          </cell>
          <cell r="F178" t="str">
            <v>VĂN – VAN14
B.310</v>
          </cell>
        </row>
        <row r="179">
          <cell r="B179" t="str">
            <v>NHÓM: THQT</v>
          </cell>
          <cell r="C179" t="str">
            <v>NHÓM: GDTC</v>
          </cell>
          <cell r="D179" t="str">
            <v>NHÓM: AVBN</v>
          </cell>
          <cell r="E179" t="str">
            <v>NHÓM: GDTC</v>
          </cell>
          <cell r="F179" t="str">
            <v>VĂN – VAN14
B.310</v>
          </cell>
        </row>
        <row r="180">
          <cell r="B180" t="str">
            <v>NHÓM: GDTC</v>
          </cell>
          <cell r="C180" t="str">
            <v>NHÓM: STEM</v>
          </cell>
          <cell r="D180" t="str">
            <v>NHÓM: AVBN</v>
          </cell>
          <cell r="E180" t="str">
            <v>CĐ LÝ – LY09
B.310</v>
          </cell>
          <cell r="F180" t="str">
            <v>ANH – ANH07
B.310</v>
          </cell>
        </row>
        <row r="181">
          <cell r="B181" t="str">
            <v>NHÓM: GDTC</v>
          </cell>
          <cell r="C181" t="str">
            <v>NHÓM: STEM</v>
          </cell>
          <cell r="D181" t="str">
            <v>NHÓM: AVBN</v>
          </cell>
          <cell r="E181" t="str">
            <v>LÝ – LY09
B.310</v>
          </cell>
          <cell r="F181" t="str">
            <v>QPAN – QPAN02
Sân / BM Quốc phòng</v>
          </cell>
        </row>
        <row r="184">
          <cell r="A184" t="str">
            <v>LỚP 10A16   |   GVCN: NGUYỄN VIỆT PHƯƠNG   |   Phòng B.309</v>
          </cell>
        </row>
        <row r="186">
          <cell r="B186" t="str">
            <v>Chào cờ/HĐTN – TOAN11
B.309</v>
          </cell>
          <cell r="C186" t="str">
            <v>HĐTN – VAN02
B.309</v>
          </cell>
          <cell r="D186" t="str">
            <v>TOÁN – TOAN11
B.309</v>
          </cell>
          <cell r="E186" t="str">
            <v>TIN – TIN04
C.118 (Vi tính 1)</v>
          </cell>
          <cell r="F186" t="str">
            <v>SỬ – SU03
B.309</v>
          </cell>
        </row>
        <row r="187">
          <cell r="B187" t="str">
            <v>ANH – ANH10
B.309</v>
          </cell>
          <cell r="C187" t="str">
            <v>HĐTN – VAN02
B.309</v>
          </cell>
          <cell r="D187" t="str">
            <v>ANH – ANH10
B.309</v>
          </cell>
          <cell r="E187" t="str">
            <v>TIN – TIN04
C.318 (Vi tính 3)</v>
          </cell>
          <cell r="F187" t="str">
            <v>VĂN – VAN04
B.309</v>
          </cell>
        </row>
        <row r="188">
          <cell r="B188" t="str">
            <v>CĐ TOÁN – TOAN11
B.309</v>
          </cell>
          <cell r="C188" t="str">
            <v>HÓA – HOA01
B.309</v>
          </cell>
          <cell r="D188" t="str">
            <v>ANH – ANH10
B.309</v>
          </cell>
          <cell r="E188" t="str">
            <v>GDĐP – HOA03
B.309</v>
          </cell>
          <cell r="F188" t="str">
            <v>QPAN – QPAN02
Sân / BM Quốc phòng</v>
          </cell>
        </row>
        <row r="189">
          <cell r="B189" t="str">
            <v>SINH – SINH05
B.309</v>
          </cell>
          <cell r="C189" t="str">
            <v>SINH – SINH05
B.309</v>
          </cell>
          <cell r="D189" t="str">
            <v>SỬ – SU03
B.309</v>
          </cell>
          <cell r="E189" t="str">
            <v>CĐ HÓA – HOA01
B.309</v>
          </cell>
          <cell r="F189" t="str">
            <v>CN – CN01
B.309</v>
          </cell>
        </row>
        <row r="190">
          <cell r="B190" t="str">
            <v>NHÓM: GDTC, THQT</v>
          </cell>
          <cell r="C190" t="str">
            <v>NHÓM: GDTC, THQT</v>
          </cell>
          <cell r="D190" t="str">
            <v>VĂN – VAN04
B.309</v>
          </cell>
          <cell r="E190" t="str">
            <v>NHÓM: GDTC</v>
          </cell>
          <cell r="F190" t="str">
            <v>TOÁN – TOAN11
B.309</v>
          </cell>
        </row>
        <row r="191">
          <cell r="B191" t="str">
            <v>NHÓM: GDTC, THQT</v>
          </cell>
          <cell r="C191" t="str">
            <v>NHÓM: GDTC, THQT</v>
          </cell>
          <cell r="D191" t="str">
            <v>VĂN – VAN04
B.309</v>
          </cell>
          <cell r="E191" t="str">
            <v>NHÓM: GDTC</v>
          </cell>
          <cell r="F191" t="str">
            <v>TOÁN – TOAN11
B.309</v>
          </cell>
        </row>
        <row r="192">
          <cell r="B192" t="str">
            <v>NHÓM: GDTC</v>
          </cell>
          <cell r="C192" t="str">
            <v>NHÓM: STEM</v>
          </cell>
          <cell r="D192" t="str">
            <v>NHÓM: AVBN</v>
          </cell>
          <cell r="E192" t="str">
            <v>CĐ SINH – SINH05
B.309</v>
          </cell>
          <cell r="F192" t="str">
            <v>CN – CN01
B.309</v>
          </cell>
        </row>
        <row r="193">
          <cell r="B193" t="str">
            <v>NHÓM: GDTC</v>
          </cell>
          <cell r="C193" t="str">
            <v>NHÓM: STEM</v>
          </cell>
          <cell r="D193" t="str">
            <v>NHÓM: AVBN</v>
          </cell>
          <cell r="E193" t="str">
            <v>HÓA – HOA01
B.309</v>
          </cell>
        </row>
        <row r="196">
          <cell r="A196" t="str">
            <v>LỚP 10A17   |   GVCN: NGUYỄN BẢO TRANG   |   Phòng B.115</v>
          </cell>
        </row>
        <row r="198">
          <cell r="B198" t="str">
            <v>Chào cờ/HĐTN – SINH05
B.115</v>
          </cell>
          <cell r="C198" t="str">
            <v>HÓA – HOA02
B.115</v>
          </cell>
          <cell r="D198" t="str">
            <v>HĐTN – SINH05
B.115</v>
          </cell>
          <cell r="E198" t="str">
            <v>ANH – ANH04
B.115</v>
          </cell>
          <cell r="F198" t="str">
            <v>CĐ TOÁN – TOAN06
B.115</v>
          </cell>
          <cell r="G198" t="str">
            <v>HĐTN online – SINH05</v>
          </cell>
        </row>
        <row r="199">
          <cell r="B199" t="str">
            <v>VĂN – VAN05
B.115</v>
          </cell>
          <cell r="C199" t="str">
            <v>CN – CN02
B.115</v>
          </cell>
          <cell r="D199" t="str">
            <v>SINH – SINH05
B.115</v>
          </cell>
          <cell r="E199" t="str">
            <v>ANH – ANH04
B.115</v>
          </cell>
          <cell r="F199" t="str">
            <v>TOÁN – TOAN06
B.115</v>
          </cell>
        </row>
        <row r="200">
          <cell r="B200" t="str">
            <v>SINH – SINH05
B.115</v>
          </cell>
          <cell r="C200" t="str">
            <v>CN – CN02
B.115</v>
          </cell>
          <cell r="D200" t="str">
            <v>TOÁN – TOAN06
B.115</v>
          </cell>
          <cell r="E200" t="str">
            <v>TOÁN – TOAN06
B.115</v>
          </cell>
          <cell r="F200" t="str">
            <v>QPAN – QPAN03
Sân / BM Quốc phòng</v>
          </cell>
        </row>
        <row r="201">
          <cell r="B201" t="str">
            <v>HÓA – HOA02
B.115</v>
          </cell>
          <cell r="C201" t="str">
            <v>ANH – ANH04
B.115</v>
          </cell>
          <cell r="D201" t="str">
            <v>SỬ – SU01
B.115</v>
          </cell>
          <cell r="E201" t="str">
            <v>CĐ HÓA – HOA02
B.115</v>
          </cell>
          <cell r="F201" t="str">
            <v>GDĐP – LY11
B.115</v>
          </cell>
        </row>
        <row r="202">
          <cell r="C202" t="str">
            <v>NHÓM: THQT</v>
          </cell>
          <cell r="D202" t="str">
            <v>VĂN – VAN05
B.115</v>
          </cell>
          <cell r="E202" t="str">
            <v>NHÓM: GDTC</v>
          </cell>
          <cell r="F202" t="str">
            <v>NHÓM: STEM</v>
          </cell>
        </row>
        <row r="203">
          <cell r="C203" t="str">
            <v>NHÓM: THQT</v>
          </cell>
          <cell r="D203" t="str">
            <v>VĂN – VAN05
B.115</v>
          </cell>
          <cell r="E203" t="str">
            <v>NHÓM: GDTC</v>
          </cell>
          <cell r="F203" t="str">
            <v>NHÓM: STEM</v>
          </cell>
        </row>
        <row r="204">
          <cell r="B204" t="str">
            <v>NHÓM: GDTC</v>
          </cell>
          <cell r="C204" t="str">
            <v>NHÓM: AVBN, STEM</v>
          </cell>
          <cell r="D204" t="str">
            <v>NHÓM: AVBN</v>
          </cell>
          <cell r="E204" t="str">
            <v>SỬ – SU01
B.115</v>
          </cell>
          <cell r="F204" t="str">
            <v>TIN – TIN04
C.318 (Vi tính 3)</v>
          </cell>
        </row>
        <row r="205">
          <cell r="B205" t="str">
            <v>NHÓM: GDTC</v>
          </cell>
          <cell r="C205" t="str">
            <v>NHÓM: AVBN, STEM</v>
          </cell>
          <cell r="D205" t="str">
            <v>NHÓM: AVBN</v>
          </cell>
          <cell r="E205" t="str">
            <v>CĐ SINH – SINH05
B.115</v>
          </cell>
          <cell r="F205" t="str">
            <v>TIN – TIN04
C.117 (Vi tính 4)</v>
          </cell>
        </row>
        <row r="208">
          <cell r="A208" t="str">
            <v>LỚP 10A18   |   GVCN: NGUYỄN VĂN TÂM   |   Phòng B.114</v>
          </cell>
        </row>
        <row r="210">
          <cell r="B210" t="str">
            <v>Chào cờ/HĐTN – TOAN08
B.114</v>
          </cell>
          <cell r="C210" t="str">
            <v>TIN – TIN01
C.318 (Vi tính 3)</v>
          </cell>
          <cell r="D210" t="str">
            <v>HĐTN – DIA05
B.114</v>
          </cell>
          <cell r="E210" t="str">
            <v>ANH – ANH09
B.114</v>
          </cell>
          <cell r="F210" t="str">
            <v>TOÁN – TOAN08
B.114</v>
          </cell>
        </row>
        <row r="211">
          <cell r="B211" t="str">
            <v>ANH – ANH09
B.114</v>
          </cell>
          <cell r="C211" t="str">
            <v>SINH – SINH04
B.114</v>
          </cell>
          <cell r="D211" t="str">
            <v>CĐ TOÁN – TOAN08
B.114</v>
          </cell>
          <cell r="E211" t="str">
            <v>ANH – ANH09
B.114</v>
          </cell>
          <cell r="F211" t="str">
            <v>ĐỊA – DIA04
B.114</v>
          </cell>
        </row>
        <row r="212">
          <cell r="B212" t="str">
            <v>TOÁN – TOAN08
B.114</v>
          </cell>
          <cell r="C212" t="str">
            <v>CĐ SINH – SINH04
B.114</v>
          </cell>
          <cell r="D212" t="str">
            <v>SỬ – SU05
B.114</v>
          </cell>
          <cell r="E212" t="str">
            <v>QPAN – QPAN02
Sân / BM Quốc phòng</v>
          </cell>
          <cell r="F212" t="str">
            <v>TIN – TIN01
C.118 (Vi tính 1)</v>
          </cell>
          <cell r="G212" t="str">
            <v>HĐTN online – DIA05</v>
          </cell>
        </row>
        <row r="213">
          <cell r="B213" t="str">
            <v>TOÁN – TOAN08
B.114</v>
          </cell>
          <cell r="C213" t="str">
            <v>CĐ VĂN – VAN06
B.114</v>
          </cell>
          <cell r="D213" t="str">
            <v>SINH – SINH04
B.114</v>
          </cell>
          <cell r="E213" t="str">
            <v>ĐỊA – DIA04
B.114</v>
          </cell>
          <cell r="F213" t="str">
            <v>VĂN – VAN06
B.114</v>
          </cell>
        </row>
        <row r="214">
          <cell r="B214" t="str">
            <v>KTPL – KTPL04
B.114</v>
          </cell>
          <cell r="C214" t="str">
            <v>NHÓM: THQT</v>
          </cell>
          <cell r="D214" t="str">
            <v>NHÓM: THQT</v>
          </cell>
          <cell r="E214" t="str">
            <v>NHÓM: GDTC</v>
          </cell>
          <cell r="F214" t="str">
            <v>NHÓM: STEM</v>
          </cell>
        </row>
        <row r="215">
          <cell r="B215" t="str">
            <v>KTPL – KTPL04
B.114</v>
          </cell>
          <cell r="C215" t="str">
            <v>NHÓM: THQT</v>
          </cell>
          <cell r="D215" t="str">
            <v>NHÓM: THQT</v>
          </cell>
          <cell r="E215" t="str">
            <v>NHÓM: GDTC</v>
          </cell>
          <cell r="F215" t="str">
            <v>NHÓM: STEM</v>
          </cell>
        </row>
        <row r="216">
          <cell r="B216" t="str">
            <v>NHÓM: GDTC</v>
          </cell>
          <cell r="C216" t="str">
            <v>NHÓM: AVBN</v>
          </cell>
          <cell r="D216" t="str">
            <v>NHÓM: GDTC</v>
          </cell>
          <cell r="E216" t="str">
            <v>VĂN – VAN06
B.114</v>
          </cell>
          <cell r="F216" t="str">
            <v>SỬ – SU05
B.114</v>
          </cell>
        </row>
        <row r="217">
          <cell r="B217" t="str">
            <v>NHÓM: GDTC</v>
          </cell>
          <cell r="C217" t="str">
            <v>NHÓM: AVBN</v>
          </cell>
          <cell r="D217" t="str">
            <v>NHÓM: GDTC</v>
          </cell>
          <cell r="E217" t="str">
            <v>VĂN – VAN06
B.114</v>
          </cell>
          <cell r="F217" t="str">
            <v>GDĐP – LY11
B.114</v>
          </cell>
        </row>
        <row r="220">
          <cell r="A220" t="str">
            <v>LỚP 10A19   |   GVCN: PHẠM LÊ THÙY DUNG   |   Phòng B.214</v>
          </cell>
        </row>
        <row r="222">
          <cell r="B222" t="str">
            <v>Chào cờ/HĐTN – TOAN04
B.214</v>
          </cell>
          <cell r="C222" t="str">
            <v>HĐTN – LY03
B.214</v>
          </cell>
          <cell r="D222" t="str">
            <v>ĐỊA – DIA03
B.214</v>
          </cell>
          <cell r="E222" t="str">
            <v>TIN – TIN03
C.218 (Vi tính 2)</v>
          </cell>
          <cell r="F222" t="str">
            <v>TOÁN – TOAN04
B.214</v>
          </cell>
          <cell r="G222" t="str">
            <v>HĐTN online – LY03</v>
          </cell>
        </row>
        <row r="223">
          <cell r="B223" t="str">
            <v>SỬ – SU05
B.214</v>
          </cell>
          <cell r="C223" t="str">
            <v>GDĐP – LY06
B.214</v>
          </cell>
          <cell r="D223" t="str">
            <v>ĐỊA – DIA03
B.214</v>
          </cell>
          <cell r="E223" t="str">
            <v>SỬ – SU05
B.214</v>
          </cell>
          <cell r="F223" t="str">
            <v>TOÁN – TOAN04
B.214</v>
          </cell>
        </row>
        <row r="224">
          <cell r="B224" t="str">
            <v>CĐ SINH – SINH04
B.214</v>
          </cell>
          <cell r="C224" t="str">
            <v>ANH – ANH10
B.214</v>
          </cell>
          <cell r="D224" t="str">
            <v>SINH – SINH04
B.214</v>
          </cell>
          <cell r="E224" t="str">
            <v>VĂN – VAN01
B.214</v>
          </cell>
          <cell r="F224" t="str">
            <v>VĂN – VAN01
B.214</v>
          </cell>
        </row>
        <row r="225">
          <cell r="B225" t="str">
            <v>SINH – SINH04
B.214</v>
          </cell>
          <cell r="C225" t="str">
            <v>KTPL – KTPL02
B.214</v>
          </cell>
          <cell r="D225" t="str">
            <v>ANH – ANH10
B.214</v>
          </cell>
          <cell r="E225" t="str">
            <v>VĂN – VAN01
B.214</v>
          </cell>
          <cell r="F225" t="str">
            <v>CĐ VĂN – VAN01
B.214</v>
          </cell>
        </row>
        <row r="226">
          <cell r="B226" t="str">
            <v>ANH – ANH10
B.214</v>
          </cell>
          <cell r="C226" t="str">
            <v>QPAN – QPAN03
Sân / BM Quốc phòng</v>
          </cell>
          <cell r="D226" t="str">
            <v>NHÓM: THQT</v>
          </cell>
          <cell r="E226" t="str">
            <v>NHÓM: GDTC</v>
          </cell>
          <cell r="F226" t="str">
            <v>NHÓM: STEM</v>
          </cell>
        </row>
        <row r="227">
          <cell r="B227" t="str">
            <v>CĐ TOÁN – TOAN04
B.214</v>
          </cell>
          <cell r="C227" t="str">
            <v>TOÁN – TOAN04
B.214</v>
          </cell>
          <cell r="D227" t="str">
            <v>NHÓM: THQT</v>
          </cell>
          <cell r="E227" t="str">
            <v>NHÓM: GDTC</v>
          </cell>
          <cell r="F227" t="str">
            <v>NHÓM: STEM</v>
          </cell>
        </row>
        <row r="228">
          <cell r="B228" t="str">
            <v>NHÓM: GDTC</v>
          </cell>
          <cell r="C228" t="str">
            <v>NHÓM: AVBN</v>
          </cell>
          <cell r="D228" t="str">
            <v>NHÓM: GDTC</v>
          </cell>
          <cell r="F228" t="str">
            <v>TIN – TIN03
C.117 (Vi tính 4)</v>
          </cell>
        </row>
        <row r="229">
          <cell r="B229" t="str">
            <v>NHÓM: GDTC</v>
          </cell>
          <cell r="C229" t="str">
            <v>NHÓM: AVBN</v>
          </cell>
          <cell r="D229" t="str">
            <v>NHÓM: GDTC</v>
          </cell>
          <cell r="F229" t="str">
            <v>KTPL – KTPL02
B.214</v>
          </cell>
        </row>
        <row r="232">
          <cell r="A232" t="str">
            <v>LỚP 10A20   |   GVCN: LÊ THỊ TUYẾT THU   |   Phòng B.215</v>
          </cell>
        </row>
        <row r="234">
          <cell r="B234" t="str">
            <v>Chào cờ/HĐTN – KTPL03
B.215</v>
          </cell>
          <cell r="C234" t="str">
            <v>ANH – ANH01
B.215</v>
          </cell>
          <cell r="D234" t="str">
            <v>KTPL – KTPL03
B.215</v>
          </cell>
          <cell r="E234" t="str">
            <v>TIN – TIN02
C.318 (Vi tính 3)</v>
          </cell>
          <cell r="F234" t="str">
            <v>SỬ – SU05
B.215</v>
          </cell>
          <cell r="G234" t="str">
            <v>HĐTN online – LY10</v>
          </cell>
        </row>
        <row r="235">
          <cell r="B235" t="str">
            <v>ĐỊA – DIA03
B.215</v>
          </cell>
          <cell r="C235" t="str">
            <v>GDĐP – LY11
B.215</v>
          </cell>
          <cell r="D235" t="str">
            <v>TIN – TIN02
C.117 (Vi tính 4)</v>
          </cell>
          <cell r="E235" t="str">
            <v>SINH – SINH01
B.215</v>
          </cell>
          <cell r="F235" t="str">
            <v>VĂN – VAN05
B.215</v>
          </cell>
        </row>
        <row r="236">
          <cell r="B236" t="str">
            <v>VĂN – VAN05
B.215</v>
          </cell>
          <cell r="C236" t="str">
            <v>SINH – SINH01
B.215</v>
          </cell>
          <cell r="D236" t="str">
            <v>TOÁN – TOAN01
B.215</v>
          </cell>
          <cell r="E236" t="str">
            <v>CĐ SINH – SINH01
B.215</v>
          </cell>
          <cell r="F236" t="str">
            <v>ĐỊA – DIA03
B.215</v>
          </cell>
        </row>
        <row r="237">
          <cell r="B237" t="str">
            <v>VĂN – VAN05
B.215</v>
          </cell>
          <cell r="C237" t="str">
            <v>KTPL – KTPL03
B.215</v>
          </cell>
          <cell r="D237" t="str">
            <v>TOÁN – TOAN01
B.215</v>
          </cell>
          <cell r="E237" t="str">
            <v>SỬ – SU05
B.215</v>
          </cell>
          <cell r="F237" t="str">
            <v>HĐTN – LY10
B.215</v>
          </cell>
        </row>
        <row r="238">
          <cell r="B238" t="str">
            <v>NHÓM: GDTC</v>
          </cell>
          <cell r="C238" t="str">
            <v>NHÓM: AVBN</v>
          </cell>
          <cell r="D238" t="str">
            <v>NHÓM: THQT</v>
          </cell>
          <cell r="E238" t="str">
            <v>NHÓM: GDTC</v>
          </cell>
          <cell r="F238" t="str">
            <v>NHÓM: STEM</v>
          </cell>
        </row>
        <row r="239">
          <cell r="B239" t="str">
            <v>NHÓM: GDTC</v>
          </cell>
          <cell r="C239" t="str">
            <v>NHÓM: AVBN</v>
          </cell>
          <cell r="D239" t="str">
            <v>NHÓM: THQT</v>
          </cell>
          <cell r="E239" t="str">
            <v>NHÓM: GDTC</v>
          </cell>
          <cell r="F239" t="str">
            <v>NHÓM: STEM</v>
          </cell>
        </row>
        <row r="240">
          <cell r="B240" t="str">
            <v>NHÓM: GDTC</v>
          </cell>
          <cell r="C240" t="str">
            <v>CĐ VĂN – VAN05
B.215</v>
          </cell>
          <cell r="D240" t="str">
            <v>NHÓM: GDTC</v>
          </cell>
          <cell r="E240" t="str">
            <v>TOÁN – TOAN01
B.215</v>
          </cell>
          <cell r="F240" t="str">
            <v>ANH – ANH01
B.215</v>
          </cell>
        </row>
        <row r="241">
          <cell r="B241" t="str">
            <v>NHÓM: GDTC</v>
          </cell>
          <cell r="C241" t="str">
            <v>QPAN – QPAN03
Sân / BM Quốc phòng</v>
          </cell>
          <cell r="D241" t="str">
            <v>NHÓM: GDTC</v>
          </cell>
          <cell r="E241" t="str">
            <v>CĐ TOÁN – TOAN01
B.215</v>
          </cell>
          <cell r="F241" t="str">
            <v>ANH – ANH01
B.215</v>
          </cell>
        </row>
        <row r="244">
          <cell r="A244" t="str">
            <v>LỚP 10A21   |   GVCN: HUỲNH THỊ DIỄM LINH   |   Phòng B.315</v>
          </cell>
        </row>
        <row r="246">
          <cell r="B246" t="str">
            <v>Chào cờ/HĐTN – TOAN07
B.315</v>
          </cell>
          <cell r="C246" t="str">
            <v>ANH – ANH10
B.315</v>
          </cell>
          <cell r="D246" t="str">
            <v>KTPL – KTPL02
B.315</v>
          </cell>
          <cell r="E246" t="str">
            <v>VĂN – VAN06
B.315</v>
          </cell>
          <cell r="F246" t="str">
            <v>SỬ – SU01
B.315</v>
          </cell>
        </row>
        <row r="247">
          <cell r="B247" t="str">
            <v>VĂN – VAN06
B.315</v>
          </cell>
          <cell r="C247" t="str">
            <v>ANH – ANH10
B.315</v>
          </cell>
          <cell r="D247" t="str">
            <v>SỬ – SU01
B.315</v>
          </cell>
          <cell r="E247" t="str">
            <v>VĂN – VAN06
B.315</v>
          </cell>
          <cell r="F247" t="str">
            <v>TIN – TIN01
C.218 (Vi tính 2)</v>
          </cell>
          <cell r="G247" t="str">
            <v>HĐTN online – LY04</v>
          </cell>
        </row>
        <row r="248">
          <cell r="B248" t="str">
            <v>TOÁN – TOAN07
B.315</v>
          </cell>
          <cell r="C248" t="str">
            <v>HÓA – HOA06
B.315</v>
          </cell>
          <cell r="D248" t="str">
            <v>CĐ TOÁN – TOAN07
B.315</v>
          </cell>
          <cell r="E248" t="str">
            <v>TIN – TIN01
C.218 (Vi tính 2)</v>
          </cell>
          <cell r="F248" t="str">
            <v>GDĐP – LY11
B.315</v>
          </cell>
        </row>
        <row r="249">
          <cell r="B249" t="str">
            <v>ANH – ANH10
B.315</v>
          </cell>
          <cell r="C249" t="str">
            <v>CĐ HÓA – HOA06
B.315</v>
          </cell>
          <cell r="D249" t="str">
            <v>TOÁN – TOAN07
B.315</v>
          </cell>
          <cell r="E249" t="str">
            <v>HÓA – HOA06
B.315</v>
          </cell>
          <cell r="F249" t="str">
            <v>ĐỊA – DIA03
B.315</v>
          </cell>
        </row>
        <row r="250">
          <cell r="B250" t="str">
            <v>NHÓM: GDTC</v>
          </cell>
          <cell r="C250" t="str">
            <v>NHÓM: AVBN</v>
          </cell>
          <cell r="D250" t="str">
            <v>NHÓM: THQT</v>
          </cell>
          <cell r="E250" t="str">
            <v>NHÓM: GDTC</v>
          </cell>
          <cell r="F250" t="str">
            <v>NHÓM: STEM</v>
          </cell>
        </row>
        <row r="251">
          <cell r="B251" t="str">
            <v>NHÓM: GDTC</v>
          </cell>
          <cell r="C251" t="str">
            <v>NHÓM: AVBN</v>
          </cell>
          <cell r="D251" t="str">
            <v>NHÓM: THQT</v>
          </cell>
          <cell r="E251" t="str">
            <v>NHÓM: GDTC</v>
          </cell>
          <cell r="F251" t="str">
            <v>NHÓM: STEM</v>
          </cell>
        </row>
        <row r="252">
          <cell r="B252" t="str">
            <v>NHÓM: GDTC</v>
          </cell>
          <cell r="D252" t="str">
            <v>CĐ VĂN – VAN06
B.315</v>
          </cell>
          <cell r="E252" t="str">
            <v>ĐỊA – DIA03
B.315</v>
          </cell>
          <cell r="F252" t="str">
            <v>TOÁN – TOAN07
B.315</v>
          </cell>
        </row>
        <row r="253">
          <cell r="B253" t="str">
            <v>NHÓM: GDTC</v>
          </cell>
          <cell r="D253" t="str">
            <v>QPAN – QPAN02
Sân / BM Quốc phòng</v>
          </cell>
          <cell r="E253" t="str">
            <v>KTPL – KTPL02
B.315</v>
          </cell>
          <cell r="F253" t="str">
            <v>HĐTN – LY04
B.315</v>
          </cell>
        </row>
        <row r="256">
          <cell r="A256" t="str">
            <v>LỚP 11A1   |   GVCN: NGUYỄN PHƯỚC KHÔI   |   Phòng B.010</v>
          </cell>
        </row>
        <row r="258">
          <cell r="B258" t="str">
            <v>Chào cờ/HĐTN – SU05
B.010</v>
          </cell>
          <cell r="C258" t="str">
            <v>HÓA – HOA05
B.010</v>
          </cell>
          <cell r="D258" t="str">
            <v>TIN – TIN03
C.218 (Vi tính 2)</v>
          </cell>
          <cell r="E258" t="str">
            <v>QPAN – QPAN02
Sân / BM Quốc phòng</v>
          </cell>
          <cell r="F258" t="str">
            <v>LÝ – LY03
B.010</v>
          </cell>
        </row>
        <row r="259">
          <cell r="B259" t="str">
            <v>ANH – ANH07
B.010</v>
          </cell>
          <cell r="C259" t="str">
            <v>VĂN – VAN14
B.010</v>
          </cell>
          <cell r="D259" t="str">
            <v>SỬ – SU05
B.010</v>
          </cell>
          <cell r="E259" t="str">
            <v>ANH – ANH07
B.010</v>
          </cell>
          <cell r="F259" t="str">
            <v>HĐTN – LY04
B.010</v>
          </cell>
        </row>
        <row r="260">
          <cell r="B260" t="str">
            <v>ANH – ANH07
B.010</v>
          </cell>
          <cell r="C260" t="str">
            <v>CĐ LÝ – LY03
B.010</v>
          </cell>
          <cell r="D260" t="str">
            <v>TIN – TIN03
C.117 (Vi tính 4)</v>
          </cell>
          <cell r="E260" t="str">
            <v>VĂN – VAN14
B.010</v>
          </cell>
          <cell r="F260" t="str">
            <v>TOÁN – TOAN06
B.010</v>
          </cell>
          <cell r="G260" t="str">
            <v>HĐTN online – LY04</v>
          </cell>
        </row>
        <row r="261">
          <cell r="B261" t="str">
            <v>GDĐP – LY04
B.010</v>
          </cell>
          <cell r="C261" t="str">
            <v>LÝ – LY03
B.010</v>
          </cell>
          <cell r="D261" t="str">
            <v>CĐ TOÁN – TOAN06
B.010</v>
          </cell>
          <cell r="E261" t="str">
            <v>VĂN – VAN14
B.010</v>
          </cell>
          <cell r="F261" t="str">
            <v>TOÁN – TOAN06
B.010</v>
          </cell>
        </row>
        <row r="262">
          <cell r="B262" t="str">
            <v>CĐ HÓA – HOA05
B.010</v>
          </cell>
          <cell r="C262" t="str">
            <v>NHÓM: STEM</v>
          </cell>
          <cell r="E262" t="str">
            <v>NHÓM: AVBN</v>
          </cell>
          <cell r="F262" t="str">
            <v>NHÓM: GDTC</v>
          </cell>
        </row>
        <row r="263">
          <cell r="B263" t="str">
            <v>HÓA – HOA05
B.010</v>
          </cell>
          <cell r="C263" t="str">
            <v>NHÓM: STEM</v>
          </cell>
          <cell r="D263" t="str">
            <v>CN – CN01
B.010</v>
          </cell>
          <cell r="E263" t="str">
            <v>NHÓM: AVBN</v>
          </cell>
          <cell r="F263" t="str">
            <v>NHÓM: GDTC</v>
          </cell>
        </row>
        <row r="264">
          <cell r="B264" t="str">
            <v>CN – CN01
B.010</v>
          </cell>
          <cell r="C264" t="str">
            <v>NHÓM: GDTC</v>
          </cell>
          <cell r="D264" t="str">
            <v>TOÁN – TOAN06
B.010</v>
          </cell>
          <cell r="E264" t="str">
            <v>NHÓM: GDTC</v>
          </cell>
          <cell r="F264" t="str">
            <v>NHÓM: THQT</v>
          </cell>
        </row>
        <row r="265">
          <cell r="C265" t="str">
            <v>NHÓM: GDTC</v>
          </cell>
          <cell r="E265" t="str">
            <v>NHÓM: GDTC</v>
          </cell>
          <cell r="F265" t="str">
            <v>NHÓM: THQT</v>
          </cell>
        </row>
        <row r="268">
          <cell r="A268" t="str">
            <v>LỚP 11A2   |   GVCN: NGUYỄN THỊ NGÂN   |   Phòng B.011</v>
          </cell>
        </row>
        <row r="270">
          <cell r="B270" t="str">
            <v>Chào cờ/HĐTN – VAN07
B.011</v>
          </cell>
          <cell r="C270" t="str">
            <v>CN – CN01
B.011</v>
          </cell>
          <cell r="D270" t="str">
            <v>TOÁN – TOAN10
B.011</v>
          </cell>
          <cell r="E270" t="str">
            <v>TOÁN – TOAN10
B.011</v>
          </cell>
          <cell r="F270" t="str">
            <v>CĐ SỬ – SU04
B.011</v>
          </cell>
          <cell r="G270" t="str">
            <v>HĐTN online – QPAN01</v>
          </cell>
        </row>
        <row r="271">
          <cell r="B271" t="str">
            <v>ANH – ANH06
B.011</v>
          </cell>
          <cell r="C271" t="str">
            <v>ANH – ANH06
B.011</v>
          </cell>
          <cell r="D271" t="str">
            <v>TOÁN – TOAN10
B.011</v>
          </cell>
          <cell r="E271" t="str">
            <v>GDĐP – DIA05
B.011</v>
          </cell>
          <cell r="F271" t="str">
            <v>VĂN – VAN07
B.011</v>
          </cell>
        </row>
        <row r="272">
          <cell r="B272" t="str">
            <v>ANH – ANH06
B.011</v>
          </cell>
          <cell r="C272" t="str">
            <v>KTPL – KTPL04
B.011</v>
          </cell>
          <cell r="D272" t="str">
            <v>ĐỊA – DIA02
B.011</v>
          </cell>
          <cell r="E272" t="str">
            <v>CĐ ĐỊA – DIA02
B.011</v>
          </cell>
          <cell r="F272" t="str">
            <v>QPAN – QPAN01
Sân / BM Quốc phòng</v>
          </cell>
        </row>
        <row r="273">
          <cell r="B273" t="str">
            <v>KTPL – KTPL04
B.011</v>
          </cell>
          <cell r="C273" t="str">
            <v>CĐ VĂN – VAN07
B.011</v>
          </cell>
          <cell r="D273" t="str">
            <v>HĐTN – QPAN01
B.011</v>
          </cell>
          <cell r="E273" t="str">
            <v>TIN – TIN05
C.218 (Vi tính 2)</v>
          </cell>
          <cell r="F273" t="str">
            <v>TIN – TIN05
C.318 (Vi tính 3)</v>
          </cell>
        </row>
        <row r="274">
          <cell r="B274" t="str">
            <v>CN – CN01
B.011</v>
          </cell>
          <cell r="C274" t="str">
            <v>NHÓM: STEM</v>
          </cell>
          <cell r="E274" t="str">
            <v>NHÓM: AVBN</v>
          </cell>
          <cell r="F274" t="str">
            <v>NHÓM: GDTC</v>
          </cell>
        </row>
        <row r="275">
          <cell r="B275" t="str">
            <v>VĂN – VAN07
B.011</v>
          </cell>
          <cell r="C275" t="str">
            <v>NHÓM: STEM</v>
          </cell>
          <cell r="D275" t="str">
            <v>ĐỊA – DIA02
B.011</v>
          </cell>
          <cell r="E275" t="str">
            <v>NHÓM: AVBN</v>
          </cell>
          <cell r="F275" t="str">
            <v>NHÓM: GDTC</v>
          </cell>
        </row>
        <row r="276">
          <cell r="B276" t="str">
            <v>VĂN – VAN07
B.011</v>
          </cell>
          <cell r="C276" t="str">
            <v>NHÓM: GDTC</v>
          </cell>
          <cell r="D276" t="str">
            <v>SỬ – SU04
B.011</v>
          </cell>
          <cell r="E276" t="str">
            <v>NHÓM: GDTC</v>
          </cell>
          <cell r="F276" t="str">
            <v>NHÓM: THQT</v>
          </cell>
        </row>
        <row r="277">
          <cell r="C277" t="str">
            <v>NHÓM: GDTC</v>
          </cell>
          <cell r="E277" t="str">
            <v>NHÓM: GDTC</v>
          </cell>
          <cell r="F277" t="str">
            <v>NHÓM: THQT</v>
          </cell>
        </row>
        <row r="280">
          <cell r="A280" t="str">
            <v>LỚP 11A3   |   GVCN: MÃ THỊ MINH THI   |   Phòng B.012</v>
          </cell>
        </row>
        <row r="282">
          <cell r="B282" t="str">
            <v>Chào cờ/HĐTN – SINH06
B.012</v>
          </cell>
          <cell r="C282" t="str">
            <v>CĐ SINH – SINH06
B.012</v>
          </cell>
          <cell r="D282" t="str">
            <v>SINH – SINH06
B.012</v>
          </cell>
          <cell r="E282" t="str">
            <v>VĂN – VAN07
B.012</v>
          </cell>
          <cell r="F282" t="str">
            <v>TOÁN – TOAN12
B.012</v>
          </cell>
          <cell r="G282" t="str">
            <v>HĐTN online – SINH06</v>
          </cell>
        </row>
        <row r="283">
          <cell r="B283" t="str">
            <v>CĐ HÓA – HOA04
B.012</v>
          </cell>
          <cell r="C283" t="str">
            <v>HÓA – HOA04
B.012</v>
          </cell>
          <cell r="D283" t="str">
            <v>SỬ – SU02
B.012</v>
          </cell>
          <cell r="E283" t="str">
            <v>VĂN – VAN07
B.012</v>
          </cell>
          <cell r="F283" t="str">
            <v>QPAN – QPAN02
Sân / BM Quốc phòng</v>
          </cell>
        </row>
        <row r="284">
          <cell r="B284" t="str">
            <v>TOÁN – TOAN12
B.012</v>
          </cell>
          <cell r="C284" t="str">
            <v>GDĐP – LY09
B.012</v>
          </cell>
          <cell r="D284" t="str">
            <v>TOÁN – TOAN12
B.012</v>
          </cell>
          <cell r="E284" t="str">
            <v>ANH – ANH07
B.012</v>
          </cell>
          <cell r="F284" t="str">
            <v>VĂN – VAN07
B.012</v>
          </cell>
        </row>
        <row r="285">
          <cell r="B285" t="str">
            <v>CĐ TOÁN – TOAN12
B.012</v>
          </cell>
          <cell r="C285" t="str">
            <v>HÓA – HOA04
B.012</v>
          </cell>
          <cell r="D285" t="str">
            <v>ANH – ANH07
B.012</v>
          </cell>
          <cell r="E285" t="str">
            <v>ANH – ANH07
B.012</v>
          </cell>
          <cell r="F285" t="str">
            <v>KTPL – KTPL01
B.012</v>
          </cell>
        </row>
        <row r="286">
          <cell r="B286" t="str">
            <v>NHÓM: AVBN</v>
          </cell>
          <cell r="D286" t="str">
            <v>LÝ – LY06
B.012</v>
          </cell>
          <cell r="E286" t="str">
            <v>NHÓM: AVBN</v>
          </cell>
          <cell r="F286" t="str">
            <v>NHÓM: GDTC</v>
          </cell>
        </row>
        <row r="287">
          <cell r="B287" t="str">
            <v>NHÓM: AVBN</v>
          </cell>
          <cell r="C287" t="str">
            <v>KTPL – KTPL01
B.012</v>
          </cell>
          <cell r="D287" t="str">
            <v>LÝ – LY06
B.012</v>
          </cell>
          <cell r="E287" t="str">
            <v>NHÓM: AVBN</v>
          </cell>
          <cell r="F287" t="str">
            <v>NHÓM: GDTC</v>
          </cell>
        </row>
        <row r="288">
          <cell r="C288" t="str">
            <v>SINH – SINH06
B.012</v>
          </cell>
          <cell r="D288" t="str">
            <v>HĐTN – SINH06
B.012</v>
          </cell>
          <cell r="E288" t="str">
            <v>NHÓM: GDTC</v>
          </cell>
          <cell r="F288" t="str">
            <v>NHÓM: THQT</v>
          </cell>
        </row>
        <row r="289">
          <cell r="E289" t="str">
            <v>NHÓM: GDTC</v>
          </cell>
          <cell r="F289" t="str">
            <v>NHÓM: THQT</v>
          </cell>
        </row>
        <row r="292">
          <cell r="A292" t="str">
            <v>LỚP 11A4   |   GVCN: NGUYỄN THỊ DIẾN   |   Phòng B.013</v>
          </cell>
        </row>
        <row r="294">
          <cell r="B294" t="str">
            <v>Chào cờ/HĐTN – HOA02
B.013</v>
          </cell>
          <cell r="C294" t="str">
            <v>ANH – ANH03
B.013</v>
          </cell>
          <cell r="D294" t="str">
            <v>KTPL – KTPL01
B.013</v>
          </cell>
          <cell r="E294" t="str">
            <v>HÓA – HOA02
B.013</v>
          </cell>
          <cell r="F294" t="str">
            <v>TOÁN – TOAN07
B.013</v>
          </cell>
        </row>
        <row r="295">
          <cell r="B295" t="str">
            <v>SINH – SINH06
B.013</v>
          </cell>
          <cell r="C295" t="str">
            <v>HÓA – HOA02
B.013</v>
          </cell>
          <cell r="D295" t="str">
            <v>KTPL – KTPL01
B.013</v>
          </cell>
          <cell r="E295" t="str">
            <v>CĐ TOÁN – TOAN07
B.013</v>
          </cell>
          <cell r="F295" t="str">
            <v>LÝ – LY05
B.013</v>
          </cell>
          <cell r="G295" t="str">
            <v>HĐTN online – LY07</v>
          </cell>
        </row>
        <row r="296">
          <cell r="B296" t="str">
            <v>HĐTN – LY07
B.013</v>
          </cell>
          <cell r="C296" t="str">
            <v>VĂN – VAN05
B.013</v>
          </cell>
          <cell r="D296" t="str">
            <v>SỬ – SU02
B.013</v>
          </cell>
          <cell r="E296" t="str">
            <v>TOÁN – TOAN07
B.013</v>
          </cell>
          <cell r="F296" t="str">
            <v>LÝ – LY05
B.013</v>
          </cell>
        </row>
        <row r="297">
          <cell r="B297" t="str">
            <v>TOÁN – TOAN07
B.013</v>
          </cell>
          <cell r="C297" t="str">
            <v>VĂN – VAN05
B.013</v>
          </cell>
          <cell r="D297" t="str">
            <v>GDĐP – SINH02
B.013</v>
          </cell>
          <cell r="E297" t="str">
            <v>ANH – ANH03
B.013</v>
          </cell>
          <cell r="F297" t="str">
            <v>VĂN – VAN05
B.013</v>
          </cell>
        </row>
        <row r="298">
          <cell r="B298" t="str">
            <v>NHÓM: AVBN</v>
          </cell>
          <cell r="C298" t="str">
            <v>CĐ SINH – SINH06
B.013</v>
          </cell>
          <cell r="F298" t="str">
            <v>NHÓM: GDTC</v>
          </cell>
        </row>
        <row r="299">
          <cell r="B299" t="str">
            <v>NHÓM: AVBN</v>
          </cell>
          <cell r="C299" t="str">
            <v>ANH – ANH03
B.013</v>
          </cell>
          <cell r="D299" t="str">
            <v>SINH – SINH06
B.013</v>
          </cell>
          <cell r="F299" t="str">
            <v>NHÓM: GDTC</v>
          </cell>
        </row>
        <row r="300">
          <cell r="C300" t="str">
            <v>QPAN – QPAN03
Sân / BM Quốc phòng</v>
          </cell>
          <cell r="D300" t="str">
            <v>CĐ HÓA – HOA02
B.013</v>
          </cell>
          <cell r="E300" t="str">
            <v>NHÓM: GDTC</v>
          </cell>
          <cell r="F300" t="str">
            <v>NHÓM: THQT</v>
          </cell>
        </row>
        <row r="301">
          <cell r="E301" t="str">
            <v>NHÓM: GDTC</v>
          </cell>
          <cell r="F301" t="str">
            <v>NHÓM: THQT</v>
          </cell>
        </row>
        <row r="304">
          <cell r="A304" t="str">
            <v>LỚP 11A5   |   GVCN: NGUYỄN DUY HƯNG   |   Phòng B.308</v>
          </cell>
        </row>
        <row r="306">
          <cell r="B306" t="str">
            <v>Chào cờ/HĐTN – TOAN06
B.308</v>
          </cell>
          <cell r="C306" t="str">
            <v>CĐ LÝ – LY06
B.308</v>
          </cell>
          <cell r="D306" t="str">
            <v>TOÁN – TOAN06
B.308</v>
          </cell>
          <cell r="E306" t="str">
            <v>HĐTN – DIA05
B.308</v>
          </cell>
          <cell r="F306" t="str">
            <v>KTPL – KTPL01
B.308</v>
          </cell>
        </row>
        <row r="307">
          <cell r="B307" t="str">
            <v>CĐ TOÁN – TOAN06
B.308</v>
          </cell>
          <cell r="C307" t="str">
            <v>VĂN – VAN11
B.308</v>
          </cell>
          <cell r="D307" t="str">
            <v>TOÁN – TOAN06
B.308</v>
          </cell>
          <cell r="E307" t="str">
            <v>TOÁN – TOAN06
B.308</v>
          </cell>
          <cell r="F307" t="str">
            <v>KTPL – KTPL01
B.308</v>
          </cell>
        </row>
        <row r="308">
          <cell r="B308" t="str">
            <v>HÓA – HOA02
B.308</v>
          </cell>
          <cell r="C308" t="str">
            <v>GDĐP – LY11
B.308</v>
          </cell>
          <cell r="D308" t="str">
            <v>ANH – ANH06
B.308</v>
          </cell>
          <cell r="E308" t="str">
            <v>ANH – ANH06
B.308</v>
          </cell>
          <cell r="F308" t="str">
            <v>VĂN – VAN11
B.308</v>
          </cell>
        </row>
        <row r="309">
          <cell r="B309" t="str">
            <v>LÝ – LY06
B.308</v>
          </cell>
          <cell r="C309" t="str">
            <v>HÓA – HOA02
B.308</v>
          </cell>
          <cell r="D309" t="str">
            <v>ANH – ANH06
B.308</v>
          </cell>
          <cell r="E309" t="str">
            <v>QPAN – QPAN02
Sân / BM Quốc phòng</v>
          </cell>
          <cell r="F309" t="str">
            <v>VĂN – VAN11
B.308</v>
          </cell>
          <cell r="G309" t="str">
            <v>HĐTN online – DIA05</v>
          </cell>
        </row>
        <row r="310">
          <cell r="B310" t="str">
            <v>NHÓM: AVBN</v>
          </cell>
          <cell r="C310" t="str">
            <v>NHÓM: STEM</v>
          </cell>
          <cell r="D310" t="str">
            <v>CĐ HÓA – HOA02
B.308</v>
          </cell>
          <cell r="E310" t="str">
            <v>TIN – TIN05
C.318 (Vi tính 3)</v>
          </cell>
          <cell r="F310" t="str">
            <v>NHÓM: GDTC</v>
          </cell>
        </row>
        <row r="311">
          <cell r="B311" t="str">
            <v>NHÓM: AVBN</v>
          </cell>
          <cell r="C311" t="str">
            <v>NHÓM: STEM</v>
          </cell>
          <cell r="D311" t="str">
            <v>SỬ – SU02
B.308</v>
          </cell>
          <cell r="E311" t="str">
            <v>TIN – TIN05
C.318 (Vi tính 3)</v>
          </cell>
          <cell r="F311" t="str">
            <v>NHÓM: GDTC</v>
          </cell>
        </row>
        <row r="312">
          <cell r="C312" t="str">
            <v>NHÓM: THQT</v>
          </cell>
          <cell r="D312" t="str">
            <v>LÝ – LY06
B.308</v>
          </cell>
          <cell r="E312" t="str">
            <v>NHÓM: GDTC</v>
          </cell>
          <cell r="F312" t="str">
            <v>NHÓM: THQT</v>
          </cell>
        </row>
        <row r="313">
          <cell r="C313" t="str">
            <v>NHÓM: THQT</v>
          </cell>
          <cell r="E313" t="str">
            <v>NHÓM: GDTC</v>
          </cell>
          <cell r="F313" t="str">
            <v>NHÓM: THQT</v>
          </cell>
        </row>
        <row r="316">
          <cell r="A316" t="str">
            <v>LỚP 11A6   |   GVCN: NGUYỄN VĂN TRỌNG   |   Phòng A.304</v>
          </cell>
        </row>
        <row r="318">
          <cell r="B318" t="str">
            <v>Chào cờ/HĐTN – HOA07
A.304</v>
          </cell>
          <cell r="C318" t="str">
            <v>VĂN – VAN14
A.304</v>
          </cell>
          <cell r="D318" t="str">
            <v>SỬ – SU02
A.304</v>
          </cell>
          <cell r="E318" t="str">
            <v>CĐ LÝ – LY09
A.304</v>
          </cell>
          <cell r="F318" t="str">
            <v>KTPL – KTPL04
A.304</v>
          </cell>
          <cell r="G318" t="str">
            <v>HĐTN online – HOA07</v>
          </cell>
        </row>
        <row r="319">
          <cell r="B319" t="str">
            <v>KTPL – KTPL04
A.304</v>
          </cell>
          <cell r="C319" t="str">
            <v>HÓA – HOA07
A.304</v>
          </cell>
          <cell r="D319" t="str">
            <v>QPAN – QPAN03
Sân / BM Quốc phòng</v>
          </cell>
          <cell r="E319" t="str">
            <v>LÝ – LY09
A.304</v>
          </cell>
          <cell r="F319" t="str">
            <v>HÓA – HOA07
A.304</v>
          </cell>
        </row>
        <row r="320">
          <cell r="B320" t="str">
            <v>LÝ – LY09
A.304</v>
          </cell>
          <cell r="C320" t="str">
            <v>ANH – ANH05
A.304</v>
          </cell>
          <cell r="D320" t="str">
            <v>ANH – ANH05
A.304</v>
          </cell>
          <cell r="E320" t="str">
            <v>GDĐP – LY09
A.304</v>
          </cell>
          <cell r="F320" t="str">
            <v>CĐ TOÁN – TOAN10
A.304</v>
          </cell>
        </row>
        <row r="321">
          <cell r="B321" t="str">
            <v>CĐ HÓA – HOA07
A.304</v>
          </cell>
          <cell r="C321" t="str">
            <v>ANH – ANH05
A.304</v>
          </cell>
          <cell r="D321" t="str">
            <v>TOÁN – TOAN10
A.304</v>
          </cell>
          <cell r="E321" t="str">
            <v>HĐTN – HOA07
A.304</v>
          </cell>
          <cell r="F321" t="str">
            <v>TOÁN – TOAN10
A.304</v>
          </cell>
        </row>
        <row r="322">
          <cell r="B322" t="str">
            <v>NHÓM: AVBN</v>
          </cell>
          <cell r="D322" t="str">
            <v>TOÁN – TOAN10
A.304</v>
          </cell>
          <cell r="F322" t="str">
            <v>NHÓM: GDTC</v>
          </cell>
        </row>
        <row r="323">
          <cell r="B323" t="str">
            <v>NHÓM: AVBN</v>
          </cell>
          <cell r="D323" t="str">
            <v>TIN – TIN03
C.117 (Vi tính 4)</v>
          </cell>
          <cell r="E323" t="str">
            <v>VĂN – VAN14
A.304</v>
          </cell>
          <cell r="F323" t="str">
            <v>NHÓM: GDTC</v>
          </cell>
        </row>
        <row r="324">
          <cell r="B324" t="str">
            <v>NHÓM: AVBN</v>
          </cell>
          <cell r="C324" t="str">
            <v>NHÓM: THQT</v>
          </cell>
          <cell r="D324" t="str">
            <v>TIN – TIN03
C.318 (Vi tính 3)</v>
          </cell>
          <cell r="E324" t="str">
            <v>VĂN – VAN14
A.304</v>
          </cell>
        </row>
        <row r="325">
          <cell r="B325" t="str">
            <v>NHÓM: AVBN</v>
          </cell>
          <cell r="C325" t="str">
            <v>NHÓM: THQT</v>
          </cell>
        </row>
        <row r="328">
          <cell r="A328" t="str">
            <v>LỚP 11A7   |   GVCN: KIM VĨNH ANH KHOA   |   Phòng A.303</v>
          </cell>
        </row>
        <row r="330">
          <cell r="B330" t="str">
            <v>Chào cờ/HĐTN – TIN04
A.303</v>
          </cell>
          <cell r="C330" t="str">
            <v>HÓA – HOA06
A.303</v>
          </cell>
          <cell r="D330" t="str">
            <v>TIN – TIN04
C.318 (Vi tính 3)</v>
          </cell>
          <cell r="E330" t="str">
            <v>CN – CN02
A.303</v>
          </cell>
          <cell r="F330" t="str">
            <v>LÝ – LY10
A.303</v>
          </cell>
          <cell r="G330" t="str">
            <v>HĐTN online – ANH03</v>
          </cell>
        </row>
        <row r="331">
          <cell r="B331" t="str">
            <v>GDĐP – QPAN03
A.303</v>
          </cell>
          <cell r="C331" t="str">
            <v>HÓA – HOA06
A.303</v>
          </cell>
          <cell r="D331" t="str">
            <v>CĐ TOÁN – TOAN11
A.303</v>
          </cell>
          <cell r="E331" t="str">
            <v>ANH – ANH08
A.303</v>
          </cell>
          <cell r="F331" t="str">
            <v>VĂN – VAN13
A.303</v>
          </cell>
        </row>
        <row r="332">
          <cell r="B332" t="str">
            <v>CĐ HÓA – HOA06
A.303</v>
          </cell>
          <cell r="C332" t="str">
            <v>CĐ LÝ – LY10
A.303</v>
          </cell>
          <cell r="D332" t="str">
            <v>TOÁN – TOAN11
A.303</v>
          </cell>
          <cell r="E332" t="str">
            <v>ANH – ANH08
A.303</v>
          </cell>
          <cell r="F332" t="str">
            <v>VĂN – VAN13
A.303</v>
          </cell>
        </row>
        <row r="333">
          <cell r="B333" t="str">
            <v>TOÁN – TOAN11
A.303</v>
          </cell>
          <cell r="C333" t="str">
            <v>LÝ – LY10
A.303</v>
          </cell>
          <cell r="D333" t="str">
            <v>ANH – ANH08
A.303</v>
          </cell>
          <cell r="E333" t="str">
            <v>TIN – TIN04
C.318 (Vi tính 3)</v>
          </cell>
          <cell r="F333" t="str">
            <v>QPAN – QPAN03
Sân / BM Quốc phòng</v>
          </cell>
        </row>
        <row r="334">
          <cell r="B334" t="str">
            <v>NHÓM: GDTC</v>
          </cell>
          <cell r="C334" t="str">
            <v>NHÓM: STEM</v>
          </cell>
          <cell r="D334" t="str">
            <v>NHÓM: THQT</v>
          </cell>
          <cell r="E334" t="str">
            <v>HĐTN – ANH03
A.303</v>
          </cell>
          <cell r="F334" t="str">
            <v>NHÓM: GDTC</v>
          </cell>
        </row>
        <row r="335">
          <cell r="B335" t="str">
            <v>NHÓM: GDTC</v>
          </cell>
          <cell r="C335" t="str">
            <v>NHÓM: STEM</v>
          </cell>
          <cell r="D335" t="str">
            <v>NHÓM: THQT</v>
          </cell>
          <cell r="E335" t="str">
            <v>SỬ – SU04
A.303</v>
          </cell>
          <cell r="F335" t="str">
            <v>NHÓM: GDTC</v>
          </cell>
        </row>
        <row r="336">
          <cell r="B336" t="str">
            <v>NHÓM: AVBN</v>
          </cell>
          <cell r="C336" t="str">
            <v>NHÓM: GDTC</v>
          </cell>
          <cell r="E336" t="str">
            <v>VĂN – VAN13
A.303</v>
          </cell>
          <cell r="F336" t="str">
            <v>TOÁN – TOAN11
A.303</v>
          </cell>
        </row>
        <row r="337">
          <cell r="B337" t="str">
            <v>NHÓM: AVBN</v>
          </cell>
          <cell r="C337" t="str">
            <v>NHÓM: GDTC</v>
          </cell>
          <cell r="F337" t="str">
            <v>CN – CN02
A.303</v>
          </cell>
        </row>
        <row r="340">
          <cell r="A340" t="str">
            <v>LỚP 11A8   |   GVCN: NGUYỄN THỊ NGỌC MINH   |   Phòng A.302</v>
          </cell>
        </row>
        <row r="342">
          <cell r="B342" t="str">
            <v>Chào cờ/HĐTN – HOA05
A.302</v>
          </cell>
          <cell r="C342" t="str">
            <v>CN – CN02
A.302</v>
          </cell>
          <cell r="D342" t="str">
            <v>ANH – ANH05
A.302</v>
          </cell>
          <cell r="E342" t="str">
            <v>HĐTN – HOA05
A.302</v>
          </cell>
          <cell r="F342" t="str">
            <v>VĂN – VAN12
A.302</v>
          </cell>
          <cell r="G342" t="str">
            <v>HĐTN online – HOA05</v>
          </cell>
        </row>
        <row r="343">
          <cell r="B343" t="str">
            <v>GDĐP – LY04
A.302</v>
          </cell>
          <cell r="C343" t="str">
            <v>HÓA – HOA05
A.302</v>
          </cell>
          <cell r="D343" t="str">
            <v>ANH – ANH05
A.302</v>
          </cell>
          <cell r="E343" t="str">
            <v>CĐ HÓA – HOA05
A.302</v>
          </cell>
          <cell r="F343" t="str">
            <v>VĂN – VAN12
A.302</v>
          </cell>
        </row>
        <row r="344">
          <cell r="B344" t="str">
            <v>ANH – ANH05
A.302</v>
          </cell>
          <cell r="C344" t="str">
            <v>VĂN – VAN12
A.302</v>
          </cell>
          <cell r="D344" t="str">
            <v>QPAN – QPAN03
Sân / BM Quốc phòng</v>
          </cell>
          <cell r="E344" t="str">
            <v>SỬ – SU02
A.302</v>
          </cell>
          <cell r="F344" t="str">
            <v>TIN – TIN03
C.218 (Vi tính 2)</v>
          </cell>
        </row>
        <row r="345">
          <cell r="B345" t="str">
            <v>HÓA – HOA05
A.302</v>
          </cell>
          <cell r="C345" t="str">
            <v>LÝ – LY05
A.302</v>
          </cell>
          <cell r="D345" t="str">
            <v>CĐ TOÁN – TOAN08
A.302</v>
          </cell>
          <cell r="E345" t="str">
            <v>CN – CN02
A.302</v>
          </cell>
          <cell r="F345" t="str">
            <v>TOÁN – TOAN08
A.302</v>
          </cell>
        </row>
        <row r="346">
          <cell r="B346" t="str">
            <v>NHÓM: GDTC</v>
          </cell>
          <cell r="C346" t="str">
            <v>NHÓM: STEM</v>
          </cell>
          <cell r="D346" t="str">
            <v>NHÓM: THQT</v>
          </cell>
          <cell r="E346" t="str">
            <v>TOÁN – TOAN08
A.302</v>
          </cell>
          <cell r="F346" t="str">
            <v>NHÓM: GDTC</v>
          </cell>
        </row>
        <row r="347">
          <cell r="B347" t="str">
            <v>NHÓM: GDTC</v>
          </cell>
          <cell r="C347" t="str">
            <v>NHÓM: STEM</v>
          </cell>
          <cell r="D347" t="str">
            <v>NHÓM: THQT</v>
          </cell>
          <cell r="E347" t="str">
            <v>TOÁN – TOAN08
A.302</v>
          </cell>
          <cell r="F347" t="str">
            <v>NHÓM: GDTC</v>
          </cell>
        </row>
        <row r="348">
          <cell r="B348" t="str">
            <v>NHÓM: AVBN</v>
          </cell>
          <cell r="C348" t="str">
            <v>NHÓM: GDTC</v>
          </cell>
          <cell r="D348" t="str">
            <v>CĐ LÝ – LY05
A.302</v>
          </cell>
          <cell r="E348" t="str">
            <v>LÝ – LY05
A.302</v>
          </cell>
          <cell r="F348" t="str">
            <v>NHÓM: AVBN</v>
          </cell>
        </row>
        <row r="349">
          <cell r="B349" t="str">
            <v>NHÓM: AVBN</v>
          </cell>
          <cell r="C349" t="str">
            <v>NHÓM: GDTC</v>
          </cell>
          <cell r="D349" t="str">
            <v>TIN – TIN03
C.318 (Vi tính 3)</v>
          </cell>
          <cell r="F349" t="str">
            <v>NHÓM: AVBN</v>
          </cell>
        </row>
        <row r="352">
          <cell r="A352" t="str">
            <v>LỚP 11A9   |   GVCN: TRẦN THỊ HẠNH   |   Phòng D.322</v>
          </cell>
        </row>
        <row r="354">
          <cell r="B354" t="str">
            <v>Chào cờ/HĐTN – LY03
D.322</v>
          </cell>
          <cell r="C354" t="str">
            <v>TIN – TIN05
C.117 (Vi tính 4)</v>
          </cell>
          <cell r="D354" t="str">
            <v>SINH – SINH02
D.322</v>
          </cell>
          <cell r="E354" t="str">
            <v>TIN – TIN05
C.117 (Vi tính 4)</v>
          </cell>
          <cell r="F354" t="str">
            <v>CĐ SỬ – SU02
D.322</v>
          </cell>
        </row>
        <row r="355">
          <cell r="B355" t="str">
            <v>LÝ – LY03
D.322</v>
          </cell>
          <cell r="C355" t="str">
            <v>VĂN – VAN06
D.322</v>
          </cell>
          <cell r="D355" t="str">
            <v>ANH – ANH07
D.322</v>
          </cell>
          <cell r="E355" t="str">
            <v>QPAN – QPAN01
Sân / BM Quốc phòng</v>
          </cell>
          <cell r="F355" t="str">
            <v>TOÁN – TOAN10
D.322</v>
          </cell>
          <cell r="G355" t="str">
            <v>HĐTN online – LY03</v>
          </cell>
        </row>
        <row r="356">
          <cell r="B356" t="str">
            <v>SINH – SINH02
D.322</v>
          </cell>
          <cell r="C356" t="str">
            <v>CĐ VĂN – VAN06
D.322</v>
          </cell>
          <cell r="D356" t="str">
            <v>ANH – ANH07
D.322</v>
          </cell>
          <cell r="E356" t="str">
            <v>TOÁN – TOAN10
D.322</v>
          </cell>
          <cell r="F356" t="str">
            <v>GDĐP – LY04
D.322</v>
          </cell>
        </row>
        <row r="357">
          <cell r="B357" t="str">
            <v>HĐTN – LY03
D.322</v>
          </cell>
          <cell r="C357" t="str">
            <v>ANH – ANH07
D.322</v>
          </cell>
          <cell r="D357" t="str">
            <v>CĐ ĐỊA – DIA02
D.322</v>
          </cell>
          <cell r="E357" t="str">
            <v>TOÁN – TOAN10
D.322</v>
          </cell>
          <cell r="F357" t="str">
            <v>LÝ – LY03
D.322</v>
          </cell>
        </row>
        <row r="358">
          <cell r="B358" t="str">
            <v>NHÓM: GDTC, THQT</v>
          </cell>
          <cell r="D358" t="str">
            <v>NHÓM: THQT</v>
          </cell>
          <cell r="E358" t="str">
            <v>VĂN – VAN06
D.322</v>
          </cell>
          <cell r="F358" t="str">
            <v>NHÓM: GDTC</v>
          </cell>
        </row>
        <row r="359">
          <cell r="B359" t="str">
            <v>NHÓM: GDTC, THQT</v>
          </cell>
          <cell r="D359" t="str">
            <v>NHÓM: THQT</v>
          </cell>
          <cell r="E359" t="str">
            <v>VĂN – VAN06
D.322</v>
          </cell>
          <cell r="F359" t="str">
            <v>NHÓM: GDTC</v>
          </cell>
        </row>
        <row r="360">
          <cell r="B360" t="str">
            <v>ĐỊA – DIA02
D.322</v>
          </cell>
          <cell r="C360" t="str">
            <v>NHÓM: GDTC</v>
          </cell>
          <cell r="D360" t="str">
            <v>NHÓM: GDTC</v>
          </cell>
          <cell r="E360" t="str">
            <v>SỬ – SU02
D.322</v>
          </cell>
          <cell r="F360" t="str">
            <v>NHÓM: AVBN</v>
          </cell>
        </row>
        <row r="361">
          <cell r="B361" t="str">
            <v>ĐỊA – DIA02
D.322</v>
          </cell>
          <cell r="C361" t="str">
            <v>NHÓM: GDTC</v>
          </cell>
          <cell r="D361" t="str">
            <v>NHÓM: GDTC</v>
          </cell>
          <cell r="F361" t="str">
            <v>NHÓM: AVBN</v>
          </cell>
        </row>
        <row r="364">
          <cell r="A364" t="str">
            <v>LỚP 11A10   |   GVCN: VŨ THANH VÂN   |   Phòng D.321</v>
          </cell>
        </row>
        <row r="366">
          <cell r="B366" t="str">
            <v>Chào cờ/HĐTN – LY10
D.321</v>
          </cell>
          <cell r="C366" t="str">
            <v>HĐTN – SINH05
D.321</v>
          </cell>
          <cell r="D366" t="str">
            <v>SỬ – SU04
D.321</v>
          </cell>
          <cell r="E366" t="str">
            <v>ĐỊA – DIA04
D.321</v>
          </cell>
          <cell r="F366" t="str">
            <v>CĐ ĐỊA – DIA04
D.321</v>
          </cell>
        </row>
        <row r="367">
          <cell r="B367" t="str">
            <v>LÝ – LY10
D.321</v>
          </cell>
          <cell r="C367" t="str">
            <v>ANH – ANH03
D.321</v>
          </cell>
          <cell r="D367" t="str">
            <v>ĐỊA – DIA04
D.321</v>
          </cell>
          <cell r="E367" t="str">
            <v>CĐ SỬ – SU04
D.321</v>
          </cell>
          <cell r="F367" t="str">
            <v>LÝ – LY10
D.321</v>
          </cell>
          <cell r="G367" t="str">
            <v>HĐTN online – SINH05</v>
          </cell>
        </row>
        <row r="368">
          <cell r="B368" t="str">
            <v>TIN – TIN04
C.118 (Vi tính 1)</v>
          </cell>
          <cell r="C368" t="str">
            <v>SINH – SINH05
D.321</v>
          </cell>
          <cell r="D368" t="str">
            <v>GDĐP – SINH05
D.321</v>
          </cell>
          <cell r="E368" t="str">
            <v>VĂN – VAN12
D.321</v>
          </cell>
          <cell r="F368" t="str">
            <v>VĂN – VAN12
D.321</v>
          </cell>
        </row>
        <row r="369">
          <cell r="B369" t="str">
            <v>CĐ VĂN – VAN12
D.321</v>
          </cell>
          <cell r="C369" t="str">
            <v>TIN – TIN04
C.218 (Vi tính 2)</v>
          </cell>
          <cell r="D369" t="str">
            <v>QPAN – QPAN03
Sân / BM Quốc phòng</v>
          </cell>
          <cell r="E369" t="str">
            <v>TOÁN – TOAN07
D.321</v>
          </cell>
          <cell r="F369" t="str">
            <v>VĂN – VAN12
D.321</v>
          </cell>
        </row>
        <row r="370">
          <cell r="B370" t="str">
            <v>NHÓM: THQT</v>
          </cell>
          <cell r="E370" t="str">
            <v>SINH – SINH05
D.321</v>
          </cell>
          <cell r="F370" t="str">
            <v>TOÁN – TOAN07
D.321</v>
          </cell>
        </row>
        <row r="371">
          <cell r="B371" t="str">
            <v>NHÓM: THQT</v>
          </cell>
          <cell r="E371" t="str">
            <v>ANH – ANH03
D.321</v>
          </cell>
          <cell r="F371" t="str">
            <v>TOÁN – TOAN07
D.321</v>
          </cell>
        </row>
        <row r="372">
          <cell r="C372" t="str">
            <v>NHÓM: GDTC</v>
          </cell>
          <cell r="D372" t="str">
            <v>NHÓM: GDTC</v>
          </cell>
          <cell r="E372" t="str">
            <v>ANH – ANH03
D.321</v>
          </cell>
          <cell r="F372" t="str">
            <v>NHÓM: AVBN</v>
          </cell>
        </row>
        <row r="373">
          <cell r="C373" t="str">
            <v>NHÓM: GDTC</v>
          </cell>
          <cell r="D373" t="str">
            <v>NHÓM: GDTC</v>
          </cell>
          <cell r="F373" t="str">
            <v>NHÓM: AVBN</v>
          </cell>
        </row>
        <row r="376">
          <cell r="A376" t="str">
            <v>LỚP 11A11   |   GVCN: NGUYỄN HỒNG GIANG   |   Phòng D.320</v>
          </cell>
        </row>
        <row r="378">
          <cell r="B378" t="str">
            <v>Chào cờ/HĐTN – VAN05
D.320</v>
          </cell>
          <cell r="C378" t="str">
            <v>VĂN – VAN05
D.320</v>
          </cell>
          <cell r="D378" t="str">
            <v>ĐỊA – DIA02
D.320</v>
          </cell>
          <cell r="E378" t="str">
            <v>CĐ ĐỊA – DIA02
D.320</v>
          </cell>
          <cell r="F378" t="str">
            <v>VĂN – VAN05
D.320</v>
          </cell>
        </row>
        <row r="379">
          <cell r="B379" t="str">
            <v>CN – CN01
D.320</v>
          </cell>
          <cell r="C379" t="str">
            <v>VĂN – VAN05
D.320</v>
          </cell>
          <cell r="D379" t="str">
            <v>ĐỊA – DIA02
D.320</v>
          </cell>
          <cell r="E379" t="str">
            <v>HĐTN – LY04
D.320</v>
          </cell>
          <cell r="F379" t="str">
            <v>TIN – TIN05
C.318 (Vi tính 3)</v>
          </cell>
        </row>
        <row r="380">
          <cell r="B380" t="str">
            <v>GDĐP – LY04
D.320</v>
          </cell>
          <cell r="C380" t="str">
            <v>CN – CN01
D.320</v>
          </cell>
          <cell r="D380" t="str">
            <v>ANH – ANH03
D.320</v>
          </cell>
          <cell r="E380" t="str">
            <v>TOÁN – TOAN11
D.320</v>
          </cell>
          <cell r="F380" t="str">
            <v>TOÁN – TOAN11
D.320</v>
          </cell>
        </row>
        <row r="381">
          <cell r="B381" t="str">
            <v>ANH – ANH03
D.320</v>
          </cell>
          <cell r="C381" t="str">
            <v>TIN – TIN05
C.318 (Vi tính 3)</v>
          </cell>
          <cell r="D381" t="str">
            <v>ANH – ANH03
D.320</v>
          </cell>
          <cell r="E381" t="str">
            <v>TOÁN – TOAN11
D.320</v>
          </cell>
          <cell r="F381" t="str">
            <v>QPAN – QPAN01
Sân / BM Quốc phòng</v>
          </cell>
          <cell r="G381" t="str">
            <v>HĐTN online – LY04</v>
          </cell>
        </row>
        <row r="382">
          <cell r="B382" t="str">
            <v>NHÓM: THQT</v>
          </cell>
          <cell r="C382" t="str">
            <v>NHÓM: STEM</v>
          </cell>
          <cell r="D382" t="str">
            <v>CĐ SỬ – SU04
D.320</v>
          </cell>
        </row>
        <row r="383">
          <cell r="B383" t="str">
            <v>NHÓM: THQT</v>
          </cell>
          <cell r="C383" t="str">
            <v>NHÓM: STEM</v>
          </cell>
          <cell r="D383" t="str">
            <v>SỬ – SU04
D.320</v>
          </cell>
        </row>
        <row r="384">
          <cell r="B384" t="str">
            <v>KTPL – KTPL04
D.320</v>
          </cell>
          <cell r="C384" t="str">
            <v>NHÓM: GDTC</v>
          </cell>
          <cell r="D384" t="str">
            <v>CĐ VĂN – VAN05
D.320</v>
          </cell>
          <cell r="E384" t="str">
            <v>NHÓM: AVBN, GDTC</v>
          </cell>
          <cell r="F384" t="str">
            <v>NHÓM: AVBN</v>
          </cell>
        </row>
        <row r="385">
          <cell r="B385" t="str">
            <v>KTPL – KTPL04
D.320</v>
          </cell>
          <cell r="C385" t="str">
            <v>NHÓM: GDTC</v>
          </cell>
          <cell r="E385" t="str">
            <v>NHÓM: AVBN, GDTC</v>
          </cell>
          <cell r="F385" t="str">
            <v>NHÓM: AVBN</v>
          </cell>
        </row>
        <row r="388">
          <cell r="A388" t="str">
            <v>LỚP 11A12   |   GVCN: TRẦN ĐẠI NGHĨA   |   Phòng D.222</v>
          </cell>
        </row>
        <row r="390">
          <cell r="B390" t="str">
            <v>Chào cờ/HĐTN – TOAN09
D.222</v>
          </cell>
          <cell r="C390" t="str">
            <v>VĂN – VAN06
D.222</v>
          </cell>
          <cell r="D390" t="str">
            <v>ĐỊA – DIA04
D.222</v>
          </cell>
          <cell r="E390" t="str">
            <v>TOÁN – TOAN09
D.222</v>
          </cell>
          <cell r="F390" t="str">
            <v>TOÁN – TOAN09
D.222</v>
          </cell>
        </row>
        <row r="391">
          <cell r="B391" t="str">
            <v>HĐTN – LY07
D.222</v>
          </cell>
          <cell r="C391" t="str">
            <v>KTPL – KTPL04
D.222</v>
          </cell>
          <cell r="D391" t="str">
            <v>SỬ – SU04
D.222</v>
          </cell>
          <cell r="E391" t="str">
            <v>QPAN – QPAN03
Sân / BM Quốc phòng</v>
          </cell>
          <cell r="F391" t="str">
            <v>TOÁN – TOAN09
D.222</v>
          </cell>
        </row>
        <row r="392">
          <cell r="B392" t="str">
            <v>VĂN – VAN06
D.222</v>
          </cell>
          <cell r="C392" t="str">
            <v>ANH – ANH08
D.222</v>
          </cell>
          <cell r="D392" t="str">
            <v>KTPL – KTPL04
D.222</v>
          </cell>
          <cell r="E392" t="str">
            <v>CĐ SỬ – SU04
D.222</v>
          </cell>
          <cell r="F392" t="str">
            <v>CN – CN02
D.222</v>
          </cell>
          <cell r="G392" t="str">
            <v>HĐTN online – LY07</v>
          </cell>
        </row>
        <row r="393">
          <cell r="B393" t="str">
            <v>CĐ ĐỊA – DIA04
D.222</v>
          </cell>
          <cell r="C393" t="str">
            <v>ANH – ANH08
D.222</v>
          </cell>
          <cell r="D393" t="str">
            <v>TIN – TIN04
C.117 (Vi tính 4)</v>
          </cell>
          <cell r="E393" t="str">
            <v>ANH – ANH08
D.222</v>
          </cell>
          <cell r="F393" t="str">
            <v>CN – CN02
D.222</v>
          </cell>
        </row>
        <row r="394">
          <cell r="B394" t="str">
            <v>NHÓM: THQT</v>
          </cell>
          <cell r="C394" t="str">
            <v>NHÓM: STEM</v>
          </cell>
          <cell r="D394" t="str">
            <v>CĐ VĂN – VAN06
D.222</v>
          </cell>
          <cell r="E394" t="str">
            <v>NHÓM: GDTC</v>
          </cell>
          <cell r="F394" t="str">
            <v>ĐỊA – DIA04
D.222</v>
          </cell>
        </row>
        <row r="395">
          <cell r="B395" t="str">
            <v>NHÓM: THQT</v>
          </cell>
          <cell r="C395" t="str">
            <v>NHÓM: STEM</v>
          </cell>
          <cell r="D395" t="str">
            <v>VĂN – VAN06
D.222</v>
          </cell>
          <cell r="E395" t="str">
            <v>NHÓM: GDTC</v>
          </cell>
          <cell r="F395" t="str">
            <v>TIN – TIN04
C.318 (Vi tính 3)</v>
          </cell>
        </row>
        <row r="396">
          <cell r="C396" t="str">
            <v>NHÓM: GDTC</v>
          </cell>
          <cell r="D396" t="str">
            <v>NHÓM: THQT</v>
          </cell>
          <cell r="E396" t="str">
            <v>NHÓM: AVBN</v>
          </cell>
          <cell r="F396" t="str">
            <v>GDĐP – LY04
D.222</v>
          </cell>
        </row>
        <row r="397">
          <cell r="C397" t="str">
            <v>NHÓM: GDTC</v>
          </cell>
          <cell r="D397" t="str">
            <v>NHÓM: THQT</v>
          </cell>
          <cell r="E397" t="str">
            <v>NHÓM: AVBN</v>
          </cell>
        </row>
        <row r="400">
          <cell r="A400" t="str">
            <v>LỚP 11A13   |   GVCN: ĐỖ ỨC TUỆ   |   Phòng D.221</v>
          </cell>
        </row>
        <row r="402">
          <cell r="B402" t="str">
            <v>Chào cờ/HĐTN – TOAN13
D.221</v>
          </cell>
          <cell r="C402" t="str">
            <v>VĂN – VAN11
D.221</v>
          </cell>
          <cell r="D402" t="str">
            <v>ANH – ANH03
D.221</v>
          </cell>
          <cell r="E402" t="str">
            <v>CĐ SỬ – SU04
D.221</v>
          </cell>
          <cell r="F402" t="str">
            <v>TIN – TIN05
C.318 (Vi tính 3)</v>
          </cell>
          <cell r="G402" t="str">
            <v>HĐTN online – VAN06</v>
          </cell>
        </row>
        <row r="403">
          <cell r="B403" t="str">
            <v>TOÁN – TOAN13
D.221</v>
          </cell>
          <cell r="C403" t="str">
            <v>TIN – TIN05
C.218 (Vi tính 2)</v>
          </cell>
          <cell r="D403" t="str">
            <v>ANH – ANH03
D.221</v>
          </cell>
          <cell r="E403" t="str">
            <v>CN – CN02
D.221</v>
          </cell>
          <cell r="F403" t="str">
            <v>GDĐP – LY11
D.221</v>
          </cell>
        </row>
        <row r="404">
          <cell r="B404" t="str">
            <v>ĐỊA – DIA04
D.221</v>
          </cell>
          <cell r="C404" t="str">
            <v>ANH – ANH03
D.221</v>
          </cell>
          <cell r="D404" t="str">
            <v>SỬ – SU04
D.221</v>
          </cell>
          <cell r="E404" t="str">
            <v>VĂN – VAN11
D.221</v>
          </cell>
          <cell r="F404" t="str">
            <v>TOÁN – TOAN13
D.221</v>
          </cell>
        </row>
        <row r="405">
          <cell r="B405" t="str">
            <v>HĐTN – VAN06
D.221</v>
          </cell>
          <cell r="C405" t="str">
            <v>KTPL – KTPL04
D.221</v>
          </cell>
          <cell r="D405" t="str">
            <v>KTPL – KTPL04
D.221</v>
          </cell>
          <cell r="E405" t="str">
            <v>QPAN – QPAN03
Sân / BM Quốc phòng</v>
          </cell>
          <cell r="F405" t="str">
            <v>TOÁN – TOAN13
D.221</v>
          </cell>
        </row>
        <row r="406">
          <cell r="C406" t="str">
            <v>NHÓM: STEM</v>
          </cell>
          <cell r="D406" t="str">
            <v>VĂN – VAN11
D.221</v>
          </cell>
          <cell r="E406" t="str">
            <v>NHÓM: GDTC</v>
          </cell>
          <cell r="F406" t="str">
            <v>CN – CN02
D.221</v>
          </cell>
        </row>
        <row r="407">
          <cell r="C407" t="str">
            <v>NHÓM: STEM</v>
          </cell>
          <cell r="D407" t="str">
            <v>CĐ VĂN – VAN11
D.221</v>
          </cell>
          <cell r="E407" t="str">
            <v>NHÓM: GDTC</v>
          </cell>
          <cell r="F407" t="str">
            <v>ĐỊA – DIA04
D.221</v>
          </cell>
        </row>
        <row r="408">
          <cell r="C408" t="str">
            <v>NHÓM: GDTC</v>
          </cell>
          <cell r="D408" t="str">
            <v>NHÓM: THQT</v>
          </cell>
          <cell r="E408" t="str">
            <v>NHÓM: AVBN</v>
          </cell>
          <cell r="F408" t="str">
            <v>CĐ ĐỊA – DIA04
D.221</v>
          </cell>
        </row>
        <row r="409">
          <cell r="C409" t="str">
            <v>NHÓM: GDTC</v>
          </cell>
          <cell r="D409" t="str">
            <v>NHÓM: THQT</v>
          </cell>
          <cell r="E409" t="str">
            <v>NHÓM: AVBN</v>
          </cell>
        </row>
        <row r="412">
          <cell r="A412" t="str">
            <v>LỚP 11A14   |   GVCN: TRẦN THỊ HẰNG   |   Phòng D.220</v>
          </cell>
        </row>
        <row r="414">
          <cell r="B414" t="str">
            <v>Chào cờ/HĐTN – KTPL04
D.220</v>
          </cell>
          <cell r="C414" t="str">
            <v>ANH – ANH08
D.220</v>
          </cell>
          <cell r="D414" t="str">
            <v>TOÁN – TOAN08
D.220</v>
          </cell>
          <cell r="E414" t="str">
            <v>CĐ SỬ – SU02
D.220</v>
          </cell>
          <cell r="F414" t="str">
            <v>HĐTN – LY11
D.220</v>
          </cell>
        </row>
        <row r="415">
          <cell r="B415" t="str">
            <v>VĂN – VAN13
D.220</v>
          </cell>
          <cell r="C415" t="str">
            <v>ANH – ANH08
D.220</v>
          </cell>
          <cell r="D415" t="str">
            <v>ANH – ANH08
D.220</v>
          </cell>
          <cell r="E415" t="str">
            <v>SỬ – SU02
D.220</v>
          </cell>
          <cell r="F415" t="str">
            <v>QPAN – QPAN03
Sân / BM Quốc phòng</v>
          </cell>
          <cell r="G415" t="str">
            <v>HĐTN online – LY11</v>
          </cell>
        </row>
        <row r="416">
          <cell r="B416" t="str">
            <v>KTPL – KTPL04
D.220</v>
          </cell>
          <cell r="C416" t="str">
            <v>TIN – TIN04
C.218 (Vi tính 2)</v>
          </cell>
          <cell r="D416" t="str">
            <v>ĐỊA – DIA04
D.220</v>
          </cell>
          <cell r="E416" t="str">
            <v>CĐ VĂN – VAN13
D.220</v>
          </cell>
          <cell r="F416" t="str">
            <v>CĐ ĐỊA – DIA04
D.220</v>
          </cell>
        </row>
        <row r="417">
          <cell r="B417" t="str">
            <v>TIN – TIN04
C.118 (Vi tính 1)</v>
          </cell>
          <cell r="C417" t="str">
            <v>CN – CN02
D.220</v>
          </cell>
          <cell r="D417" t="str">
            <v>ĐỊA – DIA04
D.220</v>
          </cell>
          <cell r="E417" t="str">
            <v>VĂN – VAN13
D.220</v>
          </cell>
          <cell r="F417" t="str">
            <v>KTPL – KTPL04
D.220</v>
          </cell>
        </row>
        <row r="418">
          <cell r="C418" t="str">
            <v>NHÓM: STEM</v>
          </cell>
          <cell r="E418" t="str">
            <v>NHÓM: GDTC</v>
          </cell>
          <cell r="F418" t="str">
            <v>VĂN – VAN13
D.220</v>
          </cell>
        </row>
        <row r="419">
          <cell r="C419" t="str">
            <v>NHÓM: STEM</v>
          </cell>
          <cell r="E419" t="str">
            <v>NHÓM: GDTC</v>
          </cell>
          <cell r="F419" t="str">
            <v>GDĐP – LY11
D.220</v>
          </cell>
        </row>
        <row r="420">
          <cell r="B420" t="str">
            <v>TOÁN – TOAN08
D.220</v>
          </cell>
          <cell r="C420" t="str">
            <v>NHÓM: GDTC</v>
          </cell>
          <cell r="D420" t="str">
            <v>NHÓM: THQT</v>
          </cell>
          <cell r="E420" t="str">
            <v>NHÓM: AVBN</v>
          </cell>
          <cell r="F420" t="str">
            <v>CN – CN02
D.220</v>
          </cell>
        </row>
        <row r="421">
          <cell r="B421" t="str">
            <v>TOÁN – TOAN08
D.220</v>
          </cell>
          <cell r="C421" t="str">
            <v>NHÓM: GDTC</v>
          </cell>
          <cell r="D421" t="str">
            <v>NHÓM: THQT</v>
          </cell>
          <cell r="E421" t="str">
            <v>NHÓM: AVBN</v>
          </cell>
        </row>
        <row r="424">
          <cell r="A424" t="str">
            <v>LỚP 12A1   |   GVCN: TRƯƠNG NGỌC ANH LUÂN   |   Phòng A.102</v>
          </cell>
        </row>
        <row r="426">
          <cell r="B426" t="str">
            <v>Chào cờ/HĐTN – HOA04
A.102</v>
          </cell>
          <cell r="C426" t="str">
            <v>KTPL – KTPL02
A.102</v>
          </cell>
          <cell r="D426" t="str">
            <v>TOÁN – TOAN09
A.102</v>
          </cell>
          <cell r="E426" t="str">
            <v>HÓA – HOA04
A.102</v>
          </cell>
          <cell r="F426" t="str">
            <v>QPAN – QPAN01
Sân / BM Quốc phòng</v>
          </cell>
        </row>
        <row r="427">
          <cell r="B427" t="str">
            <v>TOÁN – TOAN09
A.102</v>
          </cell>
          <cell r="C427" t="str">
            <v>ANH – ANH05
A.102</v>
          </cell>
          <cell r="D427" t="str">
            <v>TOÁN – TOAN09
A.102</v>
          </cell>
          <cell r="E427" t="str">
            <v>LÝ – LY08
A.102</v>
          </cell>
          <cell r="F427" t="str">
            <v>CĐ LÝ – LY08
A.102</v>
          </cell>
        </row>
        <row r="428">
          <cell r="B428" t="str">
            <v>VĂN – VAN11
A.102</v>
          </cell>
          <cell r="C428" t="str">
            <v>CĐ HÓA – HOA04
A.102</v>
          </cell>
          <cell r="D428" t="str">
            <v>GDĐP – SINH06
A.102</v>
          </cell>
          <cell r="E428" t="str">
            <v>LÝ – LY08
A.102</v>
          </cell>
          <cell r="F428" t="str">
            <v>SỬ – SU04
A.102</v>
          </cell>
        </row>
        <row r="429">
          <cell r="B429" t="str">
            <v>VĂN – VAN11
A.102</v>
          </cell>
          <cell r="C429" t="str">
            <v>VĂN – VAN11
A.102</v>
          </cell>
          <cell r="D429" t="str">
            <v>ANH – ANH05
A.102</v>
          </cell>
          <cell r="E429" t="str">
            <v>VĂN – VAN11
A.102</v>
          </cell>
          <cell r="F429" t="str">
            <v>CĐ TOÁN – TOAN09
A.102</v>
          </cell>
        </row>
        <row r="430">
          <cell r="B430" t="str">
            <v>KTPL – KTPL02
A.102</v>
          </cell>
          <cell r="C430" t="str">
            <v>NHÓM: GDTC, ÔN TN</v>
          </cell>
          <cell r="D430" t="str">
            <v>NHÓM: GDTC, ÔN TN</v>
          </cell>
          <cell r="E430" t="str">
            <v>SỬ – SU04
A.102</v>
          </cell>
          <cell r="F430" t="str">
            <v>HĐTN – HOA04
A.102</v>
          </cell>
        </row>
        <row r="431">
          <cell r="B431" t="str">
            <v>ANH – ANH05
A.102</v>
          </cell>
          <cell r="C431" t="str">
            <v>NHÓM: GDTC, ÔN TN</v>
          </cell>
          <cell r="D431" t="str">
            <v>NHÓM: GDTC, ÔN TN</v>
          </cell>
          <cell r="E431" t="str">
            <v>SINH – SINH03
A.102</v>
          </cell>
          <cell r="F431" t="str">
            <v>HÓA – HOA04
A.102</v>
          </cell>
        </row>
        <row r="432">
          <cell r="B432" t="str">
            <v>NHÓM: GDTC, ÔN TN</v>
          </cell>
          <cell r="C432" t="str">
            <v>TOÁN – TOAN09
A.102</v>
          </cell>
          <cell r="D432" t="str">
            <v>VĂN – VAN11
A.102</v>
          </cell>
          <cell r="E432" t="str">
            <v>SINH – SINH03
A.102</v>
          </cell>
          <cell r="F432" t="str">
            <v>NHÓM: GDTC, ÔN TN</v>
          </cell>
        </row>
        <row r="433">
          <cell r="B433" t="str">
            <v>NHÓM: GDTC, ÔN TN</v>
          </cell>
          <cell r="C433" t="str">
            <v>TOÁN – TOAN09
A.102</v>
          </cell>
          <cell r="D433" t="str">
            <v>HĐTN – HOA04
A.102</v>
          </cell>
          <cell r="F433" t="str">
            <v>NHÓM: GDTC, ÔN TN</v>
          </cell>
        </row>
        <row r="436">
          <cell r="A436" t="str">
            <v>LỚP 12A2   |   GVCN: TRẦN PHƯƠNG NHƯ   |   Phòng A.103</v>
          </cell>
        </row>
        <row r="438">
          <cell r="B438" t="str">
            <v>Chào cờ/HĐTN – TOAN10
A.103</v>
          </cell>
          <cell r="C438" t="str">
            <v>HÓA – HOA01
A.103</v>
          </cell>
          <cell r="D438" t="str">
            <v>TIN – TIN02
C.117 (Vi tính 4)</v>
          </cell>
          <cell r="E438" t="str">
            <v>LÝ – LY01
A.103</v>
          </cell>
          <cell r="F438" t="str">
            <v>CĐ TOÁN – TOAN10
A.103</v>
          </cell>
        </row>
        <row r="439">
          <cell r="B439" t="str">
            <v>HĐTN – TOAN10
A.103</v>
          </cell>
          <cell r="C439" t="str">
            <v>LÝ – LY01
A.103</v>
          </cell>
          <cell r="D439" t="str">
            <v>GDĐP – SINH03
A.103</v>
          </cell>
          <cell r="E439" t="str">
            <v>CĐ HÓA – HOA01
A.103</v>
          </cell>
          <cell r="F439" t="str">
            <v>VĂN – VAN08
A.103</v>
          </cell>
        </row>
        <row r="440">
          <cell r="B440" t="str">
            <v>SỬ – SU03
A.103</v>
          </cell>
          <cell r="C440" t="str">
            <v>SINH – SINH06
A.103</v>
          </cell>
          <cell r="D440" t="str">
            <v>HĐTN – TOAN10
A.103</v>
          </cell>
          <cell r="E440" t="str">
            <v>VĂN – VAN08
A.103</v>
          </cell>
          <cell r="F440" t="str">
            <v>VĂN – VAN08
A.103</v>
          </cell>
        </row>
        <row r="441">
          <cell r="B441" t="str">
            <v>TOÁN – TOAN10
A.103</v>
          </cell>
          <cell r="C441" t="str">
            <v>TIN – TIN02
C.117 (Vi tính 4)</v>
          </cell>
          <cell r="D441" t="str">
            <v>SINH – SINH06
A.103</v>
          </cell>
          <cell r="E441" t="str">
            <v>VĂN – VAN08
A.103</v>
          </cell>
          <cell r="F441" t="str">
            <v>VĂN – VAN08
A.103</v>
          </cell>
        </row>
        <row r="442">
          <cell r="B442" t="str">
            <v>QPAN – QPAN02
Sân / BM Quốc phòng</v>
          </cell>
          <cell r="C442" t="str">
            <v>NHÓM: GDTC, THQT, ÔN TN</v>
          </cell>
          <cell r="D442" t="str">
            <v>NHÓM: GDTC, ÔN TN</v>
          </cell>
          <cell r="E442" t="str">
            <v>ANH – ANH10
A.103</v>
          </cell>
          <cell r="F442" t="str">
            <v>CĐ LÝ – LY01
A.103</v>
          </cell>
        </row>
        <row r="443">
          <cell r="B443" t="str">
            <v>ANH – ANH10
A.103</v>
          </cell>
          <cell r="C443" t="str">
            <v>NHÓM: GDTC, THQT, ÔN TN</v>
          </cell>
          <cell r="D443" t="str">
            <v>NHÓM: GDTC, ÔN TN</v>
          </cell>
          <cell r="E443" t="str">
            <v>HÓA – HOA01
A.103</v>
          </cell>
          <cell r="F443" t="str">
            <v>SỬ – SU03
A.103</v>
          </cell>
        </row>
        <row r="444">
          <cell r="B444" t="str">
            <v>ANH – ANH10
A.103</v>
          </cell>
          <cell r="C444" t="str">
            <v>TOÁN – TOAN10
A.103</v>
          </cell>
          <cell r="D444" t="str">
            <v>TOÁN – TOAN10
A.103</v>
          </cell>
          <cell r="E444" t="str">
            <v>NHÓM: GDTC, THQT, ÔN TN</v>
          </cell>
          <cell r="F444" t="str">
            <v>NHÓM: GDTC, ÔN TN</v>
          </cell>
        </row>
        <row r="445">
          <cell r="C445" t="str">
            <v>TOÁN – TOAN10
A.103</v>
          </cell>
          <cell r="D445" t="str">
            <v>TOÁN – TOAN10
A.103</v>
          </cell>
          <cell r="E445" t="str">
            <v>NHÓM: GDTC, THQT, ÔN TN</v>
          </cell>
          <cell r="F445" t="str">
            <v>NHÓM: GDTC, ÔN TN</v>
          </cell>
        </row>
        <row r="448">
          <cell r="A448" t="str">
            <v>LỚP 12A3   |   GVCN: TRƯƠNG THÚC QUẢNG   |   Phòng A.104</v>
          </cell>
        </row>
        <row r="450">
          <cell r="B450" t="str">
            <v>Chào cờ/HĐTN – TOAN12
A.104</v>
          </cell>
          <cell r="C450" t="str">
            <v>HÓA – HOA04
A.104</v>
          </cell>
          <cell r="D450" t="str">
            <v>TOÁN – TOAN12
A.104</v>
          </cell>
          <cell r="E450" t="str">
            <v>TOÁN – TOAN12
A.104</v>
          </cell>
          <cell r="F450" t="str">
            <v>LÝ – LY02
A.104</v>
          </cell>
        </row>
        <row r="451">
          <cell r="B451" t="str">
            <v>CĐ TOÁN – TOAN12
A.104</v>
          </cell>
          <cell r="C451" t="str">
            <v>ANH – ANH04
A.104</v>
          </cell>
          <cell r="D451" t="str">
            <v>TOÁN – TOAN12
A.104</v>
          </cell>
          <cell r="E451" t="str">
            <v>TIN – TIN05
C.117 (Vi tính 4)</v>
          </cell>
          <cell r="F451" t="str">
            <v>TOÁN – TOAN12
A.104</v>
          </cell>
        </row>
        <row r="452">
          <cell r="B452" t="str">
            <v>CĐ LÝ – LY02
A.104</v>
          </cell>
          <cell r="C452" t="str">
            <v>VĂN – VAN09
A.104</v>
          </cell>
          <cell r="D452" t="str">
            <v>ANH – ANH04
A.104</v>
          </cell>
          <cell r="E452" t="str">
            <v>CĐ HÓA – HOA04
A.104</v>
          </cell>
          <cell r="F452" t="str">
            <v>TIN – TIN05
C.318 (Vi tính 3)</v>
          </cell>
        </row>
        <row r="453">
          <cell r="B453" t="str">
            <v>ANH – ANH04
A.104</v>
          </cell>
          <cell r="C453" t="str">
            <v>LÝ – LY02
A.104</v>
          </cell>
          <cell r="D453" t="str">
            <v>GDĐP – SINH01
A.104</v>
          </cell>
          <cell r="E453" t="str">
            <v>HÓA – HOA04
A.104</v>
          </cell>
          <cell r="F453" t="str">
            <v>VĂN – VAN09
A.104</v>
          </cell>
        </row>
        <row r="454">
          <cell r="B454" t="str">
            <v>TOÁN – TOAN12
A.104</v>
          </cell>
          <cell r="C454" t="str">
            <v>NHÓM: GDTC, THQT, ÔN TN</v>
          </cell>
          <cell r="D454" t="str">
            <v>NHÓM: GDTC, ÔN TN</v>
          </cell>
          <cell r="E454" t="str">
            <v>VĂN – VAN09
A.104</v>
          </cell>
          <cell r="F454" t="str">
            <v>CN – CN01
A.104</v>
          </cell>
        </row>
        <row r="455">
          <cell r="B455" t="str">
            <v>HĐTN – TOAN12
A.104</v>
          </cell>
          <cell r="C455" t="str">
            <v>NHÓM: GDTC, THQT, ÔN TN</v>
          </cell>
          <cell r="D455" t="str">
            <v>NHÓM: GDTC, ÔN TN</v>
          </cell>
          <cell r="E455" t="str">
            <v>VĂN – VAN09
A.104</v>
          </cell>
          <cell r="F455" t="str">
            <v>CN – CN01
A.104</v>
          </cell>
        </row>
        <row r="456">
          <cell r="B456" t="str">
            <v>HĐTN – TOAN12
A.104</v>
          </cell>
          <cell r="C456" t="str">
            <v>SỬ – SU02
A.104</v>
          </cell>
          <cell r="D456" t="str">
            <v>SỬ – SU02
A.104</v>
          </cell>
          <cell r="E456" t="str">
            <v>NHÓM: GDTC, THQT, ÔN TN</v>
          </cell>
          <cell r="F456" t="str">
            <v>NHÓM: GDTC, THQT, ÔN TN</v>
          </cell>
        </row>
        <row r="457">
          <cell r="C457" t="str">
            <v>QPAN – QPAN01
Sân / BM Quốc phòng</v>
          </cell>
          <cell r="D457" t="str">
            <v>VĂN – VAN09
A.104</v>
          </cell>
          <cell r="E457" t="str">
            <v>NHÓM: GDTC, THQT, ÔN TN</v>
          </cell>
          <cell r="F457" t="str">
            <v>NHÓM: GDTC, THQT, ÔN TN</v>
          </cell>
        </row>
        <row r="460">
          <cell r="A460" t="str">
            <v>LỚP 12A4   |   GVCN: HỒ VĂN BÌNH   |   Phòng A.105</v>
          </cell>
        </row>
        <row r="462">
          <cell r="B462" t="str">
            <v>Chào cờ/HĐTN – LY02
A.105</v>
          </cell>
          <cell r="C462" t="str">
            <v>HĐTN – LY02
A.105</v>
          </cell>
          <cell r="D462" t="str">
            <v>QPAN – QPAN02
Sân / BM Quốc phòng</v>
          </cell>
          <cell r="E462" t="str">
            <v>CĐ HÓA – HOA03
A.105</v>
          </cell>
          <cell r="F462" t="str">
            <v>TOÁN – TOAN13
A.105</v>
          </cell>
        </row>
        <row r="463">
          <cell r="B463" t="str">
            <v>LÝ – LY02
A.105</v>
          </cell>
          <cell r="C463" t="str">
            <v>KTPL – KTPL01
A.105</v>
          </cell>
          <cell r="D463" t="str">
            <v>ANH – ANH01
A.105</v>
          </cell>
          <cell r="E463" t="str">
            <v>TOÁN – TOAN13
A.105</v>
          </cell>
          <cell r="F463" t="str">
            <v>LÝ – LY02
A.105</v>
          </cell>
        </row>
        <row r="464">
          <cell r="B464" t="str">
            <v>TOÁN – TOAN13
A.105</v>
          </cell>
          <cell r="C464" t="str">
            <v>VĂN – VAN04
A.105</v>
          </cell>
          <cell r="D464" t="str">
            <v>ANH – ANH01
A.105</v>
          </cell>
          <cell r="E464" t="str">
            <v>CĐ TOÁN – TOAN13
A.105</v>
          </cell>
          <cell r="F464" t="str">
            <v>HÓA – HOA03
A.105</v>
          </cell>
        </row>
        <row r="465">
          <cell r="B465" t="str">
            <v>TOÁN – TOAN13
A.105</v>
          </cell>
          <cell r="C465" t="str">
            <v>VĂN – VAN04
A.105</v>
          </cell>
          <cell r="D465" t="str">
            <v>TOÁN – TOAN13
A.105</v>
          </cell>
          <cell r="E465" t="str">
            <v>TIN – TIN01
C.117 (Vi tính 4)</v>
          </cell>
          <cell r="F465" t="str">
            <v>HĐTN – LY02
A.105</v>
          </cell>
        </row>
        <row r="466">
          <cell r="B466" t="str">
            <v>VĂN – VAN04
A.105</v>
          </cell>
          <cell r="C466" t="str">
            <v>NHÓM: GDTC, ÔN TN</v>
          </cell>
          <cell r="D466" t="str">
            <v>NHÓM: GDTC, ÔN TN</v>
          </cell>
          <cell r="E466" t="str">
            <v>GDĐP – SINH03
A.105</v>
          </cell>
          <cell r="F466" t="str">
            <v>VĂN – VAN04
A.105</v>
          </cell>
        </row>
        <row r="467">
          <cell r="B467" t="str">
            <v>TIN – TIN01
C.318 (Vi tính 3)</v>
          </cell>
          <cell r="C467" t="str">
            <v>NHÓM: GDTC, ÔN TN</v>
          </cell>
          <cell r="D467" t="str">
            <v>NHÓM: GDTC, ÔN TN</v>
          </cell>
          <cell r="E467" t="str">
            <v>ANH – ANH01
A.105</v>
          </cell>
          <cell r="F467" t="str">
            <v>SỬ – SU01
A.105</v>
          </cell>
        </row>
        <row r="468">
          <cell r="B468" t="str">
            <v>VĂN – VAN04
A.105</v>
          </cell>
          <cell r="C468" t="str">
            <v>CĐ LÝ – LY02
A.105</v>
          </cell>
          <cell r="D468" t="str">
            <v>SỬ – SU01
A.105</v>
          </cell>
          <cell r="E468" t="str">
            <v>NHÓM: GDTC, THQT, ÔN TN</v>
          </cell>
          <cell r="F468" t="str">
            <v>NHÓM: GDTC, ÔN TN</v>
          </cell>
        </row>
        <row r="469">
          <cell r="C469" t="str">
            <v>KTPL – KTPL01
A.105</v>
          </cell>
          <cell r="D469" t="str">
            <v>HÓA – HOA03
A.105</v>
          </cell>
          <cell r="E469" t="str">
            <v>NHÓM: GDTC, THQT, ÔN TN</v>
          </cell>
          <cell r="F469" t="str">
            <v>NHÓM: GDTC, ÔN TN</v>
          </cell>
        </row>
        <row r="472">
          <cell r="A472" t="str">
            <v>LỚP 12A5   |   GVCN: NGUYỄN THỊ THU BA   |   Phòng A.106</v>
          </cell>
        </row>
        <row r="474">
          <cell r="B474" t="str">
            <v>Chào cờ/HĐTN – TOAN03
A.106</v>
          </cell>
          <cell r="C474" t="str">
            <v>CĐ HÓA – HOA07
A.106</v>
          </cell>
          <cell r="D474" t="str">
            <v>TOÁN – TOAN03
A.106</v>
          </cell>
          <cell r="E474" t="str">
            <v>GDĐP – LY11
A.106</v>
          </cell>
          <cell r="F474" t="str">
            <v>HÓA – HOA07
A.106</v>
          </cell>
        </row>
        <row r="475">
          <cell r="B475" t="str">
            <v>VĂN – VAN10
A.106</v>
          </cell>
          <cell r="C475" t="str">
            <v>VĂN – VAN10
A.106</v>
          </cell>
          <cell r="D475" t="str">
            <v>TOÁN – TOAN03
A.106</v>
          </cell>
          <cell r="E475" t="str">
            <v>HÓA – HOA07
A.106</v>
          </cell>
          <cell r="F475" t="str">
            <v>SỬ – SU02
A.106</v>
          </cell>
        </row>
        <row r="476">
          <cell r="B476" t="str">
            <v>ANH – ANH09
A.106</v>
          </cell>
          <cell r="C476" t="str">
            <v>LÝ – LY08
A.106</v>
          </cell>
          <cell r="D476" t="str">
            <v>HĐTN – TOAN03
A.106</v>
          </cell>
          <cell r="E476" t="str">
            <v>QPAN – QPAN01
Sân / BM Quốc phòng</v>
          </cell>
          <cell r="F476" t="str">
            <v>TOÁN – TOAN03
A.106</v>
          </cell>
        </row>
        <row r="477">
          <cell r="B477" t="str">
            <v>ANH – ANH09
A.106</v>
          </cell>
          <cell r="C477" t="str">
            <v>VĂN – VAN10
A.106</v>
          </cell>
          <cell r="D477" t="str">
            <v>ĐỊA – DIA01
A.106</v>
          </cell>
          <cell r="E477" t="str">
            <v>CĐ LÝ – LY08
A.106</v>
          </cell>
          <cell r="F477" t="str">
            <v>CĐ TOÁN – TOAN03
A.106</v>
          </cell>
        </row>
        <row r="478">
          <cell r="B478" t="str">
            <v>ĐỊA – DIA01
A.106</v>
          </cell>
          <cell r="C478" t="str">
            <v>NHÓM: GDTC, THQT, ÔN TN</v>
          </cell>
          <cell r="D478" t="str">
            <v>NHÓM: GDTC, ÔN TN</v>
          </cell>
          <cell r="E478" t="str">
            <v>SỬ – SU02
A.106</v>
          </cell>
          <cell r="F478" t="str">
            <v>TIN – TIN05
C.117 (Vi tính 4)</v>
          </cell>
        </row>
        <row r="479">
          <cell r="B479" t="str">
            <v>TIN – TIN05
C.117 (Vi tính 4)</v>
          </cell>
          <cell r="C479" t="str">
            <v>NHÓM: GDTC, THQT, ÔN TN</v>
          </cell>
          <cell r="D479" t="str">
            <v>NHÓM: GDTC, ÔN TN</v>
          </cell>
          <cell r="E479" t="str">
            <v>ANH – ANH09
A.106</v>
          </cell>
          <cell r="F479" t="str">
            <v>LÝ – LY08
A.106</v>
          </cell>
        </row>
        <row r="480">
          <cell r="B480" t="str">
            <v>HĐTN – TOAN03
A.106</v>
          </cell>
          <cell r="C480" t="str">
            <v>TOÁN – TOAN03
A.106</v>
          </cell>
          <cell r="D480" t="str">
            <v>VĂN – VAN10
A.106</v>
          </cell>
          <cell r="E480" t="str">
            <v>NHÓM: THQT, ÔN TN</v>
          </cell>
          <cell r="F480" t="str">
            <v>NHÓM: GDTC, ÔN TN</v>
          </cell>
        </row>
        <row r="481">
          <cell r="C481" t="str">
            <v>TOÁN – TOAN03
A.106</v>
          </cell>
          <cell r="D481" t="str">
            <v>VĂN – VAN10
A.106</v>
          </cell>
          <cell r="E481" t="str">
            <v>NHÓM: THQT, ÔN TN</v>
          </cell>
          <cell r="F481" t="str">
            <v>NHÓM: GDTC, ÔN TN</v>
          </cell>
        </row>
        <row r="484">
          <cell r="A484" t="str">
            <v>LỚP 12A6   |   GVCN: NGUYỄN HỮU BẮC   |   Phòng A.107</v>
          </cell>
        </row>
        <row r="486">
          <cell r="B486" t="str">
            <v>Chào cờ/HĐTN – VAN04
A.107</v>
          </cell>
          <cell r="C486" t="str">
            <v>VĂN – VAN04
A.107</v>
          </cell>
          <cell r="D486" t="str">
            <v>ĐỊA – DIA01
A.107</v>
          </cell>
          <cell r="E486" t="str">
            <v>QPAN – QPAN01
Sân / BM Quốc phòng</v>
          </cell>
          <cell r="F486" t="str">
            <v>LÝ – LY05
A.107</v>
          </cell>
        </row>
        <row r="487">
          <cell r="B487" t="str">
            <v>KTPL – KTPL03
A.107</v>
          </cell>
          <cell r="C487" t="str">
            <v>VĂN – VAN04
A.107</v>
          </cell>
          <cell r="D487" t="str">
            <v>ANH – ANH02
A.107</v>
          </cell>
          <cell r="E487" t="str">
            <v>HĐTN – TOAN09
A.107</v>
          </cell>
          <cell r="F487" t="str">
            <v>KTPL – KTPL03
A.107</v>
          </cell>
        </row>
        <row r="488">
          <cell r="B488" t="str">
            <v>TOÁN – TOAN09
A.107</v>
          </cell>
          <cell r="C488" t="str">
            <v>CĐ LÝ – LY05
A.107</v>
          </cell>
          <cell r="D488" t="str">
            <v>TOÁN – TOAN09
A.107</v>
          </cell>
          <cell r="E488" t="str">
            <v>HĐTN – TOAN09
A.107</v>
          </cell>
          <cell r="F488" t="str">
            <v>TOÁN – TOAN09
A.107</v>
          </cell>
        </row>
        <row r="489">
          <cell r="B489" t="str">
            <v>CĐ TOÁN – TOAN09
A.107</v>
          </cell>
          <cell r="C489" t="str">
            <v>GDĐP – SINH01
A.107</v>
          </cell>
          <cell r="D489" t="str">
            <v>TOÁN – TOAN09
A.107</v>
          </cell>
          <cell r="E489" t="str">
            <v>TOÁN – TOAN09
A.107</v>
          </cell>
          <cell r="F489" t="str">
            <v>CĐ VĂN – VAN04
A.107</v>
          </cell>
        </row>
        <row r="490">
          <cell r="B490" t="str">
            <v>TIN – TIN05
C.318 (Vi tính 3)</v>
          </cell>
          <cell r="C490" t="str">
            <v>SỬ – SU04
A.107</v>
          </cell>
          <cell r="D490" t="str">
            <v>NHÓM: GDTC, ÔN TN</v>
          </cell>
          <cell r="E490" t="str">
            <v>LÝ – LY05
A.107</v>
          </cell>
          <cell r="F490" t="str">
            <v>ANH – ANH02
A.107</v>
          </cell>
        </row>
        <row r="491">
          <cell r="B491" t="str">
            <v>VĂN – VAN04
A.107</v>
          </cell>
          <cell r="C491" t="str">
            <v>SỬ – SU04
A.107</v>
          </cell>
          <cell r="D491" t="str">
            <v>NHÓM: GDTC, ÔN TN</v>
          </cell>
          <cell r="E491" t="str">
            <v>VĂN – VAN04
A.107</v>
          </cell>
          <cell r="F491" t="str">
            <v>TIN – TIN05
C.117 (Vi tính 4)</v>
          </cell>
        </row>
        <row r="492">
          <cell r="B492" t="str">
            <v>NHÓM: GDTC, THQT, ÔN TN</v>
          </cell>
          <cell r="C492" t="str">
            <v>ANH – ANH02
A.107</v>
          </cell>
          <cell r="D492" t="str">
            <v>ĐỊA – DIA01
A.107</v>
          </cell>
          <cell r="E492" t="str">
            <v>NHÓM: THQT, ÔN TN</v>
          </cell>
          <cell r="F492" t="str">
            <v>NHÓM: GDTC, THQT, ÔN TN</v>
          </cell>
        </row>
        <row r="493">
          <cell r="B493" t="str">
            <v>NHÓM: GDTC, THQT, ÔN TN</v>
          </cell>
          <cell r="D493" t="str">
            <v>VĂN – VAN04
A.107</v>
          </cell>
          <cell r="E493" t="str">
            <v>NHÓM: THQT, ÔN TN</v>
          </cell>
          <cell r="F493" t="str">
            <v>NHÓM: GDTC, THQT, ÔN TN</v>
          </cell>
        </row>
        <row r="496">
          <cell r="A496" t="str">
            <v>LỚP 12A7   |   GVCN: LƯU THỊ ANH THƯ   |   Phòng A.202</v>
          </cell>
        </row>
        <row r="498">
          <cell r="B498" t="str">
            <v>Chào cờ/HĐTN – VAN11
A.202</v>
          </cell>
          <cell r="C498" t="str">
            <v>HĐTN – LY05
A.202</v>
          </cell>
          <cell r="D498" t="str">
            <v>QPAN – QPAN01
Sân / BM Quốc phòng</v>
          </cell>
          <cell r="E498" t="str">
            <v>VĂN – VAN11
A.202</v>
          </cell>
          <cell r="F498" t="str">
            <v>VĂN – VAN11
A.202</v>
          </cell>
        </row>
        <row r="499">
          <cell r="B499" t="str">
            <v>CĐ VĂN – VAN11
A.202</v>
          </cell>
          <cell r="C499" t="str">
            <v>GDĐP – SINH03
A.202</v>
          </cell>
          <cell r="D499" t="str">
            <v>KTPL – KTPL03
A.202</v>
          </cell>
          <cell r="E499" t="str">
            <v>VĂN – VAN11
A.202</v>
          </cell>
          <cell r="F499" t="str">
            <v>VĂN – VAN11
A.202</v>
          </cell>
        </row>
        <row r="500">
          <cell r="B500" t="str">
            <v>ĐỊA – DIA03
A.202</v>
          </cell>
          <cell r="C500" t="str">
            <v>VĂN – VAN11
A.202</v>
          </cell>
          <cell r="D500" t="str">
            <v>KTPL – KTPL03
A.202</v>
          </cell>
          <cell r="E500" t="str">
            <v>TOÁN – TOAN01
A.202</v>
          </cell>
          <cell r="F500" t="str">
            <v>TOÁN – TOAN01
A.202</v>
          </cell>
        </row>
        <row r="501">
          <cell r="B501" t="str">
            <v>TOÁN – TOAN01
A.202</v>
          </cell>
          <cell r="C501" t="str">
            <v>ANH – ANH01
A.202</v>
          </cell>
          <cell r="D501" t="str">
            <v>ANH – ANH01
A.202</v>
          </cell>
          <cell r="E501" t="str">
            <v>SỬ – SU04
A.202</v>
          </cell>
          <cell r="F501" t="str">
            <v>SỬ – SU04
A.202</v>
          </cell>
        </row>
        <row r="502">
          <cell r="B502" t="str">
            <v>CĐ LÝ – LY05
A.202</v>
          </cell>
          <cell r="C502" t="str">
            <v>NHÓM: GDTC, THQT, ÔN TN</v>
          </cell>
          <cell r="D502" t="str">
            <v>NHÓM: GDTC, ÔN TN</v>
          </cell>
          <cell r="E502" t="str">
            <v>CĐ TOÁN – TOAN01
A.202</v>
          </cell>
          <cell r="F502" t="str">
            <v>ĐỊA – DIA03
A.202</v>
          </cell>
        </row>
        <row r="503">
          <cell r="B503" t="str">
            <v>LÝ – LY05
A.202</v>
          </cell>
          <cell r="C503" t="str">
            <v>NHÓM: GDTC, THQT, ÔN TN</v>
          </cell>
          <cell r="D503" t="str">
            <v>NHÓM: GDTC, ÔN TN</v>
          </cell>
          <cell r="E503" t="str">
            <v>LÝ – LY05
A.202</v>
          </cell>
          <cell r="F503" t="str">
            <v>ANH – ANH01
A.202</v>
          </cell>
        </row>
        <row r="504">
          <cell r="B504" t="str">
            <v>HĐTN – LY05
A.202</v>
          </cell>
          <cell r="C504" t="str">
            <v>TIN – TIN05
C.318 (Vi tính 3)</v>
          </cell>
          <cell r="D504" t="str">
            <v>TOÁN – TOAN01
A.202</v>
          </cell>
          <cell r="E504" t="str">
            <v>NHÓM: GDTC, THQT, ÔN TN</v>
          </cell>
          <cell r="F504" t="str">
            <v>NHÓM: GDTC, THQT, ÔN TN</v>
          </cell>
        </row>
        <row r="505">
          <cell r="C505" t="str">
            <v>TIN – TIN05
C.318 (Vi tính 3)</v>
          </cell>
          <cell r="D505" t="str">
            <v>TOÁN – TOAN01
A.202</v>
          </cell>
          <cell r="E505" t="str">
            <v>NHÓM: GDTC, THQT, ÔN TN</v>
          </cell>
          <cell r="F505" t="str">
            <v>NHÓM: GDTC, THQT, ÔN TN</v>
          </cell>
        </row>
        <row r="508">
          <cell r="A508" t="str">
            <v>LỚP 12A8   |   GVCN: LÊ THỊ TƯỜNG VY   |   Phòng A.203</v>
          </cell>
        </row>
        <row r="510">
          <cell r="B510" t="str">
            <v>Chào cờ/HĐTN – ANH09
A.203</v>
          </cell>
          <cell r="C510" t="str">
            <v>VĂN – VAN10
A.203</v>
          </cell>
          <cell r="D510" t="str">
            <v>CĐ TOÁN – TOAN01
A.203</v>
          </cell>
          <cell r="E510" t="str">
            <v>TOÁN – TOAN01
A.203</v>
          </cell>
          <cell r="F510" t="str">
            <v>TIN – TIN02
C.117 (Vi tính 4)</v>
          </cell>
        </row>
        <row r="511">
          <cell r="B511" t="str">
            <v>TOÁN – TOAN01
A.203</v>
          </cell>
          <cell r="C511" t="str">
            <v>ANH – ANH09
A.203</v>
          </cell>
          <cell r="D511" t="str">
            <v>TOÁN – TOAN01
A.203</v>
          </cell>
          <cell r="E511" t="str">
            <v>VĂN – VAN10
A.203</v>
          </cell>
          <cell r="F511" t="str">
            <v>CĐ VĂN – VAN10
A.203</v>
          </cell>
        </row>
        <row r="512">
          <cell r="B512" t="str">
            <v>TOÁN – TOAN01
A.203</v>
          </cell>
          <cell r="C512" t="str">
            <v>HĐTN – LY01
A.203</v>
          </cell>
          <cell r="D512" t="str">
            <v>ANH – ANH09
A.203</v>
          </cell>
          <cell r="E512" t="str">
            <v>VĂN – VAN10
A.203</v>
          </cell>
          <cell r="F512" t="str">
            <v>KTPL – KTPL01
A.203</v>
          </cell>
        </row>
        <row r="513">
          <cell r="B513" t="str">
            <v>CN – CN01
A.203</v>
          </cell>
          <cell r="C513" t="str">
            <v>HĐTN – LY01
A.203</v>
          </cell>
          <cell r="D513" t="str">
            <v>ANH – ANH09
A.203</v>
          </cell>
          <cell r="E513" t="str">
            <v>LÝ – LY01
A.203</v>
          </cell>
          <cell r="F513" t="str">
            <v>TOÁN – TOAN01
A.203</v>
          </cell>
        </row>
        <row r="514">
          <cell r="B514" t="str">
            <v>TIN – TIN02
C.117 (Vi tính 4)</v>
          </cell>
          <cell r="C514" t="str">
            <v>NHÓM: GDTC, THQT, ÔN TN</v>
          </cell>
          <cell r="D514" t="str">
            <v>QPAN – QPAN02
Sân / BM Quốc phòng</v>
          </cell>
          <cell r="E514" t="str">
            <v>GDĐP – SINH01
A.203</v>
          </cell>
          <cell r="F514" t="str">
            <v>SỬ – SU03
A.203</v>
          </cell>
        </row>
        <row r="515">
          <cell r="B515" t="str">
            <v>CN – CN01
A.203</v>
          </cell>
          <cell r="C515" t="str">
            <v>NHÓM: GDTC, THQT, ÔN TN</v>
          </cell>
          <cell r="D515" t="str">
            <v>VĂN – VAN10
A.203</v>
          </cell>
          <cell r="E515" t="str">
            <v>KTPL – KTPL01
A.203</v>
          </cell>
          <cell r="F515" t="str">
            <v>CĐ LÝ – LY01
A.203</v>
          </cell>
        </row>
        <row r="516">
          <cell r="B516" t="str">
            <v>NHÓM: GDTC, THQT, ÔN TN</v>
          </cell>
          <cell r="C516" t="str">
            <v>LÝ – LY01
A.203</v>
          </cell>
          <cell r="D516" t="str">
            <v>SỬ – SU03
A.203</v>
          </cell>
          <cell r="E516" t="str">
            <v>NHÓM: THQT, ÔN TN</v>
          </cell>
          <cell r="F516" t="str">
            <v>NHÓM: GDTC, THQT, ÔN TN</v>
          </cell>
        </row>
        <row r="517">
          <cell r="B517" t="str">
            <v>NHÓM: GDTC, THQT, ÔN TN</v>
          </cell>
          <cell r="C517" t="str">
            <v>VĂN – VAN10
A.203</v>
          </cell>
          <cell r="E517" t="str">
            <v>NHÓM: THQT, ÔN TN</v>
          </cell>
          <cell r="F517" t="str">
            <v>NHÓM: GDTC, THQT, ÔN TN</v>
          </cell>
        </row>
        <row r="520">
          <cell r="A520" t="str">
            <v>LỚP 12A9   |   GVCN: TRẦN THỊ MỸ THANH   |   Phòng A.204</v>
          </cell>
        </row>
        <row r="522">
          <cell r="B522" t="str">
            <v>Chào cờ/HĐTN – ANH08
A.204</v>
          </cell>
          <cell r="C522" t="str">
            <v>VĂN – VAN07
A.204</v>
          </cell>
          <cell r="D522" t="str">
            <v>ANH – ANH08
A.204</v>
          </cell>
          <cell r="E522" t="str">
            <v>HĐTN – HOA07
A.204</v>
          </cell>
          <cell r="F522" t="str">
            <v>VĂN – VAN07
A.204</v>
          </cell>
        </row>
        <row r="523">
          <cell r="B523" t="str">
            <v>HÓA – HOA07
A.204</v>
          </cell>
          <cell r="C523" t="str">
            <v>VĂN – VAN07
A.204</v>
          </cell>
          <cell r="D523" t="str">
            <v>CĐ SỬ – SU03
A.204</v>
          </cell>
          <cell r="E523" t="str">
            <v>ĐỊA – DIA02
A.204</v>
          </cell>
          <cell r="F523" t="str">
            <v>TOÁN – TOAN03
A.204</v>
          </cell>
        </row>
        <row r="524">
          <cell r="B524" t="str">
            <v>ANH – ANH08
A.204</v>
          </cell>
          <cell r="C524" t="str">
            <v>KTPL – KTPL02
A.204</v>
          </cell>
          <cell r="D524" t="str">
            <v>ANH – ANH08
A.204</v>
          </cell>
          <cell r="E524" t="str">
            <v>CĐ VĂN – VAN07
A.204</v>
          </cell>
          <cell r="F524" t="str">
            <v>TIN – TIN02
C.117 (Vi tính 4)</v>
          </cell>
        </row>
        <row r="525">
          <cell r="B525" t="str">
            <v>VĂN – VAN07
A.204</v>
          </cell>
          <cell r="C525" t="str">
            <v>HĐTN – HOA07
A.204</v>
          </cell>
          <cell r="D525" t="str">
            <v>TOÁN – TOAN03
A.204</v>
          </cell>
          <cell r="E525" t="str">
            <v>VĂN – VAN07
A.204</v>
          </cell>
          <cell r="F525" t="str">
            <v>HÓA – HOA07
A.204</v>
          </cell>
        </row>
        <row r="526">
          <cell r="B526" t="str">
            <v>TOÁN – TOAN03
A.204</v>
          </cell>
          <cell r="C526" t="str">
            <v>NHÓM: GDTC, ÔN TN</v>
          </cell>
          <cell r="D526" t="str">
            <v>CĐ ĐỊA – DIA02
A.204</v>
          </cell>
          <cell r="E526" t="str">
            <v>SỬ – SU03
A.204</v>
          </cell>
          <cell r="F526" t="str">
            <v>KTPL – KTPL02
A.204</v>
          </cell>
        </row>
        <row r="527">
          <cell r="B527" t="str">
            <v>TOÁN – TOAN03
A.204</v>
          </cell>
          <cell r="C527" t="str">
            <v>NHÓM: GDTC, ÔN TN</v>
          </cell>
          <cell r="D527" t="str">
            <v>QPAN – QPAN02
Sân / BM Quốc phòng</v>
          </cell>
          <cell r="E527" t="str">
            <v>TOÁN – TOAN03
A.204</v>
          </cell>
          <cell r="F527" t="str">
            <v>ĐỊA – DIA02
A.204</v>
          </cell>
        </row>
        <row r="528">
          <cell r="B528" t="str">
            <v>NHÓM: GDTC, THQT, ÔN TN</v>
          </cell>
          <cell r="C528" t="str">
            <v>SỬ – SU03
A.204</v>
          </cell>
          <cell r="D528" t="str">
            <v>TIN – TIN02
C.117 (Vi tính 4)</v>
          </cell>
          <cell r="E528" t="str">
            <v>NHÓM: GDTC, THQT, ÔN TN</v>
          </cell>
          <cell r="F528" t="str">
            <v>NHÓM: GDTC, ÔN TN</v>
          </cell>
        </row>
        <row r="529">
          <cell r="B529" t="str">
            <v>NHÓM: GDTC, THQT, ÔN TN</v>
          </cell>
          <cell r="C529" t="str">
            <v>GDĐP – SINH04
A.204</v>
          </cell>
          <cell r="E529" t="str">
            <v>NHÓM: GDTC, THQT, ÔN TN</v>
          </cell>
          <cell r="F529" t="str">
            <v>NHÓM: GDTC, ÔN TN</v>
          </cell>
        </row>
        <row r="532">
          <cell r="A532" t="str">
            <v>LỚP 12A10   |   GVCN: NGUYỄN THỊ TUYẾT NHUNG   |   Phòng A.205</v>
          </cell>
        </row>
        <row r="534">
          <cell r="B534" t="str">
            <v>Chào cờ/HĐTN – SINH04
A.205</v>
          </cell>
          <cell r="C534" t="str">
            <v>CĐ SINH – SINH04
A.205</v>
          </cell>
          <cell r="D534" t="str">
            <v>SINH – SINH04
A.205</v>
          </cell>
          <cell r="E534" t="str">
            <v>ANH – ANH08
A.205</v>
          </cell>
          <cell r="F534" t="str">
            <v>HĐTN – HOA03
A.205</v>
          </cell>
        </row>
        <row r="535">
          <cell r="B535" t="str">
            <v>CĐ TOÁN – TOAN04
A.205</v>
          </cell>
          <cell r="C535" t="str">
            <v>HĐTN – HOA03
A.205</v>
          </cell>
          <cell r="D535" t="str">
            <v>SINH – SINH04
A.205</v>
          </cell>
          <cell r="E535" t="str">
            <v>VĂN – VAN03
A.205</v>
          </cell>
          <cell r="F535" t="str">
            <v>HÓA – HOA03
A.205</v>
          </cell>
        </row>
        <row r="536">
          <cell r="B536" t="str">
            <v>HÓA – HOA03
A.205</v>
          </cell>
          <cell r="C536" t="str">
            <v>TIN – TIN02
C.318 (Vi tính 3)</v>
          </cell>
          <cell r="D536" t="str">
            <v>QPAN – QPAN02
Sân / BM Quốc phòng</v>
          </cell>
          <cell r="E536" t="str">
            <v>VĂN – VAN03
A.205</v>
          </cell>
          <cell r="F536" t="str">
            <v>VĂN – VAN03
A.205</v>
          </cell>
        </row>
        <row r="537">
          <cell r="B537" t="str">
            <v>ANH – ANH08
A.205</v>
          </cell>
          <cell r="C537" t="str">
            <v>CĐ HÓA – HOA03
A.205</v>
          </cell>
          <cell r="D537" t="str">
            <v>TOÁN – TOAN04
A.205</v>
          </cell>
          <cell r="E537" t="str">
            <v>SỬ – SU02
A.205</v>
          </cell>
          <cell r="F537" t="str">
            <v>TIN – TIN02
C.117 (Vi tính 4)</v>
          </cell>
        </row>
        <row r="538">
          <cell r="B538" t="str">
            <v>VĂN – VAN03
A.205</v>
          </cell>
          <cell r="C538" t="str">
            <v>NHÓM: THQT, ÔN TN</v>
          </cell>
          <cell r="D538" t="str">
            <v>NHÓM: GDTC, ÔN TN</v>
          </cell>
          <cell r="E538" t="str">
            <v>GDĐP – HOA07
A.205</v>
          </cell>
          <cell r="F538" t="str">
            <v>TOÁN – TOAN04
A.205</v>
          </cell>
        </row>
        <row r="539">
          <cell r="B539" t="str">
            <v>VĂN – VAN03
A.205</v>
          </cell>
          <cell r="C539" t="str">
            <v>NHÓM: THQT, ÔN TN</v>
          </cell>
          <cell r="D539" t="str">
            <v>NHÓM: GDTC, ÔN TN</v>
          </cell>
          <cell r="E539" t="str">
            <v>KTPL – KTPL02
A.205</v>
          </cell>
          <cell r="F539" t="str">
            <v>KTPL – KTPL02
A.205</v>
          </cell>
        </row>
        <row r="540">
          <cell r="B540" t="str">
            <v>TOÁN – TOAN04
A.205</v>
          </cell>
          <cell r="C540" t="str">
            <v>TOÁN – TOAN04
A.205</v>
          </cell>
          <cell r="D540" t="str">
            <v>ANH – ANH08
A.205</v>
          </cell>
          <cell r="E540" t="str">
            <v>NHÓM: THQT, ÔN TN</v>
          </cell>
          <cell r="F540" t="str">
            <v>NHÓM: GDTC, THQT</v>
          </cell>
        </row>
        <row r="541">
          <cell r="C541" t="str">
            <v>TOÁN – TOAN04
A.205</v>
          </cell>
          <cell r="D541" t="str">
            <v>SỬ – SU02
A.205</v>
          </cell>
          <cell r="E541" t="str">
            <v>NHÓM: THQT, ÔN TN</v>
          </cell>
          <cell r="F541" t="str">
            <v>NHÓM: GDTC, THQT</v>
          </cell>
        </row>
        <row r="544">
          <cell r="A544" t="str">
            <v>LỚP 12A11   |   GVCN: ĐOÀN THỊ KIM HẠNH   |   Phòng A.206</v>
          </cell>
        </row>
        <row r="546">
          <cell r="B546" t="str">
            <v>Chào cờ/HĐTN – TOAN05
A.206</v>
          </cell>
          <cell r="C546" t="str">
            <v>KTPL – KTPL01
A.206</v>
          </cell>
          <cell r="D546" t="str">
            <v>CĐ TOÁN – TOAN05
A.206</v>
          </cell>
          <cell r="E546" t="str">
            <v>TOÁN – TOAN05
A.206</v>
          </cell>
          <cell r="F546" t="str">
            <v>TOÁN – TOAN05
A.206</v>
          </cell>
        </row>
        <row r="547">
          <cell r="B547" t="str">
            <v>ANH – ANH04
A.206</v>
          </cell>
          <cell r="C547" t="str">
            <v>CĐ SINH – SINH01
A.206</v>
          </cell>
          <cell r="D547" t="str">
            <v>TOÁN – TOAN05
A.206</v>
          </cell>
          <cell r="E547" t="str">
            <v>VĂN – VAN13
A.206</v>
          </cell>
          <cell r="F547" t="str">
            <v>TOÁN – TOAN05
A.206</v>
          </cell>
        </row>
        <row r="548">
          <cell r="B548" t="str">
            <v>ANH – ANH04
A.206</v>
          </cell>
          <cell r="C548" t="str">
            <v>ANH – ANH04
A.206</v>
          </cell>
          <cell r="D548" t="str">
            <v>SINH – SINH01
A.206</v>
          </cell>
          <cell r="E548" t="str">
            <v>SỬ – SU01
A.206</v>
          </cell>
          <cell r="F548" t="str">
            <v>SỬ – SU01
A.206</v>
          </cell>
        </row>
        <row r="549">
          <cell r="B549" t="str">
            <v>HĐTN – TOAN05
A.206</v>
          </cell>
          <cell r="C549" t="str">
            <v>CĐ HÓA – HOA01
A.206</v>
          </cell>
          <cell r="D549" t="str">
            <v>HĐTN – TOAN05
A.206</v>
          </cell>
          <cell r="E549" t="str">
            <v>TOÁN – TOAN05
A.206</v>
          </cell>
          <cell r="F549" t="str">
            <v>ĐỊA – DIA01
A.206</v>
          </cell>
        </row>
        <row r="550">
          <cell r="B550" t="str">
            <v>SINH – SINH01
A.206</v>
          </cell>
          <cell r="C550" t="str">
            <v>NHÓM: GDTC, ÔN TN</v>
          </cell>
          <cell r="D550" t="str">
            <v>NHÓM: GDTC, ÔN TN</v>
          </cell>
          <cell r="E550" t="str">
            <v>HÓA – HOA01
A.206</v>
          </cell>
          <cell r="F550" t="str">
            <v>GDĐP – LY11
A.206</v>
          </cell>
        </row>
        <row r="551">
          <cell r="B551" t="str">
            <v>ĐỊA – DIA01
A.206</v>
          </cell>
          <cell r="C551" t="str">
            <v>NHÓM: GDTC, ÔN TN</v>
          </cell>
          <cell r="D551" t="str">
            <v>NHÓM: GDTC, ÔN TN</v>
          </cell>
          <cell r="E551" t="str">
            <v>VĂN – VAN13
A.206</v>
          </cell>
          <cell r="F551" t="str">
            <v>VĂN – VAN13
A.206</v>
          </cell>
        </row>
        <row r="552">
          <cell r="B552" t="str">
            <v>NHÓM: GDTC, ÔN TN</v>
          </cell>
          <cell r="C552" t="str">
            <v>KTPL – KTPL01
A.206</v>
          </cell>
          <cell r="D552" t="str">
            <v>QPAN – QPAN02
Sân / BM Quốc phòng</v>
          </cell>
          <cell r="E552" t="str">
            <v>NHÓM: GDTC, ÔN TN</v>
          </cell>
          <cell r="F552" t="str">
            <v>VĂN – VAN13
A.206</v>
          </cell>
        </row>
        <row r="553">
          <cell r="B553" t="str">
            <v>NHÓM: GDTC, ÔN TN</v>
          </cell>
          <cell r="C553" t="str">
            <v>VĂN – VAN13
A.206</v>
          </cell>
          <cell r="D553" t="str">
            <v>HÓA – HOA01
A.206</v>
          </cell>
          <cell r="E553" t="str">
            <v>NHÓM: GDTC, ÔN TN</v>
          </cell>
        </row>
        <row r="556">
          <cell r="A556" t="str">
            <v>LỚP 12A12   |   GVCN: NGUYỄN THỊ THUỲ DƯƠNG   |   Phòng A.207</v>
          </cell>
        </row>
        <row r="558">
          <cell r="B558" t="str">
            <v>Chào cờ/HĐTN – ANH10
A.207</v>
          </cell>
          <cell r="C558" t="str">
            <v>VĂN – VAN03
A.207</v>
          </cell>
          <cell r="D558" t="str">
            <v>ANH – ANH10
A.207</v>
          </cell>
          <cell r="E558" t="str">
            <v>VĂN – VAN03
A.207</v>
          </cell>
          <cell r="F558" t="str">
            <v>VĂN – VAN03
A.207</v>
          </cell>
        </row>
        <row r="559">
          <cell r="B559" t="str">
            <v>GDĐP – SINH03
A.207</v>
          </cell>
          <cell r="C559" t="str">
            <v>TIN – TIN01
C.318 (Vi tính 3)</v>
          </cell>
          <cell r="D559" t="str">
            <v>HĐTN – SINH06
A.207</v>
          </cell>
          <cell r="E559" t="str">
            <v>TOÁN – TOAN12
A.207</v>
          </cell>
          <cell r="F559" t="str">
            <v>VĂN – VAN03
A.207</v>
          </cell>
        </row>
        <row r="560">
          <cell r="B560" t="str">
            <v>ANH – ANH10
A.207</v>
          </cell>
          <cell r="C560" t="str">
            <v>KTPL – KTPL01
A.207</v>
          </cell>
          <cell r="D560" t="str">
            <v>KTPL – KTPL01
A.207</v>
          </cell>
          <cell r="E560" t="str">
            <v>TOÁN – TOAN12
A.207</v>
          </cell>
          <cell r="F560" t="str">
            <v>TOÁN – TOAN12
A.207</v>
          </cell>
        </row>
        <row r="561">
          <cell r="B561" t="str">
            <v>VĂN – VAN03
A.207</v>
          </cell>
          <cell r="C561" t="str">
            <v>HĐTN – SINH06
A.207</v>
          </cell>
          <cell r="D561" t="str">
            <v>TOÁN – TOAN12
A.207</v>
          </cell>
          <cell r="E561" t="str">
            <v>CĐ VĂN – VAN03
A.207</v>
          </cell>
          <cell r="F561" t="str">
            <v>TOÁN – TOAN12
A.207</v>
          </cell>
        </row>
        <row r="562">
          <cell r="B562" t="str">
            <v>ĐỊA – DIA02
A.207</v>
          </cell>
          <cell r="C562" t="str">
            <v>NHÓM: GDTC, THQT, ÔN TN</v>
          </cell>
          <cell r="D562" t="str">
            <v>NHÓM: GDTC, ÔN TN</v>
          </cell>
          <cell r="E562" t="str">
            <v>SỬ – SU01
A.207</v>
          </cell>
          <cell r="F562" t="str">
            <v>CĐ SỬ – SU01
A.207</v>
          </cell>
        </row>
        <row r="563">
          <cell r="B563" t="str">
            <v>CĐ ĐỊA – DIA02
A.207</v>
          </cell>
          <cell r="C563" t="str">
            <v>NHÓM: GDTC, THQT, ÔN TN</v>
          </cell>
          <cell r="D563" t="str">
            <v>NHÓM: GDTC, ÔN TN</v>
          </cell>
          <cell r="E563" t="str">
            <v>SỬ – SU01
A.207</v>
          </cell>
          <cell r="F563" t="str">
            <v>QPAN – QPAN02
Sân / BM Quốc phòng</v>
          </cell>
        </row>
        <row r="564">
          <cell r="B564" t="str">
            <v>TIN – TIN01
C.117 (Vi tính 4)</v>
          </cell>
          <cell r="C564" t="str">
            <v>ANH – ANH10
A.207</v>
          </cell>
          <cell r="D564" t="str">
            <v>ĐỊA – DIA02
A.207</v>
          </cell>
          <cell r="E564" t="str">
            <v>NHÓM: GDTC, THQT, ÔN TN</v>
          </cell>
          <cell r="F564" t="str">
            <v>NHÓM: GDTC, THQT, ÔN TN</v>
          </cell>
        </row>
        <row r="565">
          <cell r="C565" t="str">
            <v>SINH – SINH06
A.207</v>
          </cell>
          <cell r="D565" t="str">
            <v>SINH – SINH06
A.207</v>
          </cell>
          <cell r="E565" t="str">
            <v>NHÓM: GDTC, THQT, ÔN TN</v>
          </cell>
          <cell r="F565" t="str">
            <v>NHÓM: GDTC, THQT, ÔN TN</v>
          </cell>
        </row>
        <row r="568">
          <cell r="A568" t="str">
            <v>LỚP 12A13   |   GVCN: HOÀNG THỊ HẢI YẾN   |   Phòng A.307</v>
          </cell>
        </row>
        <row r="570">
          <cell r="B570" t="str">
            <v>Chào cờ/HĐTN – VAN13
A.307</v>
          </cell>
          <cell r="C570" t="str">
            <v>SINH – SINH01
A.307</v>
          </cell>
          <cell r="D570" t="str">
            <v>SINH – SINH01
A.307</v>
          </cell>
          <cell r="E570" t="str">
            <v>GDĐP – SINH01
A.307</v>
          </cell>
          <cell r="F570" t="str">
            <v>VĂN – VAN13
A.307</v>
          </cell>
        </row>
        <row r="571">
          <cell r="B571" t="str">
            <v>TOÁN – TOAN05
A.307</v>
          </cell>
          <cell r="C571" t="str">
            <v>CN – CN01
A.307</v>
          </cell>
          <cell r="D571" t="str">
            <v>HĐTN – SINH01
A.307</v>
          </cell>
          <cell r="E571" t="str">
            <v>TOÁN – TOAN05
A.307</v>
          </cell>
          <cell r="F571" t="str">
            <v>QPAN – QPAN01
Sân / BM Quốc phòng</v>
          </cell>
        </row>
        <row r="572">
          <cell r="B572" t="str">
            <v>VĂN – VAN13
A.307</v>
          </cell>
          <cell r="C572" t="str">
            <v>ANH – ANH02
A.307</v>
          </cell>
          <cell r="D572" t="str">
            <v>TOÁN – TOAN05
A.307</v>
          </cell>
          <cell r="E572" t="str">
            <v>TOÁN – TOAN05
A.307</v>
          </cell>
          <cell r="F572" t="str">
            <v>TOÁN – TOAN05
A.307</v>
          </cell>
        </row>
        <row r="573">
          <cell r="B573" t="str">
            <v>VĂN – VAN13
A.307</v>
          </cell>
          <cell r="C573" t="str">
            <v>ANH – ANH02
A.307</v>
          </cell>
          <cell r="D573" t="str">
            <v>SỬ – SU02
A.307</v>
          </cell>
          <cell r="E573" t="str">
            <v>ĐỊA – DIA02
A.307</v>
          </cell>
          <cell r="F573" t="str">
            <v>VĂN – VAN13
A.307</v>
          </cell>
        </row>
        <row r="574">
          <cell r="B574" t="str">
            <v>KTPL – KTPL03
A.307</v>
          </cell>
          <cell r="C574" t="str">
            <v>NHÓM: GDTC, ÔN TN</v>
          </cell>
          <cell r="D574" t="str">
            <v>NHÓM: GDTC, ÔN TN</v>
          </cell>
          <cell r="E574" t="str">
            <v>VĂN – VAN13
A.307</v>
          </cell>
          <cell r="F574" t="str">
            <v>CĐ ĐỊA – DIA02
A.307</v>
          </cell>
        </row>
        <row r="575">
          <cell r="B575" t="str">
            <v>HĐTN – SINH01
A.307</v>
          </cell>
          <cell r="C575" t="str">
            <v>NHÓM: GDTC, ÔN TN</v>
          </cell>
          <cell r="D575" t="str">
            <v>NHÓM: GDTC, ÔN TN</v>
          </cell>
          <cell r="E575" t="str">
            <v>SỬ – SU02
A.307</v>
          </cell>
          <cell r="F575" t="str">
            <v>ANH – ANH02
A.307</v>
          </cell>
        </row>
        <row r="576">
          <cell r="B576" t="str">
            <v>NHÓM: GDTC, ÔN TN</v>
          </cell>
          <cell r="C576" t="str">
            <v>CĐ VĂN – VAN13
A.307</v>
          </cell>
          <cell r="D576" t="str">
            <v>CN – CN01
A.307</v>
          </cell>
          <cell r="E576" t="str">
            <v>NHÓM: GDTC, ÔN TN</v>
          </cell>
          <cell r="F576" t="str">
            <v>KTPL – KTPL03
A.307</v>
          </cell>
        </row>
        <row r="577">
          <cell r="B577" t="str">
            <v>NHÓM: GDTC, ÔN TN</v>
          </cell>
          <cell r="C577" t="str">
            <v>CĐ SỬ – SU02
A.307</v>
          </cell>
          <cell r="D577" t="str">
            <v>ĐỊA – DIA02
A.307</v>
          </cell>
          <cell r="E577" t="str">
            <v>NHÓM: GDTC, ÔN TN</v>
          </cell>
        </row>
        <row r="580">
          <cell r="A580" t="str">
            <v>LỚP 12A14   |   GVCN: PHẠM THỊ PHƯƠNG ĐIỀN   |   Phòng A.306</v>
          </cell>
        </row>
        <row r="582">
          <cell r="B582" t="str">
            <v>Chào cờ/HĐTN – ANH05
A.306</v>
          </cell>
          <cell r="C582" t="str">
            <v>ANH – ANH05
A.306</v>
          </cell>
          <cell r="D582" t="str">
            <v>TOÁN – TOAN13
A.306</v>
          </cell>
          <cell r="E582" t="str">
            <v>TOÁN – TOAN13
A.306</v>
          </cell>
          <cell r="F582" t="str">
            <v>ĐỊA – DIA01
A.306</v>
          </cell>
        </row>
        <row r="583">
          <cell r="B583" t="str">
            <v>VĂN – VAN07
A.306</v>
          </cell>
          <cell r="C583" t="str">
            <v>GDĐP – SINH06
A.306</v>
          </cell>
          <cell r="D583" t="str">
            <v>TOÁN – TOAN13
A.306</v>
          </cell>
          <cell r="E583" t="str">
            <v>SỬ – SU01
A.306</v>
          </cell>
          <cell r="F583" t="str">
            <v>TIN – TIN02
C.117 (Vi tính 4)</v>
          </cell>
        </row>
        <row r="584">
          <cell r="B584" t="str">
            <v>CN – CN01
A.306</v>
          </cell>
          <cell r="C584" t="str">
            <v>VĂN – VAN07
A.306</v>
          </cell>
          <cell r="D584" t="str">
            <v>HĐTN – TOAN13
A.306</v>
          </cell>
          <cell r="E584" t="str">
            <v>TIN – TIN02
C.318 (Vi tính 3)</v>
          </cell>
          <cell r="F584" t="str">
            <v>CN – CN01
A.306</v>
          </cell>
        </row>
        <row r="585">
          <cell r="B585" t="str">
            <v>ANH – ANH05
A.306</v>
          </cell>
          <cell r="C585" t="str">
            <v>KTPL – KTPL01
A.306</v>
          </cell>
          <cell r="D585" t="str">
            <v>KTPL – KTPL01
A.306</v>
          </cell>
          <cell r="E585" t="str">
            <v>HĐTN – TOAN13
A.306</v>
          </cell>
          <cell r="F585" t="str">
            <v>VĂN – VAN07
A.306</v>
          </cell>
        </row>
        <row r="586">
          <cell r="B586" t="str">
            <v>VĂN – VAN07
A.306</v>
          </cell>
          <cell r="C586" t="str">
            <v>CĐ SỬ – SU01
A.306</v>
          </cell>
          <cell r="D586" t="str">
            <v>NHÓM: GDTC, ÔN TN</v>
          </cell>
          <cell r="E586" t="str">
            <v>VĂN – VAN07
A.306</v>
          </cell>
          <cell r="F586" t="str">
            <v>TOÁN – TOAN13
A.306</v>
          </cell>
        </row>
        <row r="587">
          <cell r="B587" t="str">
            <v>QPAN – QPAN02
Sân / BM Quốc phòng</v>
          </cell>
          <cell r="C587" t="str">
            <v>SỬ – SU01
A.306</v>
          </cell>
          <cell r="D587" t="str">
            <v>NHÓM: GDTC, ÔN TN</v>
          </cell>
          <cell r="E587" t="str">
            <v>CĐ VĂN – VAN07
A.306</v>
          </cell>
          <cell r="F587" t="str">
            <v>TOÁN – TOAN13
A.306</v>
          </cell>
        </row>
        <row r="588">
          <cell r="B588" t="str">
            <v>NHÓM: GDTC, ÔN TN</v>
          </cell>
          <cell r="C588" t="str">
            <v>CĐ ĐỊA – DIA01
A.306</v>
          </cell>
          <cell r="D588" t="str">
            <v>ANH – ANH05
A.306</v>
          </cell>
          <cell r="E588" t="str">
            <v>NHÓM: GDTC, THQT, ÔN TN</v>
          </cell>
          <cell r="F588" t="str">
            <v>NHÓM: GDTC, THQT, ÔN TN</v>
          </cell>
        </row>
        <row r="589">
          <cell r="B589" t="str">
            <v>NHÓM: GDTC, ÔN TN</v>
          </cell>
          <cell r="D589" t="str">
            <v>ĐỊA – DIA01
A.306</v>
          </cell>
          <cell r="E589" t="str">
            <v>NHÓM: GDTC, THQT, ÔN TN</v>
          </cell>
          <cell r="F589" t="str">
            <v>NHÓM: GDTC, THQT, ÔN TN</v>
          </cell>
        </row>
        <row r="592">
          <cell r="A592" t="str">
            <v>LỚP 12A15   |   GVCN: QUÁCH THỊ THỦY   |   Phòng A.305</v>
          </cell>
        </row>
        <row r="594">
          <cell r="B594" t="str">
            <v>Chào cờ/HĐTN – VAN09
A.305</v>
          </cell>
          <cell r="C594" t="str">
            <v>CĐ VĂN – VAN09
A.305</v>
          </cell>
          <cell r="D594" t="str">
            <v>TOÁN – TOAN04
A.305</v>
          </cell>
          <cell r="E594" t="str">
            <v>VĂN – VAN09
A.305</v>
          </cell>
          <cell r="F594" t="str">
            <v>CĐ ĐỊA – DIA03
A.305</v>
          </cell>
        </row>
        <row r="595">
          <cell r="B595" t="str">
            <v>VĂN – VAN09
A.305</v>
          </cell>
          <cell r="C595" t="str">
            <v>VĂN – VAN09
A.305</v>
          </cell>
          <cell r="D595" t="str">
            <v>TOÁN – TOAN04
A.305</v>
          </cell>
          <cell r="E595" t="str">
            <v>ĐỊA – DIA03
A.305</v>
          </cell>
          <cell r="F595" t="str">
            <v>SỬ – SU04
A.305</v>
          </cell>
        </row>
        <row r="596">
          <cell r="B596" t="str">
            <v>GDĐP – LY11
A.305</v>
          </cell>
          <cell r="C596" t="str">
            <v>TIN – TIN05
C.117 (Vi tính 4)</v>
          </cell>
          <cell r="D596" t="str">
            <v>HĐTN – TOAN04
A.305</v>
          </cell>
          <cell r="E596" t="str">
            <v>TIN – TIN05
C.117 (Vi tính 4)</v>
          </cell>
          <cell r="F596" t="str">
            <v>VĂN – VAN09
A.305</v>
          </cell>
        </row>
        <row r="597">
          <cell r="B597" t="str">
            <v>TOÁN – TOAN04
A.305</v>
          </cell>
          <cell r="C597" t="str">
            <v>CN – CN01
A.305</v>
          </cell>
          <cell r="D597" t="str">
            <v>CĐ SỬ – SU04
A.305</v>
          </cell>
          <cell r="E597" t="str">
            <v>QPAN – QPAN01
Sân / BM Quốc phòng</v>
          </cell>
          <cell r="F597" t="str">
            <v>TOÁN – TOAN04
A.305</v>
          </cell>
        </row>
        <row r="598">
          <cell r="B598" t="str">
            <v>TOÁN – TOAN04
A.305</v>
          </cell>
          <cell r="C598" t="str">
            <v>NHÓM: GDTC, THQT, ÔN TN</v>
          </cell>
          <cell r="D598" t="str">
            <v>NHÓM: GDTC, ÔN TN</v>
          </cell>
          <cell r="E598" t="str">
            <v>ANH – ANH01
A.305</v>
          </cell>
          <cell r="F598" t="str">
            <v>ANH – ANH01
A.305</v>
          </cell>
        </row>
        <row r="599">
          <cell r="B599" t="str">
            <v>KTPL – KTPL03
A.305</v>
          </cell>
          <cell r="C599" t="str">
            <v>NHÓM: GDTC, THQT, ÔN TN</v>
          </cell>
          <cell r="D599" t="str">
            <v>NHÓM: GDTC, ÔN TN</v>
          </cell>
          <cell r="E599" t="str">
            <v>ĐỊA – DIA03
A.305</v>
          </cell>
          <cell r="F599" t="str">
            <v>HĐTN – TOAN04
A.305</v>
          </cell>
        </row>
        <row r="600">
          <cell r="B600" t="str">
            <v>KTPL – KTPL03
A.305</v>
          </cell>
          <cell r="C600" t="str">
            <v>ANH – ANH01
A.305</v>
          </cell>
          <cell r="D600" t="str">
            <v>VĂN – VAN09
A.305</v>
          </cell>
          <cell r="E600" t="str">
            <v>NHÓM: THQT, ÔN TN</v>
          </cell>
          <cell r="F600" t="str">
            <v>NHÓM: GDTC, THQT, ÔN TN</v>
          </cell>
        </row>
        <row r="601">
          <cell r="C601" t="str">
            <v>SỬ – SU04
A.305</v>
          </cell>
          <cell r="D601" t="str">
            <v>CN – CN01
A.305</v>
          </cell>
          <cell r="E601" t="str">
            <v>NHÓM: THQT, ÔN TN</v>
          </cell>
          <cell r="F601" t="str">
            <v>NHÓM: GDTC, THQT, ÔN TN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D3F579-2884-874E-97EA-9C4141F152C0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29947b7-4ce9-4cb0-8087-8a094c8b2e8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64C2-9603-624B-B163-6A14FBE59950}">
  <dimension ref="A1:AB55"/>
  <sheetViews>
    <sheetView showGridLines="0" tabSelected="1" workbookViewId="0">
      <pane xSplit="2" ySplit="4" topLeftCell="C7" activePane="bottomRight" state="frozen"/>
      <selection pane="topRight" activeCell="C1" sqref="C1"/>
      <selection pane="bottomLeft" activeCell="A5" sqref="A5"/>
      <selection pane="bottomRight" activeCell="G17" sqref="G17"/>
    </sheetView>
  </sheetViews>
  <sheetFormatPr baseColWidth="10" defaultRowHeight="15" x14ac:dyDescent="0.2"/>
  <cols>
    <col min="1" max="1" width="8.33203125" customWidth="1"/>
    <col min="2" max="2" width="25" customWidth="1"/>
    <col min="3" max="28" width="8" customWidth="1"/>
  </cols>
  <sheetData>
    <row r="1" spans="1:28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2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</row>
    <row r="5" spans="1:28" x14ac:dyDescent="0.2">
      <c r="A5" s="5" t="str">
        <f>TRIM(MID('[1]03_TKB_LOP'!$A$4,4,FIND("|",'[1]03_TKB_LOP'!$A$4)-4))</f>
        <v>10A1</v>
      </c>
      <c r="B5" s="6" t="str">
        <f>TRIM(MID('[1]03_TKB_LOP'!$A$4,FIND("GVCN:",'[1]03_TKB_LOP'!$A$4)+5,FIND("|",'[1]03_TKB_LOP'!$A$4,FIND("GVCN:",'[1]03_TKB_LOP'!$A$4))-FIND("GVCN:",'[1]03_TKB_LOP'!$A$4)-5))</f>
        <v>NGUYỄN THỊ QUỲNH DIỄM</v>
      </c>
      <c r="C5" s="7">
        <f>IF(C$4="HĐTN",COUNTIF('[1]03_TKB_LOP'!$B$6:$G$13,"HĐTN*")+COUNTIF('[1]03_TKB_LOP'!$B$6:$G$13,"Chào cờ/HĐTN*"),COUNTIF('[1]03_TKB_LOP'!$B$6:$G$13,IF(LEFT(C$4,5)="NHÓM:","NHÓM:*"&amp;MID(C$4,8,50)&amp;"*",C$4&amp;" – *")))</f>
        <v>3</v>
      </c>
      <c r="D5" s="7">
        <f>IF(D$4="HĐTN",COUNTIF('[1]03_TKB_LOP'!$B$6:$G$13,"HĐTN*")+COUNTIF('[1]03_TKB_LOP'!$B$6:$G$13,"Chào cờ/HĐTN*"),COUNTIF('[1]03_TKB_LOP'!$B$6:$G$13,IF(LEFT(D$4,5)="NHÓM:","NHÓM:*"&amp;MID(D$4,8,50)&amp;"*",D$4&amp;" – *")))</f>
        <v>3</v>
      </c>
      <c r="E5" s="7">
        <f>IF(E$4="HĐTN",COUNTIF('[1]03_TKB_LOP'!$B$6:$G$13,"HĐTN*")+COUNTIF('[1]03_TKB_LOP'!$B$6:$G$13,"Chào cờ/HĐTN*"),COUNTIF('[1]03_TKB_LOP'!$B$6:$G$13,IF(LEFT(E$4,5)="NHÓM:","NHÓM:*"&amp;MID(E$4,8,50)&amp;"*",E$4&amp;" – *")))</f>
        <v>3</v>
      </c>
      <c r="F5" s="7">
        <f>IF(F$4="HĐTN",COUNTIF('[1]03_TKB_LOP'!$B$6:$G$13,"HĐTN*")+COUNTIF('[1]03_TKB_LOP'!$B$6:$G$13,"Chào cờ/HĐTN*"),COUNTIF('[1]03_TKB_LOP'!$B$6:$G$13,IF(LEFT(F$4,5)="NHÓM:","NHÓM:*"&amp;MID(F$4,8,50)&amp;"*",F$4&amp;" – *")))</f>
        <v>3</v>
      </c>
      <c r="G5" s="7">
        <f>IF(G$4="HĐTN",COUNTIF('[1]03_TKB_LOP'!$B$6:$G$13,"HĐTN*")+COUNTIF('[1]03_TKB_LOP'!$B$6:$G$13,"Chào cờ/HĐTN*"),COUNTIF('[1]03_TKB_LOP'!$B$6:$G$13,IF(LEFT(G$4,5)="NHÓM:","NHÓM:*"&amp;MID(G$4,8,50)&amp;"*",G$4&amp;" – *")))</f>
        <v>2</v>
      </c>
      <c r="H5" s="7">
        <f>IF(H$4="HĐTN",COUNTIF('[1]03_TKB_LOP'!$B$6:$G$13,"HĐTN*")+COUNTIF('[1]03_TKB_LOP'!$B$6:$G$13,"Chào cờ/HĐTN*"),COUNTIF('[1]03_TKB_LOP'!$B$6:$G$13,IF(LEFT(H$4,5)="NHÓM:","NHÓM:*"&amp;MID(H$4,8,50)&amp;"*",H$4&amp;" – *")))</f>
        <v>2</v>
      </c>
      <c r="I5" s="7">
        <f>IF(I$4="HĐTN",COUNTIF('[1]03_TKB_LOP'!$B$6:$G$13,"HĐTN*")+COUNTIF('[1]03_TKB_LOP'!$B$6:$G$13,"Chào cờ/HĐTN*"),COUNTIF('[1]03_TKB_LOP'!$B$6:$G$13,IF(LEFT(I$4,5)="NHÓM:","NHÓM:*"&amp;MID(I$4,8,50)&amp;"*",I$4&amp;" – *")))</f>
        <v>2</v>
      </c>
      <c r="J5" s="7">
        <f>IF(J$4="HĐTN",COUNTIF('[1]03_TKB_LOP'!$B$6:$G$13,"HĐTN*")+COUNTIF('[1]03_TKB_LOP'!$B$6:$G$13,"Chào cờ/HĐTN*"),COUNTIF('[1]03_TKB_LOP'!$B$6:$G$13,IF(LEFT(J$4,5)="NHÓM:","NHÓM:*"&amp;MID(J$4,8,50)&amp;"*",J$4&amp;" – *")))</f>
        <v>2</v>
      </c>
      <c r="K5" s="7">
        <f>IF(K$4="HĐTN",COUNTIF('[1]03_TKB_LOP'!$B$6:$G$13,"HĐTN*")+COUNTIF('[1]03_TKB_LOP'!$B$6:$G$13,"Chào cờ/HĐTN*"),COUNTIF('[1]03_TKB_LOP'!$B$6:$G$13,IF(LEFT(K$4,5)="NHÓM:","NHÓM:*"&amp;MID(K$4,8,50)&amp;"*",K$4&amp;" – *")))</f>
        <v>0</v>
      </c>
      <c r="L5" s="7">
        <f>IF(L$4="HĐTN",COUNTIF('[1]03_TKB_LOP'!$B$6:$G$13,"HĐTN*")+COUNTIF('[1]03_TKB_LOP'!$B$6:$G$13,"Chào cờ/HĐTN*"),COUNTIF('[1]03_TKB_LOP'!$B$6:$G$13,IF(LEFT(L$4,5)="NHÓM:","NHÓM:*"&amp;MID(L$4,8,50)&amp;"*",L$4&amp;" – *")))</f>
        <v>0</v>
      </c>
      <c r="M5" s="7">
        <f>IF(M$4="HĐTN",COUNTIF('[1]03_TKB_LOP'!$B$6:$G$13,"HĐTN*")+COUNTIF('[1]03_TKB_LOP'!$B$6:$G$13,"Chào cờ/HĐTN*"),COUNTIF('[1]03_TKB_LOP'!$B$6:$G$13,IF(LEFT(M$4,5)="NHÓM:","NHÓM:*"&amp;MID(M$4,8,50)&amp;"*",M$4&amp;" – *")))</f>
        <v>2</v>
      </c>
      <c r="N5" s="7">
        <f>IF(N$4="HĐTN",COUNTIF('[1]03_TKB_LOP'!$B$6:$G$13,"HĐTN*")+COUNTIF('[1]03_TKB_LOP'!$B$6:$G$13,"Chào cờ/HĐTN*"),COUNTIF('[1]03_TKB_LOP'!$B$6:$G$13,IF(LEFT(N$4,5)="NHÓM:","NHÓM:*"&amp;MID(N$4,8,50)&amp;"*",N$4&amp;" – *")))</f>
        <v>0</v>
      </c>
      <c r="O5" s="7">
        <f>IF(O$4="HĐTN",COUNTIF('[1]03_TKB_LOP'!$B$6:$G$13,"HĐTN*")+COUNTIF('[1]03_TKB_LOP'!$B$6:$G$13,"Chào cờ/HĐTN*"),COUNTIF('[1]03_TKB_LOP'!$B$6:$G$13,IF(LEFT(O$4,5)="NHÓM:","NHÓM:*"&amp;MID(O$4,8,50)&amp;"*",O$4&amp;" – *")))</f>
        <v>1</v>
      </c>
      <c r="P5" s="7">
        <f>IF(P$4="HĐTN",COUNTIF('[1]03_TKB_LOP'!$B$6:$G$13,"HĐTN*")+COUNTIF('[1]03_TKB_LOP'!$B$6:$G$13,"Chào cờ/HĐTN*"),COUNTIF('[1]03_TKB_LOP'!$B$6:$G$13,IF(LEFT(P$4,5)="NHÓM:","NHÓM:*"&amp;MID(P$4,8,50)&amp;"*",P$4&amp;" – *")))</f>
        <v>1</v>
      </c>
      <c r="Q5" s="7">
        <f>IF(Q$4="HĐTN",COUNTIF('[1]03_TKB_LOP'!$B$6:$G$13,"HĐTN*")+COUNTIF('[1]03_TKB_LOP'!$B$6:$G$13,"Chào cờ/HĐTN*"),COUNTIF('[1]03_TKB_LOP'!$B$6:$G$13,IF(LEFT(Q$4,5)="NHÓM:","NHÓM:*"&amp;MID(Q$4,8,50)&amp;"*",Q$4&amp;" – *")))</f>
        <v>1</v>
      </c>
      <c r="R5" s="7">
        <f>IF(R$4="HĐTN",COUNTIF('[1]03_TKB_LOP'!$B$6:$G$13,"HĐTN*")+COUNTIF('[1]03_TKB_LOP'!$B$6:$G$13,"Chào cờ/HĐTN*"),COUNTIF('[1]03_TKB_LOP'!$B$6:$G$13,IF(LEFT(R$4,5)="NHÓM:","NHÓM:*"&amp;MID(R$4,8,50)&amp;"*",R$4&amp;" – *")))</f>
        <v>0</v>
      </c>
      <c r="S5" s="7">
        <f>IF(S$4="HĐTN",COUNTIF('[1]03_TKB_LOP'!$B$6:$G$13,"HĐTN*")+COUNTIF('[1]03_TKB_LOP'!$B$6:$G$13,"Chào cờ/HĐTN*"),COUNTIF('[1]03_TKB_LOP'!$B$6:$G$13,IF(LEFT(S$4,5)="NHÓM:","NHÓM:*"&amp;MID(S$4,8,50)&amp;"*",S$4&amp;" – *")))</f>
        <v>1</v>
      </c>
      <c r="T5" s="7">
        <f>IF(T$4="HĐTN",COUNTIF('[1]03_TKB_LOP'!$B$6:$G$13,"HĐTN*")+COUNTIF('[1]03_TKB_LOP'!$B$6:$G$13,"Chào cờ/HĐTN*"),COUNTIF('[1]03_TKB_LOP'!$B$6:$G$13,IF(LEFT(T$4,5)="NHÓM:","NHÓM:*"&amp;MID(T$4,8,50)&amp;"*",T$4&amp;" – *")))</f>
        <v>1</v>
      </c>
      <c r="U5" s="7">
        <f>IF(U$4="HĐTN",COUNTIF('[1]03_TKB_LOP'!$B$6:$G$13,"HĐTN*")+COUNTIF('[1]03_TKB_LOP'!$B$6:$G$13,"Chào cờ/HĐTN*"),COUNTIF('[1]03_TKB_LOP'!$B$6:$G$13,IF(LEFT(U$4,5)="NHÓM:","NHÓM:*"&amp;MID(U$4,8,50)&amp;"*",U$4&amp;" – *")))</f>
        <v>0</v>
      </c>
      <c r="V5" s="7">
        <f>IF(V$4="HĐTN",COUNTIF('[1]03_TKB_LOP'!$B$6:$G$13,"HĐTN*")+COUNTIF('[1]03_TKB_LOP'!$B$6:$G$13,"Chào cờ/HĐTN*"),COUNTIF('[1]03_TKB_LOP'!$B$6:$G$13,IF(LEFT(V$4,5)="NHÓM:","NHÓM:*"&amp;MID(V$4,8,50)&amp;"*",V$4&amp;" – *")))</f>
        <v>0</v>
      </c>
      <c r="W5" s="7">
        <f>IF(W$4="HĐTN",COUNTIF('[1]03_TKB_LOP'!$B$6:$G$13,"HĐTN*")+COUNTIF('[1]03_TKB_LOP'!$B$6:$G$13,"Chào cờ/HĐTN*"),COUNTIF('[1]03_TKB_LOP'!$B$6:$G$13,IF(LEFT(W$4,5)="NHÓM:","NHÓM:*"&amp;MID(W$4,8,50)&amp;"*",W$4&amp;" – *")))</f>
        <v>0</v>
      </c>
      <c r="X5" s="7">
        <f>IF(X$4="HĐTN",COUNTIF('[1]03_TKB_LOP'!$B$6:$G$13,"HĐTN*")+COUNTIF('[1]03_TKB_LOP'!$B$6:$G$13,"Chào cờ/HĐTN*"),COUNTIF('[1]03_TKB_LOP'!$B$6:$G$13,IF(LEFT(X$4,5)="NHÓM:","NHÓM:*"&amp;MID(X$4,8,50)&amp;"*",X$4&amp;" – *")))</f>
        <v>6</v>
      </c>
      <c r="Y5" s="7">
        <f>IF(Y$4="HĐTN",COUNTIF('[1]03_TKB_LOP'!$B$6:$G$13,"HĐTN*")+COUNTIF('[1]03_TKB_LOP'!$B$6:$G$13,"Chào cờ/HĐTN*"),COUNTIF('[1]03_TKB_LOP'!$B$6:$G$13,IF(LEFT(Y$4,5)="NHÓM:","NHÓM:*"&amp;MID(Y$4,8,50)&amp;"*",Y$4&amp;" – *")))</f>
        <v>2</v>
      </c>
      <c r="Z5" s="7">
        <f>IF(Z$4="HĐTN",COUNTIF('[1]03_TKB_LOP'!$B$6:$G$13,"HĐTN*")+COUNTIF('[1]03_TKB_LOP'!$B$6:$G$13,"Chào cờ/HĐTN*"),COUNTIF('[1]03_TKB_LOP'!$B$6:$G$13,IF(LEFT(Z$4,5)="NHÓM:","NHÓM:*"&amp;MID(Z$4,8,50)&amp;"*",Z$4&amp;" – *")))</f>
        <v>2</v>
      </c>
      <c r="AA5" s="7">
        <f>IF(AA$4="HĐTN",COUNTIF('[1]03_TKB_LOP'!$B$6:$G$13,"HĐTN*")+COUNTIF('[1]03_TKB_LOP'!$B$6:$G$13,"Chào cờ/HĐTN*"),COUNTIF('[1]03_TKB_LOP'!$B$6:$G$13,IF(LEFT(AA$4,5)="NHÓM:","NHÓM:*"&amp;MID(AA$4,8,50)&amp;"*",AA$4&amp;" – *")))</f>
        <v>2</v>
      </c>
      <c r="AB5" s="7">
        <f>IF(AB$4="HĐTN",COUNTIF('[1]03_TKB_LOP'!$B$6:$G$13,"HĐTN*")+COUNTIF('[1]03_TKB_LOP'!$B$6:$G$13,"Chào cờ/HĐTN*"),COUNTIF('[1]03_TKB_LOP'!$B$6:$G$13,IF(LEFT(AB$4,5)="NHÓM:","NHÓM:*"&amp;MID(AB$4,8,50)&amp;"*",AB$4&amp;" – *")))</f>
        <v>0</v>
      </c>
    </row>
    <row r="6" spans="1:28" x14ac:dyDescent="0.2">
      <c r="A6" s="5" t="str">
        <f>TRIM(MID('[1]03_TKB_LOP'!$A$16,4,FIND("|",'[1]03_TKB_LOP'!$A$16)-4))</f>
        <v>10A2</v>
      </c>
      <c r="B6" s="6" t="str">
        <f>TRIM(MID('[1]03_TKB_LOP'!$A$16,FIND("GVCN:",'[1]03_TKB_LOP'!$A$16)+5,FIND("|",'[1]03_TKB_LOP'!$A$16,FIND("GVCN:",'[1]03_TKB_LOP'!$A$16))-FIND("GVCN:",'[1]03_TKB_LOP'!$A$16)-5))</f>
        <v>TRẦN THỊ KHUYÊN</v>
      </c>
      <c r="C6" s="7">
        <f>IF(C$4="HĐTN",COUNTIF('[1]03_TKB_LOP'!$B$18:$G$25,"HĐTN*")+COUNTIF('[1]03_TKB_LOP'!$B$18:$G$25,"Chào cờ/HĐTN*"),COUNTIF('[1]03_TKB_LOP'!$B$18:$G$25,IF(LEFT(C$4,5)="NHÓM:","NHÓM:*"&amp;MID(C$4,8,50)&amp;"*",C$4&amp;" – *")))</f>
        <v>3</v>
      </c>
      <c r="D6" s="7">
        <f>IF(D$4="HĐTN",COUNTIF('[1]03_TKB_LOP'!$B$18:$G$25,"HĐTN*")+COUNTIF('[1]03_TKB_LOP'!$B$18:$G$25,"Chào cờ/HĐTN*"),COUNTIF('[1]03_TKB_LOP'!$B$18:$G$25,IF(LEFT(D$4,5)="NHÓM:","NHÓM:*"&amp;MID(D$4,8,50)&amp;"*",D$4&amp;" – *")))</f>
        <v>3</v>
      </c>
      <c r="E6" s="7">
        <f>IF(E$4="HĐTN",COUNTIF('[1]03_TKB_LOP'!$B$18:$G$25,"HĐTN*")+COUNTIF('[1]03_TKB_LOP'!$B$18:$G$25,"Chào cờ/HĐTN*"),COUNTIF('[1]03_TKB_LOP'!$B$18:$G$25,IF(LEFT(E$4,5)="NHÓM:","NHÓM:*"&amp;MID(E$4,8,50)&amp;"*",E$4&amp;" – *")))</f>
        <v>3</v>
      </c>
      <c r="F6" s="7">
        <f>IF(F$4="HĐTN",COUNTIF('[1]03_TKB_LOP'!$B$18:$G$25,"HĐTN*")+COUNTIF('[1]03_TKB_LOP'!$B$18:$G$25,"Chào cờ/HĐTN*"),COUNTIF('[1]03_TKB_LOP'!$B$18:$G$25,IF(LEFT(F$4,5)="NHÓM:","NHÓM:*"&amp;MID(F$4,8,50)&amp;"*",F$4&amp;" – *")))</f>
        <v>3</v>
      </c>
      <c r="G6" s="7">
        <f>IF(G$4="HĐTN",COUNTIF('[1]03_TKB_LOP'!$B$18:$G$25,"HĐTN*")+COUNTIF('[1]03_TKB_LOP'!$B$18:$G$25,"Chào cờ/HĐTN*"),COUNTIF('[1]03_TKB_LOP'!$B$18:$G$25,IF(LEFT(G$4,5)="NHÓM:","NHÓM:*"&amp;MID(G$4,8,50)&amp;"*",G$4&amp;" – *")))</f>
        <v>2</v>
      </c>
      <c r="H6" s="7">
        <f>IF(H$4="HĐTN",COUNTIF('[1]03_TKB_LOP'!$B$18:$G$25,"HĐTN*")+COUNTIF('[1]03_TKB_LOP'!$B$18:$G$25,"Chào cờ/HĐTN*"),COUNTIF('[1]03_TKB_LOP'!$B$18:$G$25,IF(LEFT(H$4,5)="NHÓM:","NHÓM:*"&amp;MID(H$4,8,50)&amp;"*",H$4&amp;" – *")))</f>
        <v>2</v>
      </c>
      <c r="I6" s="7">
        <f>IF(I$4="HĐTN",COUNTIF('[1]03_TKB_LOP'!$B$18:$G$25,"HĐTN*")+COUNTIF('[1]03_TKB_LOP'!$B$18:$G$25,"Chào cờ/HĐTN*"),COUNTIF('[1]03_TKB_LOP'!$B$18:$G$25,IF(LEFT(I$4,5)="NHÓM:","NHÓM:*"&amp;MID(I$4,8,50)&amp;"*",I$4&amp;" – *")))</f>
        <v>2</v>
      </c>
      <c r="J6" s="7">
        <f>IF(J$4="HĐTN",COUNTIF('[1]03_TKB_LOP'!$B$18:$G$25,"HĐTN*")+COUNTIF('[1]03_TKB_LOP'!$B$18:$G$25,"Chào cờ/HĐTN*"),COUNTIF('[1]03_TKB_LOP'!$B$18:$G$25,IF(LEFT(J$4,5)="NHÓM:","NHÓM:*"&amp;MID(J$4,8,50)&amp;"*",J$4&amp;" – *")))</f>
        <v>2</v>
      </c>
      <c r="K6" s="7">
        <f>IF(K$4="HĐTN",COUNTIF('[1]03_TKB_LOP'!$B$18:$G$25,"HĐTN*")+COUNTIF('[1]03_TKB_LOP'!$B$18:$G$25,"Chào cờ/HĐTN*"),COUNTIF('[1]03_TKB_LOP'!$B$18:$G$25,IF(LEFT(K$4,5)="NHÓM:","NHÓM:*"&amp;MID(K$4,8,50)&amp;"*",K$4&amp;" – *")))</f>
        <v>0</v>
      </c>
      <c r="L6" s="7">
        <f>IF(L$4="HĐTN",COUNTIF('[1]03_TKB_LOP'!$B$18:$G$25,"HĐTN*")+COUNTIF('[1]03_TKB_LOP'!$B$18:$G$25,"Chào cờ/HĐTN*"),COUNTIF('[1]03_TKB_LOP'!$B$18:$G$25,IF(LEFT(L$4,5)="NHÓM:","NHÓM:*"&amp;MID(L$4,8,50)&amp;"*",L$4&amp;" – *")))</f>
        <v>0</v>
      </c>
      <c r="M6" s="7">
        <f>IF(M$4="HĐTN",COUNTIF('[1]03_TKB_LOP'!$B$18:$G$25,"HĐTN*")+COUNTIF('[1]03_TKB_LOP'!$B$18:$G$25,"Chào cờ/HĐTN*"),COUNTIF('[1]03_TKB_LOP'!$B$18:$G$25,IF(LEFT(M$4,5)="NHÓM:","NHÓM:*"&amp;MID(M$4,8,50)&amp;"*",M$4&amp;" – *")))</f>
        <v>2</v>
      </c>
      <c r="N6" s="7">
        <f>IF(N$4="HĐTN",COUNTIF('[1]03_TKB_LOP'!$B$18:$G$25,"HĐTN*")+COUNTIF('[1]03_TKB_LOP'!$B$18:$G$25,"Chào cờ/HĐTN*"),COUNTIF('[1]03_TKB_LOP'!$B$18:$G$25,IF(LEFT(N$4,5)="NHÓM:","NHÓM:*"&amp;MID(N$4,8,50)&amp;"*",N$4&amp;" – *")))</f>
        <v>0</v>
      </c>
      <c r="O6" s="7">
        <f>IF(O$4="HĐTN",COUNTIF('[1]03_TKB_LOP'!$B$18:$G$25,"HĐTN*")+COUNTIF('[1]03_TKB_LOP'!$B$18:$G$25,"Chào cờ/HĐTN*"),COUNTIF('[1]03_TKB_LOP'!$B$18:$G$25,IF(LEFT(O$4,5)="NHÓM:","NHÓM:*"&amp;MID(O$4,8,50)&amp;"*",O$4&amp;" – *")))</f>
        <v>1</v>
      </c>
      <c r="P6" s="7">
        <f>IF(P$4="HĐTN",COUNTIF('[1]03_TKB_LOP'!$B$18:$G$25,"HĐTN*")+COUNTIF('[1]03_TKB_LOP'!$B$18:$G$25,"Chào cờ/HĐTN*"),COUNTIF('[1]03_TKB_LOP'!$B$18:$G$25,IF(LEFT(P$4,5)="NHÓM:","NHÓM:*"&amp;MID(P$4,8,50)&amp;"*",P$4&amp;" – *")))</f>
        <v>1</v>
      </c>
      <c r="Q6" s="7">
        <f>IF(Q$4="HĐTN",COUNTIF('[1]03_TKB_LOP'!$B$18:$G$25,"HĐTN*")+COUNTIF('[1]03_TKB_LOP'!$B$18:$G$25,"Chào cờ/HĐTN*"),COUNTIF('[1]03_TKB_LOP'!$B$18:$G$25,IF(LEFT(Q$4,5)="NHÓM:","NHÓM:*"&amp;MID(Q$4,8,50)&amp;"*",Q$4&amp;" – *")))</f>
        <v>1</v>
      </c>
      <c r="R6" s="7">
        <f>IF(R$4="HĐTN",COUNTIF('[1]03_TKB_LOP'!$B$18:$G$25,"HĐTN*")+COUNTIF('[1]03_TKB_LOP'!$B$18:$G$25,"Chào cờ/HĐTN*"),COUNTIF('[1]03_TKB_LOP'!$B$18:$G$25,IF(LEFT(R$4,5)="NHÓM:","NHÓM:*"&amp;MID(R$4,8,50)&amp;"*",R$4&amp;" – *")))</f>
        <v>0</v>
      </c>
      <c r="S6" s="7">
        <f>IF(S$4="HĐTN",COUNTIF('[1]03_TKB_LOP'!$B$18:$G$25,"HĐTN*")+COUNTIF('[1]03_TKB_LOP'!$B$18:$G$25,"Chào cờ/HĐTN*"),COUNTIF('[1]03_TKB_LOP'!$B$18:$G$25,IF(LEFT(S$4,5)="NHÓM:","NHÓM:*"&amp;MID(S$4,8,50)&amp;"*",S$4&amp;" – *")))</f>
        <v>1</v>
      </c>
      <c r="T6" s="7">
        <f>IF(T$4="HĐTN",COUNTIF('[1]03_TKB_LOP'!$B$18:$G$25,"HĐTN*")+COUNTIF('[1]03_TKB_LOP'!$B$18:$G$25,"Chào cờ/HĐTN*"),COUNTIF('[1]03_TKB_LOP'!$B$18:$G$25,IF(LEFT(T$4,5)="NHÓM:","NHÓM:*"&amp;MID(T$4,8,50)&amp;"*",T$4&amp;" – *")))</f>
        <v>1</v>
      </c>
      <c r="U6" s="7">
        <f>IF(U$4="HĐTN",COUNTIF('[1]03_TKB_LOP'!$B$18:$G$25,"HĐTN*")+COUNTIF('[1]03_TKB_LOP'!$B$18:$G$25,"Chào cờ/HĐTN*"),COUNTIF('[1]03_TKB_LOP'!$B$18:$G$25,IF(LEFT(U$4,5)="NHÓM:","NHÓM:*"&amp;MID(U$4,8,50)&amp;"*",U$4&amp;" – *")))</f>
        <v>0</v>
      </c>
      <c r="V6" s="7">
        <f>IF(V$4="HĐTN",COUNTIF('[1]03_TKB_LOP'!$B$18:$G$25,"HĐTN*")+COUNTIF('[1]03_TKB_LOP'!$B$18:$G$25,"Chào cờ/HĐTN*"),COUNTIF('[1]03_TKB_LOP'!$B$18:$G$25,IF(LEFT(V$4,5)="NHÓM:","NHÓM:*"&amp;MID(V$4,8,50)&amp;"*",V$4&amp;" – *")))</f>
        <v>0</v>
      </c>
      <c r="W6" s="7">
        <f>IF(W$4="HĐTN",COUNTIF('[1]03_TKB_LOP'!$B$18:$G$25,"HĐTN*")+COUNTIF('[1]03_TKB_LOP'!$B$18:$G$25,"Chào cờ/HĐTN*"),COUNTIF('[1]03_TKB_LOP'!$B$18:$G$25,IF(LEFT(W$4,5)="NHÓM:","NHÓM:*"&amp;MID(W$4,8,50)&amp;"*",W$4&amp;" – *")))</f>
        <v>0</v>
      </c>
      <c r="X6" s="7">
        <f>IF(X$4="HĐTN",COUNTIF('[1]03_TKB_LOP'!$B$18:$G$25,"HĐTN*")+COUNTIF('[1]03_TKB_LOP'!$B$18:$G$25,"Chào cờ/HĐTN*"),COUNTIF('[1]03_TKB_LOP'!$B$18:$G$25,IF(LEFT(X$4,5)="NHÓM:","NHÓM:*"&amp;MID(X$4,8,50)&amp;"*",X$4&amp;" – *")))</f>
        <v>6</v>
      </c>
      <c r="Y6" s="7">
        <f>IF(Y$4="HĐTN",COUNTIF('[1]03_TKB_LOP'!$B$18:$G$25,"HĐTN*")+COUNTIF('[1]03_TKB_LOP'!$B$18:$G$25,"Chào cờ/HĐTN*"),COUNTIF('[1]03_TKB_LOP'!$B$18:$G$25,IF(LEFT(Y$4,5)="NHÓM:","NHÓM:*"&amp;MID(Y$4,8,50)&amp;"*",Y$4&amp;" – *")))</f>
        <v>4</v>
      </c>
      <c r="Z6" s="7">
        <f>IF(Z$4="HĐTN",COUNTIF('[1]03_TKB_LOP'!$B$18:$G$25,"HĐTN*")+COUNTIF('[1]03_TKB_LOP'!$B$18:$G$25,"Chào cờ/HĐTN*"),COUNTIF('[1]03_TKB_LOP'!$B$18:$G$25,IF(LEFT(Z$4,5)="NHÓM:","NHÓM:*"&amp;MID(Z$4,8,50)&amp;"*",Z$4&amp;" – *")))</f>
        <v>2</v>
      </c>
      <c r="AA6" s="7">
        <f>IF(AA$4="HĐTN",COUNTIF('[1]03_TKB_LOP'!$B$18:$G$25,"HĐTN*")+COUNTIF('[1]03_TKB_LOP'!$B$18:$G$25,"Chào cờ/HĐTN*"),COUNTIF('[1]03_TKB_LOP'!$B$18:$G$25,IF(LEFT(AA$4,5)="NHÓM:","NHÓM:*"&amp;MID(AA$4,8,50)&amp;"*",AA$4&amp;" – *")))</f>
        <v>4</v>
      </c>
      <c r="AB6" s="7">
        <f>IF(AB$4="HĐTN",COUNTIF('[1]03_TKB_LOP'!$B$18:$G$25,"HĐTN*")+COUNTIF('[1]03_TKB_LOP'!$B$18:$G$25,"Chào cờ/HĐTN*"),COUNTIF('[1]03_TKB_LOP'!$B$18:$G$25,IF(LEFT(AB$4,5)="NHÓM:","NHÓM:*"&amp;MID(AB$4,8,50)&amp;"*",AB$4&amp;" – *")))</f>
        <v>0</v>
      </c>
    </row>
    <row r="7" spans="1:28" x14ac:dyDescent="0.2">
      <c r="A7" s="5" t="str">
        <f>TRIM(MID('[1]03_TKB_LOP'!$A$28,4,FIND("|",'[1]03_TKB_LOP'!$A$28)-4))</f>
        <v>10A3</v>
      </c>
      <c r="B7" s="6" t="str">
        <f>TRIM(MID('[1]03_TKB_LOP'!$A$28,FIND("GVCN:",'[1]03_TKB_LOP'!$A$28)+5,FIND("|",'[1]03_TKB_LOP'!$A$28,FIND("GVCN:",'[1]03_TKB_LOP'!$A$28))-FIND("GVCN:",'[1]03_TKB_LOP'!$A$28)-5))</f>
        <v>NGUYỄN MINH THANH TÙNG</v>
      </c>
      <c r="C7" s="7">
        <f>IF(C$4="HĐTN",COUNTIF('[1]03_TKB_LOP'!$B$30:$G$37,"HĐTN*")+COUNTIF('[1]03_TKB_LOP'!$B$30:$G$37,"Chào cờ/HĐTN*"),COUNTIF('[1]03_TKB_LOP'!$B$30:$G$37,IF(LEFT(C$4,5)="NHÓM:","NHÓM:*"&amp;MID(C$4,8,50)&amp;"*",C$4&amp;" – *")))</f>
        <v>3</v>
      </c>
      <c r="D7" s="7">
        <f>IF(D$4="HĐTN",COUNTIF('[1]03_TKB_LOP'!$B$30:$G$37,"HĐTN*")+COUNTIF('[1]03_TKB_LOP'!$B$30:$G$37,"Chào cờ/HĐTN*"),COUNTIF('[1]03_TKB_LOP'!$B$30:$G$37,IF(LEFT(D$4,5)="NHÓM:","NHÓM:*"&amp;MID(D$4,8,50)&amp;"*",D$4&amp;" – *")))</f>
        <v>3</v>
      </c>
      <c r="E7" s="7">
        <f>IF(E$4="HĐTN",COUNTIF('[1]03_TKB_LOP'!$B$30:$G$37,"HĐTN*")+COUNTIF('[1]03_TKB_LOP'!$B$30:$G$37,"Chào cờ/HĐTN*"),COUNTIF('[1]03_TKB_LOP'!$B$30:$G$37,IF(LEFT(E$4,5)="NHÓM:","NHÓM:*"&amp;MID(E$4,8,50)&amp;"*",E$4&amp;" – *")))</f>
        <v>3</v>
      </c>
      <c r="F7" s="7">
        <f>IF(F$4="HĐTN",COUNTIF('[1]03_TKB_LOP'!$B$30:$G$37,"HĐTN*")+COUNTIF('[1]03_TKB_LOP'!$B$30:$G$37,"Chào cờ/HĐTN*"),COUNTIF('[1]03_TKB_LOP'!$B$30:$G$37,IF(LEFT(F$4,5)="NHÓM:","NHÓM:*"&amp;MID(F$4,8,50)&amp;"*",F$4&amp;" – *")))</f>
        <v>3</v>
      </c>
      <c r="G7" s="7">
        <f>IF(G$4="HĐTN",COUNTIF('[1]03_TKB_LOP'!$B$30:$G$37,"HĐTN*")+COUNTIF('[1]03_TKB_LOP'!$B$30:$G$37,"Chào cờ/HĐTN*"),COUNTIF('[1]03_TKB_LOP'!$B$30:$G$37,IF(LEFT(G$4,5)="NHÓM:","NHÓM:*"&amp;MID(G$4,8,50)&amp;"*",G$4&amp;" – *")))</f>
        <v>2</v>
      </c>
      <c r="H7" s="7">
        <f>IF(H$4="HĐTN",COUNTIF('[1]03_TKB_LOP'!$B$30:$G$37,"HĐTN*")+COUNTIF('[1]03_TKB_LOP'!$B$30:$G$37,"Chào cờ/HĐTN*"),COUNTIF('[1]03_TKB_LOP'!$B$30:$G$37,IF(LEFT(H$4,5)="NHÓM:","NHÓM:*"&amp;MID(H$4,8,50)&amp;"*",H$4&amp;" – *")))</f>
        <v>2</v>
      </c>
      <c r="I7" s="7">
        <f>IF(I$4="HĐTN",COUNTIF('[1]03_TKB_LOP'!$B$30:$G$37,"HĐTN*")+COUNTIF('[1]03_TKB_LOP'!$B$30:$G$37,"Chào cờ/HĐTN*"),COUNTIF('[1]03_TKB_LOP'!$B$30:$G$37,IF(LEFT(I$4,5)="NHÓM:","NHÓM:*"&amp;MID(I$4,8,50)&amp;"*",I$4&amp;" – *")))</f>
        <v>0</v>
      </c>
      <c r="J7" s="7">
        <f>IF(J$4="HĐTN",COUNTIF('[1]03_TKB_LOP'!$B$30:$G$37,"HĐTN*")+COUNTIF('[1]03_TKB_LOP'!$B$30:$G$37,"Chào cờ/HĐTN*"),COUNTIF('[1]03_TKB_LOP'!$B$30:$G$37,IF(LEFT(J$4,5)="NHÓM:","NHÓM:*"&amp;MID(J$4,8,50)&amp;"*",J$4&amp;" – *")))</f>
        <v>2</v>
      </c>
      <c r="K7" s="7">
        <f>IF(K$4="HĐTN",COUNTIF('[1]03_TKB_LOP'!$B$30:$G$37,"HĐTN*")+COUNTIF('[1]03_TKB_LOP'!$B$30:$G$37,"Chào cờ/HĐTN*"),COUNTIF('[1]03_TKB_LOP'!$B$30:$G$37,IF(LEFT(K$4,5)="NHÓM:","NHÓM:*"&amp;MID(K$4,8,50)&amp;"*",K$4&amp;" – *")))</f>
        <v>0</v>
      </c>
      <c r="L7" s="7">
        <f>IF(L$4="HĐTN",COUNTIF('[1]03_TKB_LOP'!$B$30:$G$37,"HĐTN*")+COUNTIF('[1]03_TKB_LOP'!$B$30:$G$37,"Chào cờ/HĐTN*"),COUNTIF('[1]03_TKB_LOP'!$B$30:$G$37,IF(LEFT(L$4,5)="NHÓM:","NHÓM:*"&amp;MID(L$4,8,50)&amp;"*",L$4&amp;" – *")))</f>
        <v>2</v>
      </c>
      <c r="M7" s="7">
        <f>IF(M$4="HĐTN",COUNTIF('[1]03_TKB_LOP'!$B$30:$G$37,"HĐTN*")+COUNTIF('[1]03_TKB_LOP'!$B$30:$G$37,"Chào cờ/HĐTN*"),COUNTIF('[1]03_TKB_LOP'!$B$30:$G$37,IF(LEFT(M$4,5)="NHÓM:","NHÓM:*"&amp;MID(M$4,8,50)&amp;"*",M$4&amp;" – *")))</f>
        <v>2</v>
      </c>
      <c r="N7" s="7">
        <f>IF(N$4="HĐTN",COUNTIF('[1]03_TKB_LOP'!$B$30:$G$37,"HĐTN*")+COUNTIF('[1]03_TKB_LOP'!$B$30:$G$37,"Chào cờ/HĐTN*"),COUNTIF('[1]03_TKB_LOP'!$B$30:$G$37,IF(LEFT(N$4,5)="NHÓM:","NHÓM:*"&amp;MID(N$4,8,50)&amp;"*",N$4&amp;" – *")))</f>
        <v>0</v>
      </c>
      <c r="O7" s="7">
        <f>IF(O$4="HĐTN",COUNTIF('[1]03_TKB_LOP'!$B$30:$G$37,"HĐTN*")+COUNTIF('[1]03_TKB_LOP'!$B$30:$G$37,"Chào cờ/HĐTN*"),COUNTIF('[1]03_TKB_LOP'!$B$30:$G$37,IF(LEFT(O$4,5)="NHÓM:","NHÓM:*"&amp;MID(O$4,8,50)&amp;"*",O$4&amp;" – *")))</f>
        <v>1</v>
      </c>
      <c r="P7" s="7">
        <f>IF(P$4="HĐTN",COUNTIF('[1]03_TKB_LOP'!$B$30:$G$37,"HĐTN*")+COUNTIF('[1]03_TKB_LOP'!$B$30:$G$37,"Chào cờ/HĐTN*"),COUNTIF('[1]03_TKB_LOP'!$B$30:$G$37,IF(LEFT(P$4,5)="NHÓM:","NHÓM:*"&amp;MID(P$4,8,50)&amp;"*",P$4&amp;" – *")))</f>
        <v>1</v>
      </c>
      <c r="Q7" s="7">
        <f>IF(Q$4="HĐTN",COUNTIF('[1]03_TKB_LOP'!$B$30:$G$37,"HĐTN*")+COUNTIF('[1]03_TKB_LOP'!$B$30:$G$37,"Chào cờ/HĐTN*"),COUNTIF('[1]03_TKB_LOP'!$B$30:$G$37,IF(LEFT(Q$4,5)="NHÓM:","NHÓM:*"&amp;MID(Q$4,8,50)&amp;"*",Q$4&amp;" – *")))</f>
        <v>1</v>
      </c>
      <c r="R7" s="7">
        <f>IF(R$4="HĐTN",COUNTIF('[1]03_TKB_LOP'!$B$30:$G$37,"HĐTN*")+COUNTIF('[1]03_TKB_LOP'!$B$30:$G$37,"Chào cờ/HĐTN*"),COUNTIF('[1]03_TKB_LOP'!$B$30:$G$37,IF(LEFT(R$4,5)="NHÓM:","NHÓM:*"&amp;MID(R$4,8,50)&amp;"*",R$4&amp;" – *")))</f>
        <v>0</v>
      </c>
      <c r="S7" s="7">
        <f>IF(S$4="HĐTN",COUNTIF('[1]03_TKB_LOP'!$B$30:$G$37,"HĐTN*")+COUNTIF('[1]03_TKB_LOP'!$B$30:$G$37,"Chào cờ/HĐTN*"),COUNTIF('[1]03_TKB_LOP'!$B$30:$G$37,IF(LEFT(S$4,5)="NHÓM:","NHÓM:*"&amp;MID(S$4,8,50)&amp;"*",S$4&amp;" – *")))</f>
        <v>1</v>
      </c>
      <c r="T7" s="7">
        <f>IF(T$4="HĐTN",COUNTIF('[1]03_TKB_LOP'!$B$30:$G$37,"HĐTN*")+COUNTIF('[1]03_TKB_LOP'!$B$30:$G$37,"Chào cờ/HĐTN*"),COUNTIF('[1]03_TKB_LOP'!$B$30:$G$37,IF(LEFT(T$4,5)="NHÓM:","NHÓM:*"&amp;MID(T$4,8,50)&amp;"*",T$4&amp;" – *")))</f>
        <v>1</v>
      </c>
      <c r="U7" s="7">
        <f>IF(U$4="HĐTN",COUNTIF('[1]03_TKB_LOP'!$B$30:$G$37,"HĐTN*")+COUNTIF('[1]03_TKB_LOP'!$B$30:$G$37,"Chào cờ/HĐTN*"),COUNTIF('[1]03_TKB_LOP'!$B$30:$G$37,IF(LEFT(U$4,5)="NHÓM:","NHÓM:*"&amp;MID(U$4,8,50)&amp;"*",U$4&amp;" – *")))</f>
        <v>0</v>
      </c>
      <c r="V7" s="7">
        <f>IF(V$4="HĐTN",COUNTIF('[1]03_TKB_LOP'!$B$30:$G$37,"HĐTN*")+COUNTIF('[1]03_TKB_LOP'!$B$30:$G$37,"Chào cờ/HĐTN*"),COUNTIF('[1]03_TKB_LOP'!$B$30:$G$37,IF(LEFT(V$4,5)="NHÓM:","NHÓM:*"&amp;MID(V$4,8,50)&amp;"*",V$4&amp;" – *")))</f>
        <v>0</v>
      </c>
      <c r="W7" s="7">
        <f>IF(W$4="HĐTN",COUNTIF('[1]03_TKB_LOP'!$B$30:$G$37,"HĐTN*")+COUNTIF('[1]03_TKB_LOP'!$B$30:$G$37,"Chào cờ/HĐTN*"),COUNTIF('[1]03_TKB_LOP'!$B$30:$G$37,IF(LEFT(W$4,5)="NHÓM:","NHÓM:*"&amp;MID(W$4,8,50)&amp;"*",W$4&amp;" – *")))</f>
        <v>0</v>
      </c>
      <c r="X7" s="7">
        <f>IF(X$4="HĐTN",COUNTIF('[1]03_TKB_LOP'!$B$30:$G$37,"HĐTN*")+COUNTIF('[1]03_TKB_LOP'!$B$30:$G$37,"Chào cờ/HĐTN*"),COUNTIF('[1]03_TKB_LOP'!$B$30:$G$37,IF(LEFT(X$4,5)="NHÓM:","NHÓM:*"&amp;MID(X$4,8,50)&amp;"*",X$4&amp;" – *")))</f>
        <v>4</v>
      </c>
      <c r="Y7" s="7">
        <f>IF(Y$4="HĐTN",COUNTIF('[1]03_TKB_LOP'!$B$30:$G$37,"HĐTN*")+COUNTIF('[1]03_TKB_LOP'!$B$30:$G$37,"Chào cờ/HĐTN*"),COUNTIF('[1]03_TKB_LOP'!$B$30:$G$37,IF(LEFT(Y$4,5)="NHÓM:","NHÓM:*"&amp;MID(Y$4,8,50)&amp;"*",Y$4&amp;" – *")))</f>
        <v>2</v>
      </c>
      <c r="Z7" s="7">
        <f>IF(Z$4="HĐTN",COUNTIF('[1]03_TKB_LOP'!$B$30:$G$37,"HĐTN*")+COUNTIF('[1]03_TKB_LOP'!$B$30:$G$37,"Chào cờ/HĐTN*"),COUNTIF('[1]03_TKB_LOP'!$B$30:$G$37,IF(LEFT(Z$4,5)="NHÓM:","NHÓM:*"&amp;MID(Z$4,8,50)&amp;"*",Z$4&amp;" – *")))</f>
        <v>4</v>
      </c>
      <c r="AA7" s="7">
        <f>IF(AA$4="HĐTN",COUNTIF('[1]03_TKB_LOP'!$B$30:$G$37,"HĐTN*")+COUNTIF('[1]03_TKB_LOP'!$B$30:$G$37,"Chào cờ/HĐTN*"),COUNTIF('[1]03_TKB_LOP'!$B$30:$G$37,IF(LEFT(AA$4,5)="NHÓM:","NHÓM:*"&amp;MID(AA$4,8,50)&amp;"*",AA$4&amp;" – *")))</f>
        <v>4</v>
      </c>
      <c r="AB7" s="7">
        <f>IF(AB$4="HĐTN",COUNTIF('[1]03_TKB_LOP'!$B$30:$G$37,"HĐTN*")+COUNTIF('[1]03_TKB_LOP'!$B$30:$G$37,"Chào cờ/HĐTN*"),COUNTIF('[1]03_TKB_LOP'!$B$30:$G$37,IF(LEFT(AB$4,5)="NHÓM:","NHÓM:*"&amp;MID(AB$4,8,50)&amp;"*",AB$4&amp;" – *")))</f>
        <v>0</v>
      </c>
    </row>
    <row r="8" spans="1:28" x14ac:dyDescent="0.2">
      <c r="A8" s="5" t="str">
        <f>TRIM(MID('[1]03_TKB_LOP'!$A$40,4,FIND("|",'[1]03_TKB_LOP'!$A$40)-4))</f>
        <v>10A4</v>
      </c>
      <c r="B8" s="6" t="str">
        <f>TRIM(MID('[1]03_TKB_LOP'!$A$40,FIND("GVCN:",'[1]03_TKB_LOP'!$A$40)+5,FIND("|",'[1]03_TKB_LOP'!$A$40,FIND("GVCN:",'[1]03_TKB_LOP'!$A$40))-FIND("GVCN:",'[1]03_TKB_LOP'!$A$40)-5))</f>
        <v>TRẦN THỊ LAM HỒNG</v>
      </c>
      <c r="C8" s="7">
        <f>IF(C$4="HĐTN",COUNTIF('[1]03_TKB_LOP'!$B$42:$G$49,"HĐTN*")+COUNTIF('[1]03_TKB_LOP'!$B$42:$G$49,"Chào cờ/HĐTN*"),COUNTIF('[1]03_TKB_LOP'!$B$42:$G$49,IF(LEFT(C$4,5)="NHÓM:","NHÓM:*"&amp;MID(C$4,8,50)&amp;"*",C$4&amp;" – *")))</f>
        <v>3</v>
      </c>
      <c r="D8" s="7">
        <f>IF(D$4="HĐTN",COUNTIF('[1]03_TKB_LOP'!$B$42:$G$49,"HĐTN*")+COUNTIF('[1]03_TKB_LOP'!$B$42:$G$49,"Chào cờ/HĐTN*"),COUNTIF('[1]03_TKB_LOP'!$B$42:$G$49,IF(LEFT(D$4,5)="NHÓM:","NHÓM:*"&amp;MID(D$4,8,50)&amp;"*",D$4&amp;" – *")))</f>
        <v>3</v>
      </c>
      <c r="E8" s="7">
        <f>IF(E$4="HĐTN",COUNTIF('[1]03_TKB_LOP'!$B$42:$G$49,"HĐTN*")+COUNTIF('[1]03_TKB_LOP'!$B$42:$G$49,"Chào cờ/HĐTN*"),COUNTIF('[1]03_TKB_LOP'!$B$42:$G$49,IF(LEFT(E$4,5)="NHÓM:","NHÓM:*"&amp;MID(E$4,8,50)&amp;"*",E$4&amp;" – *")))</f>
        <v>3</v>
      </c>
      <c r="F8" s="7">
        <f>IF(F$4="HĐTN",COUNTIF('[1]03_TKB_LOP'!$B$42:$G$49,"HĐTN*")+COUNTIF('[1]03_TKB_LOP'!$B$42:$G$49,"Chào cờ/HĐTN*"),COUNTIF('[1]03_TKB_LOP'!$B$42:$G$49,IF(LEFT(F$4,5)="NHÓM:","NHÓM:*"&amp;MID(F$4,8,50)&amp;"*",F$4&amp;" – *")))</f>
        <v>3</v>
      </c>
      <c r="G8" s="7">
        <f>IF(G$4="HĐTN",COUNTIF('[1]03_TKB_LOP'!$B$42:$G$49,"HĐTN*")+COUNTIF('[1]03_TKB_LOP'!$B$42:$G$49,"Chào cờ/HĐTN*"),COUNTIF('[1]03_TKB_LOP'!$B$42:$G$49,IF(LEFT(G$4,5)="NHÓM:","NHÓM:*"&amp;MID(G$4,8,50)&amp;"*",G$4&amp;" – *")))</f>
        <v>2</v>
      </c>
      <c r="H8" s="7">
        <f>IF(H$4="HĐTN",COUNTIF('[1]03_TKB_LOP'!$B$42:$G$49,"HĐTN*")+COUNTIF('[1]03_TKB_LOP'!$B$42:$G$49,"Chào cờ/HĐTN*"),COUNTIF('[1]03_TKB_LOP'!$B$42:$G$49,IF(LEFT(H$4,5)="NHÓM:","NHÓM:*"&amp;MID(H$4,8,50)&amp;"*",H$4&amp;" – *")))</f>
        <v>2</v>
      </c>
      <c r="I8" s="7">
        <f>IF(I$4="HĐTN",COUNTIF('[1]03_TKB_LOP'!$B$42:$G$49,"HĐTN*")+COUNTIF('[1]03_TKB_LOP'!$B$42:$G$49,"Chào cờ/HĐTN*"),COUNTIF('[1]03_TKB_LOP'!$B$42:$G$49,IF(LEFT(I$4,5)="NHÓM:","NHÓM:*"&amp;MID(I$4,8,50)&amp;"*",I$4&amp;" – *")))</f>
        <v>0</v>
      </c>
      <c r="J8" s="7">
        <f>IF(J$4="HĐTN",COUNTIF('[1]03_TKB_LOP'!$B$42:$G$49,"HĐTN*")+COUNTIF('[1]03_TKB_LOP'!$B$42:$G$49,"Chào cờ/HĐTN*"),COUNTIF('[1]03_TKB_LOP'!$B$42:$G$49,IF(LEFT(J$4,5)="NHÓM:","NHÓM:*"&amp;MID(J$4,8,50)&amp;"*",J$4&amp;" – *")))</f>
        <v>2</v>
      </c>
      <c r="K8" s="7">
        <f>IF(K$4="HĐTN",COUNTIF('[1]03_TKB_LOP'!$B$42:$G$49,"HĐTN*")+COUNTIF('[1]03_TKB_LOP'!$B$42:$G$49,"Chào cờ/HĐTN*"),COUNTIF('[1]03_TKB_LOP'!$B$42:$G$49,IF(LEFT(K$4,5)="NHÓM:","NHÓM:*"&amp;MID(K$4,8,50)&amp;"*",K$4&amp;" – *")))</f>
        <v>0</v>
      </c>
      <c r="L8" s="7">
        <f>IF(L$4="HĐTN",COUNTIF('[1]03_TKB_LOP'!$B$42:$G$49,"HĐTN*")+COUNTIF('[1]03_TKB_LOP'!$B$42:$G$49,"Chào cờ/HĐTN*"),COUNTIF('[1]03_TKB_LOP'!$B$42:$G$49,IF(LEFT(L$4,5)="NHÓM:","NHÓM:*"&amp;MID(L$4,8,50)&amp;"*",L$4&amp;" – *")))</f>
        <v>2</v>
      </c>
      <c r="M8" s="7">
        <f>IF(M$4="HĐTN",COUNTIF('[1]03_TKB_LOP'!$B$42:$G$49,"HĐTN*")+COUNTIF('[1]03_TKB_LOP'!$B$42:$G$49,"Chào cờ/HĐTN*"),COUNTIF('[1]03_TKB_LOP'!$B$42:$G$49,IF(LEFT(M$4,5)="NHÓM:","NHÓM:*"&amp;MID(M$4,8,50)&amp;"*",M$4&amp;" – *")))</f>
        <v>2</v>
      </c>
      <c r="N8" s="7">
        <f>IF(N$4="HĐTN",COUNTIF('[1]03_TKB_LOP'!$B$42:$G$49,"HĐTN*")+COUNTIF('[1]03_TKB_LOP'!$B$42:$G$49,"Chào cờ/HĐTN*"),COUNTIF('[1]03_TKB_LOP'!$B$42:$G$49,IF(LEFT(N$4,5)="NHÓM:","NHÓM:*"&amp;MID(N$4,8,50)&amp;"*",N$4&amp;" – *")))</f>
        <v>0</v>
      </c>
      <c r="O8" s="7">
        <f>IF(O$4="HĐTN",COUNTIF('[1]03_TKB_LOP'!$B$42:$G$49,"HĐTN*")+COUNTIF('[1]03_TKB_LOP'!$B$42:$G$49,"Chào cờ/HĐTN*"),COUNTIF('[1]03_TKB_LOP'!$B$42:$G$49,IF(LEFT(O$4,5)="NHÓM:","NHÓM:*"&amp;MID(O$4,8,50)&amp;"*",O$4&amp;" – *")))</f>
        <v>1</v>
      </c>
      <c r="P8" s="7">
        <f>IF(P$4="HĐTN",COUNTIF('[1]03_TKB_LOP'!$B$42:$G$49,"HĐTN*")+COUNTIF('[1]03_TKB_LOP'!$B$42:$G$49,"Chào cờ/HĐTN*"),COUNTIF('[1]03_TKB_LOP'!$B$42:$G$49,IF(LEFT(P$4,5)="NHÓM:","NHÓM:*"&amp;MID(P$4,8,50)&amp;"*",P$4&amp;" – *")))</f>
        <v>1</v>
      </c>
      <c r="Q8" s="7">
        <f>IF(Q$4="HĐTN",COUNTIF('[1]03_TKB_LOP'!$B$42:$G$49,"HĐTN*")+COUNTIF('[1]03_TKB_LOP'!$B$42:$G$49,"Chào cờ/HĐTN*"),COUNTIF('[1]03_TKB_LOP'!$B$42:$G$49,IF(LEFT(Q$4,5)="NHÓM:","NHÓM:*"&amp;MID(Q$4,8,50)&amp;"*",Q$4&amp;" – *")))</f>
        <v>1</v>
      </c>
      <c r="R8" s="7">
        <f>IF(R$4="HĐTN",COUNTIF('[1]03_TKB_LOP'!$B$42:$G$49,"HĐTN*")+COUNTIF('[1]03_TKB_LOP'!$B$42:$G$49,"Chào cờ/HĐTN*"),COUNTIF('[1]03_TKB_LOP'!$B$42:$G$49,IF(LEFT(R$4,5)="NHÓM:","NHÓM:*"&amp;MID(R$4,8,50)&amp;"*",R$4&amp;" – *")))</f>
        <v>0</v>
      </c>
      <c r="S8" s="7">
        <f>IF(S$4="HĐTN",COUNTIF('[1]03_TKB_LOP'!$B$42:$G$49,"HĐTN*")+COUNTIF('[1]03_TKB_LOP'!$B$42:$G$49,"Chào cờ/HĐTN*"),COUNTIF('[1]03_TKB_LOP'!$B$42:$G$49,IF(LEFT(S$4,5)="NHÓM:","NHÓM:*"&amp;MID(S$4,8,50)&amp;"*",S$4&amp;" – *")))</f>
        <v>1</v>
      </c>
      <c r="T8" s="7">
        <f>IF(T$4="HĐTN",COUNTIF('[1]03_TKB_LOP'!$B$42:$G$49,"HĐTN*")+COUNTIF('[1]03_TKB_LOP'!$B$42:$G$49,"Chào cờ/HĐTN*"),COUNTIF('[1]03_TKB_LOP'!$B$42:$G$49,IF(LEFT(T$4,5)="NHÓM:","NHÓM:*"&amp;MID(T$4,8,50)&amp;"*",T$4&amp;" – *")))</f>
        <v>1</v>
      </c>
      <c r="U8" s="7">
        <f>IF(U$4="HĐTN",COUNTIF('[1]03_TKB_LOP'!$B$42:$G$49,"HĐTN*")+COUNTIF('[1]03_TKB_LOP'!$B$42:$G$49,"Chào cờ/HĐTN*"),COUNTIF('[1]03_TKB_LOP'!$B$42:$G$49,IF(LEFT(U$4,5)="NHÓM:","NHÓM:*"&amp;MID(U$4,8,50)&amp;"*",U$4&amp;" – *")))</f>
        <v>0</v>
      </c>
      <c r="V8" s="7">
        <f>IF(V$4="HĐTN",COUNTIF('[1]03_TKB_LOP'!$B$42:$G$49,"HĐTN*")+COUNTIF('[1]03_TKB_LOP'!$B$42:$G$49,"Chào cờ/HĐTN*"),COUNTIF('[1]03_TKB_LOP'!$B$42:$G$49,IF(LEFT(V$4,5)="NHÓM:","NHÓM:*"&amp;MID(V$4,8,50)&amp;"*",V$4&amp;" – *")))</f>
        <v>0</v>
      </c>
      <c r="W8" s="7">
        <f>IF(W$4="HĐTN",COUNTIF('[1]03_TKB_LOP'!$B$42:$G$49,"HĐTN*")+COUNTIF('[1]03_TKB_LOP'!$B$42:$G$49,"Chào cờ/HĐTN*"),COUNTIF('[1]03_TKB_LOP'!$B$42:$G$49,IF(LEFT(W$4,5)="NHÓM:","NHÓM:*"&amp;MID(W$4,8,50)&amp;"*",W$4&amp;" – *")))</f>
        <v>0</v>
      </c>
      <c r="X8" s="7">
        <f>IF(X$4="HĐTN",COUNTIF('[1]03_TKB_LOP'!$B$42:$G$49,"HĐTN*")+COUNTIF('[1]03_TKB_LOP'!$B$42:$G$49,"Chào cờ/HĐTN*"),COUNTIF('[1]03_TKB_LOP'!$B$42:$G$49,IF(LEFT(X$4,5)="NHÓM:","NHÓM:*"&amp;MID(X$4,8,50)&amp;"*",X$4&amp;" – *")))</f>
        <v>4</v>
      </c>
      <c r="Y8" s="7">
        <f>IF(Y$4="HĐTN",COUNTIF('[1]03_TKB_LOP'!$B$42:$G$49,"HĐTN*")+COUNTIF('[1]03_TKB_LOP'!$B$42:$G$49,"Chào cờ/HĐTN*"),COUNTIF('[1]03_TKB_LOP'!$B$42:$G$49,IF(LEFT(Y$4,5)="NHÓM:","NHÓM:*"&amp;MID(Y$4,8,50)&amp;"*",Y$4&amp;" – *")))</f>
        <v>4</v>
      </c>
      <c r="Z8" s="7">
        <f>IF(Z$4="HĐTN",COUNTIF('[1]03_TKB_LOP'!$B$42:$G$49,"HĐTN*")+COUNTIF('[1]03_TKB_LOP'!$B$42:$G$49,"Chào cờ/HĐTN*"),COUNTIF('[1]03_TKB_LOP'!$B$42:$G$49,IF(LEFT(Z$4,5)="NHÓM:","NHÓM:*"&amp;MID(Z$4,8,50)&amp;"*",Z$4&amp;" – *")))</f>
        <v>2</v>
      </c>
      <c r="AA8" s="7">
        <f>IF(AA$4="HĐTN",COUNTIF('[1]03_TKB_LOP'!$B$42:$G$49,"HĐTN*")+COUNTIF('[1]03_TKB_LOP'!$B$42:$G$49,"Chào cờ/HĐTN*"),COUNTIF('[1]03_TKB_LOP'!$B$42:$G$49,IF(LEFT(AA$4,5)="NHÓM:","NHÓM:*"&amp;MID(AA$4,8,50)&amp;"*",AA$4&amp;" – *")))</f>
        <v>2</v>
      </c>
      <c r="AB8" s="7">
        <f>IF(AB$4="HĐTN",COUNTIF('[1]03_TKB_LOP'!$B$42:$G$49,"HĐTN*")+COUNTIF('[1]03_TKB_LOP'!$B$42:$G$49,"Chào cờ/HĐTN*"),COUNTIF('[1]03_TKB_LOP'!$B$42:$G$49,IF(LEFT(AB$4,5)="NHÓM:","NHÓM:*"&amp;MID(AB$4,8,50)&amp;"*",AB$4&amp;" – *")))</f>
        <v>0</v>
      </c>
    </row>
    <row r="9" spans="1:28" x14ac:dyDescent="0.2">
      <c r="A9" s="5" t="str">
        <f>TRIM(MID('[1]03_TKB_LOP'!$A$52,4,FIND("|",'[1]03_TKB_LOP'!$A$52)-4))</f>
        <v>10A5</v>
      </c>
      <c r="B9" s="6" t="str">
        <f>TRIM(MID('[1]03_TKB_LOP'!$A$52,FIND("GVCN:",'[1]03_TKB_LOP'!$A$52)+5,FIND("|",'[1]03_TKB_LOP'!$A$52,FIND("GVCN:",'[1]03_TKB_LOP'!$A$52))-FIND("GVCN:",'[1]03_TKB_LOP'!$A$52)-5))</f>
        <v>LÂM GIA HÂN</v>
      </c>
      <c r="C9" s="7">
        <f>IF(C$4="HĐTN",COUNTIF('[1]03_TKB_LOP'!$B$54:$G$61,"HĐTN*")+COUNTIF('[1]03_TKB_LOP'!$B$54:$G$61,"Chào cờ/HĐTN*"),COUNTIF('[1]03_TKB_LOP'!$B$54:$G$61,IF(LEFT(C$4,5)="NHÓM:","NHÓM:*"&amp;MID(C$4,8,50)&amp;"*",C$4&amp;" – *")))</f>
        <v>3</v>
      </c>
      <c r="D9" s="7">
        <f>IF(D$4="HĐTN",COUNTIF('[1]03_TKB_LOP'!$B$54:$G$61,"HĐTN*")+COUNTIF('[1]03_TKB_LOP'!$B$54:$G$61,"Chào cờ/HĐTN*"),COUNTIF('[1]03_TKB_LOP'!$B$54:$G$61,IF(LEFT(D$4,5)="NHÓM:","NHÓM:*"&amp;MID(D$4,8,50)&amp;"*",D$4&amp;" – *")))</f>
        <v>3</v>
      </c>
      <c r="E9" s="7">
        <f>IF(E$4="HĐTN",COUNTIF('[1]03_TKB_LOP'!$B$54:$G$61,"HĐTN*")+COUNTIF('[1]03_TKB_LOP'!$B$54:$G$61,"Chào cờ/HĐTN*"),COUNTIF('[1]03_TKB_LOP'!$B$54:$G$61,IF(LEFT(E$4,5)="NHÓM:","NHÓM:*"&amp;MID(E$4,8,50)&amp;"*",E$4&amp;" – *")))</f>
        <v>3</v>
      </c>
      <c r="F9" s="7">
        <f>IF(F$4="HĐTN",COUNTIF('[1]03_TKB_LOP'!$B$54:$G$61,"HĐTN*")+COUNTIF('[1]03_TKB_LOP'!$B$54:$G$61,"Chào cờ/HĐTN*"),COUNTIF('[1]03_TKB_LOP'!$B$54:$G$61,IF(LEFT(F$4,5)="NHÓM:","NHÓM:*"&amp;MID(F$4,8,50)&amp;"*",F$4&amp;" – *")))</f>
        <v>3</v>
      </c>
      <c r="G9" s="7">
        <f>IF(G$4="HĐTN",COUNTIF('[1]03_TKB_LOP'!$B$54:$G$61,"HĐTN*")+COUNTIF('[1]03_TKB_LOP'!$B$54:$G$61,"Chào cờ/HĐTN*"),COUNTIF('[1]03_TKB_LOP'!$B$54:$G$61,IF(LEFT(G$4,5)="NHÓM:","NHÓM:*"&amp;MID(G$4,8,50)&amp;"*",G$4&amp;" – *")))</f>
        <v>2</v>
      </c>
      <c r="H9" s="7">
        <f>IF(H$4="HĐTN",COUNTIF('[1]03_TKB_LOP'!$B$54:$G$61,"HĐTN*")+COUNTIF('[1]03_TKB_LOP'!$B$54:$G$61,"Chào cờ/HĐTN*"),COUNTIF('[1]03_TKB_LOP'!$B$54:$G$61,IF(LEFT(H$4,5)="NHÓM:","NHÓM:*"&amp;MID(H$4,8,50)&amp;"*",H$4&amp;" – *")))</f>
        <v>2</v>
      </c>
      <c r="I9" s="7">
        <f>IF(I$4="HĐTN",COUNTIF('[1]03_TKB_LOP'!$B$54:$G$61,"HĐTN*")+COUNTIF('[1]03_TKB_LOP'!$B$54:$G$61,"Chào cờ/HĐTN*"),COUNTIF('[1]03_TKB_LOP'!$B$54:$G$61,IF(LEFT(I$4,5)="NHÓM:","NHÓM:*"&amp;MID(I$4,8,50)&amp;"*",I$4&amp;" – *")))</f>
        <v>0</v>
      </c>
      <c r="J9" s="7">
        <f>IF(J$4="HĐTN",COUNTIF('[1]03_TKB_LOP'!$B$54:$G$61,"HĐTN*")+COUNTIF('[1]03_TKB_LOP'!$B$54:$G$61,"Chào cờ/HĐTN*"),COUNTIF('[1]03_TKB_LOP'!$B$54:$G$61,IF(LEFT(J$4,5)="NHÓM:","NHÓM:*"&amp;MID(J$4,8,50)&amp;"*",J$4&amp;" – *")))</f>
        <v>2</v>
      </c>
      <c r="K9" s="7">
        <f>IF(K$4="HĐTN",COUNTIF('[1]03_TKB_LOP'!$B$54:$G$61,"HĐTN*")+COUNTIF('[1]03_TKB_LOP'!$B$54:$G$61,"Chào cờ/HĐTN*"),COUNTIF('[1]03_TKB_LOP'!$B$54:$G$61,IF(LEFT(K$4,5)="NHÓM:","NHÓM:*"&amp;MID(K$4,8,50)&amp;"*",K$4&amp;" – *")))</f>
        <v>0</v>
      </c>
      <c r="L9" s="7">
        <f>IF(L$4="HĐTN",COUNTIF('[1]03_TKB_LOP'!$B$54:$G$61,"HĐTN*")+COUNTIF('[1]03_TKB_LOP'!$B$54:$G$61,"Chào cờ/HĐTN*"),COUNTIF('[1]03_TKB_LOP'!$B$54:$G$61,IF(LEFT(L$4,5)="NHÓM:","NHÓM:*"&amp;MID(L$4,8,50)&amp;"*",L$4&amp;" – *")))</f>
        <v>2</v>
      </c>
      <c r="M9" s="7">
        <f>IF(M$4="HĐTN",COUNTIF('[1]03_TKB_LOP'!$B$54:$G$61,"HĐTN*")+COUNTIF('[1]03_TKB_LOP'!$B$54:$G$61,"Chào cờ/HĐTN*"),COUNTIF('[1]03_TKB_LOP'!$B$54:$G$61,IF(LEFT(M$4,5)="NHÓM:","NHÓM:*"&amp;MID(M$4,8,50)&amp;"*",M$4&amp;" – *")))</f>
        <v>2</v>
      </c>
      <c r="N9" s="7">
        <f>IF(N$4="HĐTN",COUNTIF('[1]03_TKB_LOP'!$B$54:$G$61,"HĐTN*")+COUNTIF('[1]03_TKB_LOP'!$B$54:$G$61,"Chào cờ/HĐTN*"),COUNTIF('[1]03_TKB_LOP'!$B$54:$G$61,IF(LEFT(N$4,5)="NHÓM:","NHÓM:*"&amp;MID(N$4,8,50)&amp;"*",N$4&amp;" – *")))</f>
        <v>0</v>
      </c>
      <c r="O9" s="7">
        <f>IF(O$4="HĐTN",COUNTIF('[1]03_TKB_LOP'!$B$54:$G$61,"HĐTN*")+COUNTIF('[1]03_TKB_LOP'!$B$54:$G$61,"Chào cờ/HĐTN*"),COUNTIF('[1]03_TKB_LOP'!$B$54:$G$61,IF(LEFT(O$4,5)="NHÓM:","NHÓM:*"&amp;MID(O$4,8,50)&amp;"*",O$4&amp;" – *")))</f>
        <v>1</v>
      </c>
      <c r="P9" s="7">
        <f>IF(P$4="HĐTN",COUNTIF('[1]03_TKB_LOP'!$B$54:$G$61,"HĐTN*")+COUNTIF('[1]03_TKB_LOP'!$B$54:$G$61,"Chào cờ/HĐTN*"),COUNTIF('[1]03_TKB_LOP'!$B$54:$G$61,IF(LEFT(P$4,5)="NHÓM:","NHÓM:*"&amp;MID(P$4,8,50)&amp;"*",P$4&amp;" – *")))</f>
        <v>1</v>
      </c>
      <c r="Q9" s="7">
        <f>IF(Q$4="HĐTN",COUNTIF('[1]03_TKB_LOP'!$B$54:$G$61,"HĐTN*")+COUNTIF('[1]03_TKB_LOP'!$B$54:$G$61,"Chào cờ/HĐTN*"),COUNTIF('[1]03_TKB_LOP'!$B$54:$G$61,IF(LEFT(Q$4,5)="NHÓM:","NHÓM:*"&amp;MID(Q$4,8,50)&amp;"*",Q$4&amp;" – *")))</f>
        <v>1</v>
      </c>
      <c r="R9" s="7">
        <f>IF(R$4="HĐTN",COUNTIF('[1]03_TKB_LOP'!$B$54:$G$61,"HĐTN*")+COUNTIF('[1]03_TKB_LOP'!$B$54:$G$61,"Chào cờ/HĐTN*"),COUNTIF('[1]03_TKB_LOP'!$B$54:$G$61,IF(LEFT(R$4,5)="NHÓM:","NHÓM:*"&amp;MID(R$4,8,50)&amp;"*",R$4&amp;" – *")))</f>
        <v>0</v>
      </c>
      <c r="S9" s="7">
        <f>IF(S$4="HĐTN",COUNTIF('[1]03_TKB_LOP'!$B$54:$G$61,"HĐTN*")+COUNTIF('[1]03_TKB_LOP'!$B$54:$G$61,"Chào cờ/HĐTN*"),COUNTIF('[1]03_TKB_LOP'!$B$54:$G$61,IF(LEFT(S$4,5)="NHÓM:","NHÓM:*"&amp;MID(S$4,8,50)&amp;"*",S$4&amp;" – *")))</f>
        <v>1</v>
      </c>
      <c r="T9" s="7">
        <f>IF(T$4="HĐTN",COUNTIF('[1]03_TKB_LOP'!$B$54:$G$61,"HĐTN*")+COUNTIF('[1]03_TKB_LOP'!$B$54:$G$61,"Chào cờ/HĐTN*"),COUNTIF('[1]03_TKB_LOP'!$B$54:$G$61,IF(LEFT(T$4,5)="NHÓM:","NHÓM:*"&amp;MID(T$4,8,50)&amp;"*",T$4&amp;" – *")))</f>
        <v>1</v>
      </c>
      <c r="U9" s="7">
        <f>IF(U$4="HĐTN",COUNTIF('[1]03_TKB_LOP'!$B$54:$G$61,"HĐTN*")+COUNTIF('[1]03_TKB_LOP'!$B$54:$G$61,"Chào cờ/HĐTN*"),COUNTIF('[1]03_TKB_LOP'!$B$54:$G$61,IF(LEFT(U$4,5)="NHÓM:","NHÓM:*"&amp;MID(U$4,8,50)&amp;"*",U$4&amp;" – *")))</f>
        <v>0</v>
      </c>
      <c r="V9" s="7">
        <f>IF(V$4="HĐTN",COUNTIF('[1]03_TKB_LOP'!$B$54:$G$61,"HĐTN*")+COUNTIF('[1]03_TKB_LOP'!$B$54:$G$61,"Chào cờ/HĐTN*"),COUNTIF('[1]03_TKB_LOP'!$B$54:$G$61,IF(LEFT(V$4,5)="NHÓM:","NHÓM:*"&amp;MID(V$4,8,50)&amp;"*",V$4&amp;" – *")))</f>
        <v>0</v>
      </c>
      <c r="W9" s="7">
        <f>IF(W$4="HĐTN",COUNTIF('[1]03_TKB_LOP'!$B$54:$G$61,"HĐTN*")+COUNTIF('[1]03_TKB_LOP'!$B$54:$G$61,"Chào cờ/HĐTN*"),COUNTIF('[1]03_TKB_LOP'!$B$54:$G$61,IF(LEFT(W$4,5)="NHÓM:","NHÓM:*"&amp;MID(W$4,8,50)&amp;"*",W$4&amp;" – *")))</f>
        <v>0</v>
      </c>
      <c r="X9" s="7">
        <f>IF(X$4="HĐTN",COUNTIF('[1]03_TKB_LOP'!$B$54:$G$61,"HĐTN*")+COUNTIF('[1]03_TKB_LOP'!$B$54:$G$61,"Chào cờ/HĐTN*"),COUNTIF('[1]03_TKB_LOP'!$B$54:$G$61,IF(LEFT(X$4,5)="NHÓM:","NHÓM:*"&amp;MID(X$4,8,50)&amp;"*",X$4&amp;" – *")))</f>
        <v>8</v>
      </c>
      <c r="Y9" s="7">
        <f>IF(Y$4="HĐTN",COUNTIF('[1]03_TKB_LOP'!$B$54:$G$61,"HĐTN*")+COUNTIF('[1]03_TKB_LOP'!$B$54:$G$61,"Chào cờ/HĐTN*"),COUNTIF('[1]03_TKB_LOP'!$B$54:$G$61,IF(LEFT(Y$4,5)="NHÓM:","NHÓM:*"&amp;MID(Y$4,8,50)&amp;"*",Y$4&amp;" – *")))</f>
        <v>2</v>
      </c>
      <c r="Z9" s="7">
        <f>IF(Z$4="HĐTN",COUNTIF('[1]03_TKB_LOP'!$B$54:$G$61,"HĐTN*")+COUNTIF('[1]03_TKB_LOP'!$B$54:$G$61,"Chào cờ/HĐTN*"),COUNTIF('[1]03_TKB_LOP'!$B$54:$G$61,IF(LEFT(Z$4,5)="NHÓM:","NHÓM:*"&amp;MID(Z$4,8,50)&amp;"*",Z$4&amp;" – *")))</f>
        <v>2</v>
      </c>
      <c r="AA9" s="7">
        <f>IF(AA$4="HĐTN",COUNTIF('[1]03_TKB_LOP'!$B$54:$G$61,"HĐTN*")+COUNTIF('[1]03_TKB_LOP'!$B$54:$G$61,"Chào cờ/HĐTN*"),COUNTIF('[1]03_TKB_LOP'!$B$54:$G$61,IF(LEFT(AA$4,5)="NHÓM:","NHÓM:*"&amp;MID(AA$4,8,50)&amp;"*",AA$4&amp;" – *")))</f>
        <v>4</v>
      </c>
      <c r="AB9" s="7">
        <f>IF(AB$4="HĐTN",COUNTIF('[1]03_TKB_LOP'!$B$54:$G$61,"HĐTN*")+COUNTIF('[1]03_TKB_LOP'!$B$54:$G$61,"Chào cờ/HĐTN*"),COUNTIF('[1]03_TKB_LOP'!$B$54:$G$61,IF(LEFT(AB$4,5)="NHÓM:","NHÓM:*"&amp;MID(AB$4,8,50)&amp;"*",AB$4&amp;" – *")))</f>
        <v>0</v>
      </c>
    </row>
    <row r="10" spans="1:28" x14ac:dyDescent="0.2">
      <c r="A10" s="5" t="str">
        <f>TRIM(MID('[1]03_TKB_LOP'!$A$64,4,FIND("|",'[1]03_TKB_LOP'!$A$64)-4))</f>
        <v>10A6</v>
      </c>
      <c r="B10" s="6" t="str">
        <f>TRIM(MID('[1]03_TKB_LOP'!$A$64,FIND("GVCN:",'[1]03_TKB_LOP'!$A$64)+5,FIND("|",'[1]03_TKB_LOP'!$A$64,FIND("GVCN:",'[1]03_TKB_LOP'!$A$64))-FIND("GVCN:",'[1]03_TKB_LOP'!$A$64)-5))</f>
        <v>NGUYỄN XUÂN THU</v>
      </c>
      <c r="C10" s="7">
        <f>IF(C$4="HĐTN",COUNTIF('[1]03_TKB_LOP'!$B$66:$G$73,"HĐTN*")+COUNTIF('[1]03_TKB_LOP'!$B$66:$G$73,"Chào cờ/HĐTN*"),COUNTIF('[1]03_TKB_LOP'!$B$66:$G$73,IF(LEFT(C$4,5)="NHÓM:","NHÓM:*"&amp;MID(C$4,8,50)&amp;"*",C$4&amp;" – *")))</f>
        <v>3</v>
      </c>
      <c r="D10" s="7">
        <f>IF(D$4="HĐTN",COUNTIF('[1]03_TKB_LOP'!$B$66:$G$73,"HĐTN*")+COUNTIF('[1]03_TKB_LOP'!$B$66:$G$73,"Chào cờ/HĐTN*"),COUNTIF('[1]03_TKB_LOP'!$B$66:$G$73,IF(LEFT(D$4,5)="NHÓM:","NHÓM:*"&amp;MID(D$4,8,50)&amp;"*",D$4&amp;" – *")))</f>
        <v>3</v>
      </c>
      <c r="E10" s="7">
        <f>IF(E$4="HĐTN",COUNTIF('[1]03_TKB_LOP'!$B$66:$G$73,"HĐTN*")+COUNTIF('[1]03_TKB_LOP'!$B$66:$G$73,"Chào cờ/HĐTN*"),COUNTIF('[1]03_TKB_LOP'!$B$66:$G$73,IF(LEFT(E$4,5)="NHÓM:","NHÓM:*"&amp;MID(E$4,8,50)&amp;"*",E$4&amp;" – *")))</f>
        <v>3</v>
      </c>
      <c r="F10" s="7">
        <f>IF(F$4="HĐTN",COUNTIF('[1]03_TKB_LOP'!$B$66:$G$73,"HĐTN*")+COUNTIF('[1]03_TKB_LOP'!$B$66:$G$73,"Chào cờ/HĐTN*"),COUNTIF('[1]03_TKB_LOP'!$B$66:$G$73,IF(LEFT(F$4,5)="NHÓM:","NHÓM:*"&amp;MID(F$4,8,50)&amp;"*",F$4&amp;" – *")))</f>
        <v>3</v>
      </c>
      <c r="G10" s="7">
        <f>IF(G$4="HĐTN",COUNTIF('[1]03_TKB_LOP'!$B$66:$G$73,"HĐTN*")+COUNTIF('[1]03_TKB_LOP'!$B$66:$G$73,"Chào cờ/HĐTN*"),COUNTIF('[1]03_TKB_LOP'!$B$66:$G$73,IF(LEFT(G$4,5)="NHÓM:","NHÓM:*"&amp;MID(G$4,8,50)&amp;"*",G$4&amp;" – *")))</f>
        <v>2</v>
      </c>
      <c r="H10" s="7">
        <f>IF(H$4="HĐTN",COUNTIF('[1]03_TKB_LOP'!$B$66:$G$73,"HĐTN*")+COUNTIF('[1]03_TKB_LOP'!$B$66:$G$73,"Chào cờ/HĐTN*"),COUNTIF('[1]03_TKB_LOP'!$B$66:$G$73,IF(LEFT(H$4,5)="NHÓM:","NHÓM:*"&amp;MID(H$4,8,50)&amp;"*",H$4&amp;" – *")))</f>
        <v>2</v>
      </c>
      <c r="I10" s="7">
        <f>IF(I$4="HĐTN",COUNTIF('[1]03_TKB_LOP'!$B$66:$G$73,"HĐTN*")+COUNTIF('[1]03_TKB_LOP'!$B$66:$G$73,"Chào cờ/HĐTN*"),COUNTIF('[1]03_TKB_LOP'!$B$66:$G$73,IF(LEFT(I$4,5)="NHÓM:","NHÓM:*"&amp;MID(I$4,8,50)&amp;"*",I$4&amp;" – *")))</f>
        <v>0</v>
      </c>
      <c r="J10" s="7">
        <f>IF(J$4="HĐTN",COUNTIF('[1]03_TKB_LOP'!$B$66:$G$73,"HĐTN*")+COUNTIF('[1]03_TKB_LOP'!$B$66:$G$73,"Chào cờ/HĐTN*"),COUNTIF('[1]03_TKB_LOP'!$B$66:$G$73,IF(LEFT(J$4,5)="NHÓM:","NHÓM:*"&amp;MID(J$4,8,50)&amp;"*",J$4&amp;" – *")))</f>
        <v>2</v>
      </c>
      <c r="K10" s="7">
        <f>IF(K$4="HĐTN",COUNTIF('[1]03_TKB_LOP'!$B$66:$G$73,"HĐTN*")+COUNTIF('[1]03_TKB_LOP'!$B$66:$G$73,"Chào cờ/HĐTN*"),COUNTIF('[1]03_TKB_LOP'!$B$66:$G$73,IF(LEFT(K$4,5)="NHÓM:","NHÓM:*"&amp;MID(K$4,8,50)&amp;"*",K$4&amp;" – *")))</f>
        <v>0</v>
      </c>
      <c r="L10" s="7">
        <f>IF(L$4="HĐTN",COUNTIF('[1]03_TKB_LOP'!$B$66:$G$73,"HĐTN*")+COUNTIF('[1]03_TKB_LOP'!$B$66:$G$73,"Chào cờ/HĐTN*"),COUNTIF('[1]03_TKB_LOP'!$B$66:$G$73,IF(LEFT(L$4,5)="NHÓM:","NHÓM:*"&amp;MID(L$4,8,50)&amp;"*",L$4&amp;" – *")))</f>
        <v>2</v>
      </c>
      <c r="M10" s="7">
        <f>IF(M$4="HĐTN",COUNTIF('[1]03_TKB_LOP'!$B$66:$G$73,"HĐTN*")+COUNTIF('[1]03_TKB_LOP'!$B$66:$G$73,"Chào cờ/HĐTN*"),COUNTIF('[1]03_TKB_LOP'!$B$66:$G$73,IF(LEFT(M$4,5)="NHÓM:","NHÓM:*"&amp;MID(M$4,8,50)&amp;"*",M$4&amp;" – *")))</f>
        <v>2</v>
      </c>
      <c r="N10" s="7">
        <f>IF(N$4="HĐTN",COUNTIF('[1]03_TKB_LOP'!$B$66:$G$73,"HĐTN*")+COUNTIF('[1]03_TKB_LOP'!$B$66:$G$73,"Chào cờ/HĐTN*"),COUNTIF('[1]03_TKB_LOP'!$B$66:$G$73,IF(LEFT(N$4,5)="NHÓM:","NHÓM:*"&amp;MID(N$4,8,50)&amp;"*",N$4&amp;" – *")))</f>
        <v>0</v>
      </c>
      <c r="O10" s="7">
        <f>IF(O$4="HĐTN",COUNTIF('[1]03_TKB_LOP'!$B$66:$G$73,"HĐTN*")+COUNTIF('[1]03_TKB_LOP'!$B$66:$G$73,"Chào cờ/HĐTN*"),COUNTIF('[1]03_TKB_LOP'!$B$66:$G$73,IF(LEFT(O$4,5)="NHÓM:","NHÓM:*"&amp;MID(O$4,8,50)&amp;"*",O$4&amp;" – *")))</f>
        <v>1</v>
      </c>
      <c r="P10" s="7">
        <f>IF(P$4="HĐTN",COUNTIF('[1]03_TKB_LOP'!$B$66:$G$73,"HĐTN*")+COUNTIF('[1]03_TKB_LOP'!$B$66:$G$73,"Chào cờ/HĐTN*"),COUNTIF('[1]03_TKB_LOP'!$B$66:$G$73,IF(LEFT(P$4,5)="NHÓM:","NHÓM:*"&amp;MID(P$4,8,50)&amp;"*",P$4&amp;" – *")))</f>
        <v>1</v>
      </c>
      <c r="Q10" s="7">
        <f>IF(Q$4="HĐTN",COUNTIF('[1]03_TKB_LOP'!$B$66:$G$73,"HĐTN*")+COUNTIF('[1]03_TKB_LOP'!$B$66:$G$73,"Chào cờ/HĐTN*"),COUNTIF('[1]03_TKB_LOP'!$B$66:$G$73,IF(LEFT(Q$4,5)="NHÓM:","NHÓM:*"&amp;MID(Q$4,8,50)&amp;"*",Q$4&amp;" – *")))</f>
        <v>1</v>
      </c>
      <c r="R10" s="7">
        <f>IF(R$4="HĐTN",COUNTIF('[1]03_TKB_LOP'!$B$66:$G$73,"HĐTN*")+COUNTIF('[1]03_TKB_LOP'!$B$66:$G$73,"Chào cờ/HĐTN*"),COUNTIF('[1]03_TKB_LOP'!$B$66:$G$73,IF(LEFT(R$4,5)="NHÓM:","NHÓM:*"&amp;MID(R$4,8,50)&amp;"*",R$4&amp;" – *")))</f>
        <v>0</v>
      </c>
      <c r="S10" s="7">
        <f>IF(S$4="HĐTN",COUNTIF('[1]03_TKB_LOP'!$B$66:$G$73,"HĐTN*")+COUNTIF('[1]03_TKB_LOP'!$B$66:$G$73,"Chào cờ/HĐTN*"),COUNTIF('[1]03_TKB_LOP'!$B$66:$G$73,IF(LEFT(S$4,5)="NHÓM:","NHÓM:*"&amp;MID(S$4,8,50)&amp;"*",S$4&amp;" – *")))</f>
        <v>1</v>
      </c>
      <c r="T10" s="7">
        <f>IF(T$4="HĐTN",COUNTIF('[1]03_TKB_LOP'!$B$66:$G$73,"HĐTN*")+COUNTIF('[1]03_TKB_LOP'!$B$66:$G$73,"Chào cờ/HĐTN*"),COUNTIF('[1]03_TKB_LOP'!$B$66:$G$73,IF(LEFT(T$4,5)="NHÓM:","NHÓM:*"&amp;MID(T$4,8,50)&amp;"*",T$4&amp;" – *")))</f>
        <v>1</v>
      </c>
      <c r="U10" s="7">
        <f>IF(U$4="HĐTN",COUNTIF('[1]03_TKB_LOP'!$B$66:$G$73,"HĐTN*")+COUNTIF('[1]03_TKB_LOP'!$B$66:$G$73,"Chào cờ/HĐTN*"),COUNTIF('[1]03_TKB_LOP'!$B$66:$G$73,IF(LEFT(U$4,5)="NHÓM:","NHÓM:*"&amp;MID(U$4,8,50)&amp;"*",U$4&amp;" – *")))</f>
        <v>0</v>
      </c>
      <c r="V10" s="7">
        <f>IF(V$4="HĐTN",COUNTIF('[1]03_TKB_LOP'!$B$66:$G$73,"HĐTN*")+COUNTIF('[1]03_TKB_LOP'!$B$66:$G$73,"Chào cờ/HĐTN*"),COUNTIF('[1]03_TKB_LOP'!$B$66:$G$73,IF(LEFT(V$4,5)="NHÓM:","NHÓM:*"&amp;MID(V$4,8,50)&amp;"*",V$4&amp;" – *")))</f>
        <v>0</v>
      </c>
      <c r="W10" s="7">
        <f>IF(W$4="HĐTN",COUNTIF('[1]03_TKB_LOP'!$B$66:$G$73,"HĐTN*")+COUNTIF('[1]03_TKB_LOP'!$B$66:$G$73,"Chào cờ/HĐTN*"),COUNTIF('[1]03_TKB_LOP'!$B$66:$G$73,IF(LEFT(W$4,5)="NHÓM:","NHÓM:*"&amp;MID(W$4,8,50)&amp;"*",W$4&amp;" – *")))</f>
        <v>0</v>
      </c>
      <c r="X10" s="7">
        <f>IF(X$4="HĐTN",COUNTIF('[1]03_TKB_LOP'!$B$66:$G$73,"HĐTN*")+COUNTIF('[1]03_TKB_LOP'!$B$66:$G$73,"Chào cờ/HĐTN*"),COUNTIF('[1]03_TKB_LOP'!$B$66:$G$73,IF(LEFT(X$4,5)="NHÓM:","NHÓM:*"&amp;MID(X$4,8,50)&amp;"*",X$4&amp;" – *")))</f>
        <v>8</v>
      </c>
      <c r="Y10" s="7">
        <f>IF(Y$4="HĐTN",COUNTIF('[1]03_TKB_LOP'!$B$66:$G$73,"HĐTN*")+COUNTIF('[1]03_TKB_LOP'!$B$66:$G$73,"Chào cờ/HĐTN*"),COUNTIF('[1]03_TKB_LOP'!$B$66:$G$73,IF(LEFT(Y$4,5)="NHÓM:","NHÓM:*"&amp;MID(Y$4,8,50)&amp;"*",Y$4&amp;" – *")))</f>
        <v>2</v>
      </c>
      <c r="Z10" s="7">
        <f>IF(Z$4="HĐTN",COUNTIF('[1]03_TKB_LOP'!$B$66:$G$73,"HĐTN*")+COUNTIF('[1]03_TKB_LOP'!$B$66:$G$73,"Chào cờ/HĐTN*"),COUNTIF('[1]03_TKB_LOP'!$B$66:$G$73,IF(LEFT(Z$4,5)="NHÓM:","NHÓM:*"&amp;MID(Z$4,8,50)&amp;"*",Z$4&amp;" – *")))</f>
        <v>2</v>
      </c>
      <c r="AA10" s="7">
        <f>IF(AA$4="HĐTN",COUNTIF('[1]03_TKB_LOP'!$B$66:$G$73,"HĐTN*")+COUNTIF('[1]03_TKB_LOP'!$B$66:$G$73,"Chào cờ/HĐTN*"),COUNTIF('[1]03_TKB_LOP'!$B$66:$G$73,IF(LEFT(AA$4,5)="NHÓM:","NHÓM:*"&amp;MID(AA$4,8,50)&amp;"*",AA$4&amp;" – *")))</f>
        <v>2</v>
      </c>
      <c r="AB10" s="7">
        <f>IF(AB$4="HĐTN",COUNTIF('[1]03_TKB_LOP'!$B$66:$G$73,"HĐTN*")+COUNTIF('[1]03_TKB_LOP'!$B$66:$G$73,"Chào cờ/HĐTN*"),COUNTIF('[1]03_TKB_LOP'!$B$66:$G$73,IF(LEFT(AB$4,5)="NHÓM:","NHÓM:*"&amp;MID(AB$4,8,50)&amp;"*",AB$4&amp;" – *")))</f>
        <v>0</v>
      </c>
    </row>
    <row r="11" spans="1:28" x14ac:dyDescent="0.2">
      <c r="A11" s="5" t="str">
        <f>TRIM(MID('[1]03_TKB_LOP'!$A$76,4,FIND("|",'[1]03_TKB_LOP'!$A$76)-4))</f>
        <v>10A7</v>
      </c>
      <c r="B11" s="6" t="str">
        <f>TRIM(MID('[1]03_TKB_LOP'!$A$76,FIND("GVCN:",'[1]03_TKB_LOP'!$A$76)+5,FIND("|",'[1]03_TKB_LOP'!$A$76,FIND("GVCN:",'[1]03_TKB_LOP'!$A$76))-FIND("GVCN:",'[1]03_TKB_LOP'!$A$76)-5))</f>
        <v>NGUYỄN TRẦN MAI THANH</v>
      </c>
      <c r="C11" s="7">
        <f>IF(C$4="HĐTN",COUNTIF('[1]03_TKB_LOP'!$B$78:$G$85,"HĐTN*")+COUNTIF('[1]03_TKB_LOP'!$B$78:$G$85,"Chào cờ/HĐTN*"),COUNTIF('[1]03_TKB_LOP'!$B$78:$G$85,IF(LEFT(C$4,5)="NHÓM:","NHÓM:*"&amp;MID(C$4,8,50)&amp;"*",C$4&amp;" – *")))</f>
        <v>3</v>
      </c>
      <c r="D11" s="7">
        <f>IF(D$4="HĐTN",COUNTIF('[1]03_TKB_LOP'!$B$78:$G$85,"HĐTN*")+COUNTIF('[1]03_TKB_LOP'!$B$78:$G$85,"Chào cờ/HĐTN*"),COUNTIF('[1]03_TKB_LOP'!$B$78:$G$85,IF(LEFT(D$4,5)="NHÓM:","NHÓM:*"&amp;MID(D$4,8,50)&amp;"*",D$4&amp;" – *")))</f>
        <v>3</v>
      </c>
      <c r="E11" s="7">
        <f>IF(E$4="HĐTN",COUNTIF('[1]03_TKB_LOP'!$B$78:$G$85,"HĐTN*")+COUNTIF('[1]03_TKB_LOP'!$B$78:$G$85,"Chào cờ/HĐTN*"),COUNTIF('[1]03_TKB_LOP'!$B$78:$G$85,IF(LEFT(E$4,5)="NHÓM:","NHÓM:*"&amp;MID(E$4,8,50)&amp;"*",E$4&amp;" – *")))</f>
        <v>3</v>
      </c>
      <c r="F11" s="7">
        <f>IF(F$4="HĐTN",COUNTIF('[1]03_TKB_LOP'!$B$78:$G$85,"HĐTN*")+COUNTIF('[1]03_TKB_LOP'!$B$78:$G$85,"Chào cờ/HĐTN*"),COUNTIF('[1]03_TKB_LOP'!$B$78:$G$85,IF(LEFT(F$4,5)="NHÓM:","NHÓM:*"&amp;MID(F$4,8,50)&amp;"*",F$4&amp;" – *")))</f>
        <v>3</v>
      </c>
      <c r="G11" s="7">
        <f>IF(G$4="HĐTN",COUNTIF('[1]03_TKB_LOP'!$B$78:$G$85,"HĐTN*")+COUNTIF('[1]03_TKB_LOP'!$B$78:$G$85,"Chào cờ/HĐTN*"),COUNTIF('[1]03_TKB_LOP'!$B$78:$G$85,IF(LEFT(G$4,5)="NHÓM:","NHÓM:*"&amp;MID(G$4,8,50)&amp;"*",G$4&amp;" – *")))</f>
        <v>2</v>
      </c>
      <c r="H11" s="7">
        <f>IF(H$4="HĐTN",COUNTIF('[1]03_TKB_LOP'!$B$78:$G$85,"HĐTN*")+COUNTIF('[1]03_TKB_LOP'!$B$78:$G$85,"Chào cờ/HĐTN*"),COUNTIF('[1]03_TKB_LOP'!$B$78:$G$85,IF(LEFT(H$4,5)="NHÓM:","NHÓM:*"&amp;MID(H$4,8,50)&amp;"*",H$4&amp;" – *")))</f>
        <v>2</v>
      </c>
      <c r="I11" s="7">
        <f>IF(I$4="HĐTN",COUNTIF('[1]03_TKB_LOP'!$B$78:$G$85,"HĐTN*")+COUNTIF('[1]03_TKB_LOP'!$B$78:$G$85,"Chào cờ/HĐTN*"),COUNTIF('[1]03_TKB_LOP'!$B$78:$G$85,IF(LEFT(I$4,5)="NHÓM:","NHÓM:*"&amp;MID(I$4,8,50)&amp;"*",I$4&amp;" – *")))</f>
        <v>0</v>
      </c>
      <c r="J11" s="7">
        <f>IF(J$4="HĐTN",COUNTIF('[1]03_TKB_LOP'!$B$78:$G$85,"HĐTN*")+COUNTIF('[1]03_TKB_LOP'!$B$78:$G$85,"Chào cờ/HĐTN*"),COUNTIF('[1]03_TKB_LOP'!$B$78:$G$85,IF(LEFT(J$4,5)="NHÓM:","NHÓM:*"&amp;MID(J$4,8,50)&amp;"*",J$4&amp;" – *")))</f>
        <v>2</v>
      </c>
      <c r="K11" s="7">
        <f>IF(K$4="HĐTN",COUNTIF('[1]03_TKB_LOP'!$B$78:$G$85,"HĐTN*")+COUNTIF('[1]03_TKB_LOP'!$B$78:$G$85,"Chào cờ/HĐTN*"),COUNTIF('[1]03_TKB_LOP'!$B$78:$G$85,IF(LEFT(K$4,5)="NHÓM:","NHÓM:*"&amp;MID(K$4,8,50)&amp;"*",K$4&amp;" – *")))</f>
        <v>0</v>
      </c>
      <c r="L11" s="7">
        <f>IF(L$4="HĐTN",COUNTIF('[1]03_TKB_LOP'!$B$78:$G$85,"HĐTN*")+COUNTIF('[1]03_TKB_LOP'!$B$78:$G$85,"Chào cờ/HĐTN*"),COUNTIF('[1]03_TKB_LOP'!$B$78:$G$85,IF(LEFT(L$4,5)="NHÓM:","NHÓM:*"&amp;MID(L$4,8,50)&amp;"*",L$4&amp;" – *")))</f>
        <v>2</v>
      </c>
      <c r="M11" s="7">
        <f>IF(M$4="HĐTN",COUNTIF('[1]03_TKB_LOP'!$B$78:$G$85,"HĐTN*")+COUNTIF('[1]03_TKB_LOP'!$B$78:$G$85,"Chào cờ/HĐTN*"),COUNTIF('[1]03_TKB_LOP'!$B$78:$G$85,IF(LEFT(M$4,5)="NHÓM:","NHÓM:*"&amp;MID(M$4,8,50)&amp;"*",M$4&amp;" – *")))</f>
        <v>2</v>
      </c>
      <c r="N11" s="7">
        <f>IF(N$4="HĐTN",COUNTIF('[1]03_TKB_LOP'!$B$78:$G$85,"HĐTN*")+COUNTIF('[1]03_TKB_LOP'!$B$78:$G$85,"Chào cờ/HĐTN*"),COUNTIF('[1]03_TKB_LOP'!$B$78:$G$85,IF(LEFT(N$4,5)="NHÓM:","NHÓM:*"&amp;MID(N$4,8,50)&amp;"*",N$4&amp;" – *")))</f>
        <v>0</v>
      </c>
      <c r="O11" s="7">
        <f>IF(O$4="HĐTN",COUNTIF('[1]03_TKB_LOP'!$B$78:$G$85,"HĐTN*")+COUNTIF('[1]03_TKB_LOP'!$B$78:$G$85,"Chào cờ/HĐTN*"),COUNTIF('[1]03_TKB_LOP'!$B$78:$G$85,IF(LEFT(O$4,5)="NHÓM:","NHÓM:*"&amp;MID(O$4,8,50)&amp;"*",O$4&amp;" – *")))</f>
        <v>1</v>
      </c>
      <c r="P11" s="7">
        <f>IF(P$4="HĐTN",COUNTIF('[1]03_TKB_LOP'!$B$78:$G$85,"HĐTN*")+COUNTIF('[1]03_TKB_LOP'!$B$78:$G$85,"Chào cờ/HĐTN*"),COUNTIF('[1]03_TKB_LOP'!$B$78:$G$85,IF(LEFT(P$4,5)="NHÓM:","NHÓM:*"&amp;MID(P$4,8,50)&amp;"*",P$4&amp;" – *")))</f>
        <v>1</v>
      </c>
      <c r="Q11" s="7">
        <f>IF(Q$4="HĐTN",COUNTIF('[1]03_TKB_LOP'!$B$78:$G$85,"HĐTN*")+COUNTIF('[1]03_TKB_LOP'!$B$78:$G$85,"Chào cờ/HĐTN*"),COUNTIF('[1]03_TKB_LOP'!$B$78:$G$85,IF(LEFT(Q$4,5)="NHÓM:","NHÓM:*"&amp;MID(Q$4,8,50)&amp;"*",Q$4&amp;" – *")))</f>
        <v>1</v>
      </c>
      <c r="R11" s="7">
        <f>IF(R$4="HĐTN",COUNTIF('[1]03_TKB_LOP'!$B$78:$G$85,"HĐTN*")+COUNTIF('[1]03_TKB_LOP'!$B$78:$G$85,"Chào cờ/HĐTN*"),COUNTIF('[1]03_TKB_LOP'!$B$78:$G$85,IF(LEFT(R$4,5)="NHÓM:","NHÓM:*"&amp;MID(R$4,8,50)&amp;"*",R$4&amp;" – *")))</f>
        <v>0</v>
      </c>
      <c r="S11" s="7">
        <f>IF(S$4="HĐTN",COUNTIF('[1]03_TKB_LOP'!$B$78:$G$85,"HĐTN*")+COUNTIF('[1]03_TKB_LOP'!$B$78:$G$85,"Chào cờ/HĐTN*"),COUNTIF('[1]03_TKB_LOP'!$B$78:$G$85,IF(LEFT(S$4,5)="NHÓM:","NHÓM:*"&amp;MID(S$4,8,50)&amp;"*",S$4&amp;" – *")))</f>
        <v>1</v>
      </c>
      <c r="T11" s="7">
        <f>IF(T$4="HĐTN",COUNTIF('[1]03_TKB_LOP'!$B$78:$G$85,"HĐTN*")+COUNTIF('[1]03_TKB_LOP'!$B$78:$G$85,"Chào cờ/HĐTN*"),COUNTIF('[1]03_TKB_LOP'!$B$78:$G$85,IF(LEFT(T$4,5)="NHÓM:","NHÓM:*"&amp;MID(T$4,8,50)&amp;"*",T$4&amp;" – *")))</f>
        <v>1</v>
      </c>
      <c r="U11" s="7">
        <f>IF(U$4="HĐTN",COUNTIF('[1]03_TKB_LOP'!$B$78:$G$85,"HĐTN*")+COUNTIF('[1]03_TKB_LOP'!$B$78:$G$85,"Chào cờ/HĐTN*"),COUNTIF('[1]03_TKB_LOP'!$B$78:$G$85,IF(LEFT(U$4,5)="NHÓM:","NHÓM:*"&amp;MID(U$4,8,50)&amp;"*",U$4&amp;" – *")))</f>
        <v>0</v>
      </c>
      <c r="V11" s="7">
        <f>IF(V$4="HĐTN",COUNTIF('[1]03_TKB_LOP'!$B$78:$G$85,"HĐTN*")+COUNTIF('[1]03_TKB_LOP'!$B$78:$G$85,"Chào cờ/HĐTN*"),COUNTIF('[1]03_TKB_LOP'!$B$78:$G$85,IF(LEFT(V$4,5)="NHÓM:","NHÓM:*"&amp;MID(V$4,8,50)&amp;"*",V$4&amp;" – *")))</f>
        <v>0</v>
      </c>
      <c r="W11" s="7">
        <f>IF(W$4="HĐTN",COUNTIF('[1]03_TKB_LOP'!$B$78:$G$85,"HĐTN*")+COUNTIF('[1]03_TKB_LOP'!$B$78:$G$85,"Chào cờ/HĐTN*"),COUNTIF('[1]03_TKB_LOP'!$B$78:$G$85,IF(LEFT(W$4,5)="NHÓM:","NHÓM:*"&amp;MID(W$4,8,50)&amp;"*",W$4&amp;" – *")))</f>
        <v>0</v>
      </c>
      <c r="X11" s="7">
        <f>IF(X$4="HĐTN",COUNTIF('[1]03_TKB_LOP'!$B$78:$G$85,"HĐTN*")+COUNTIF('[1]03_TKB_LOP'!$B$78:$G$85,"Chào cờ/HĐTN*"),COUNTIF('[1]03_TKB_LOP'!$B$78:$G$85,IF(LEFT(X$4,5)="NHÓM:","NHÓM:*"&amp;MID(X$4,8,50)&amp;"*",X$4&amp;" – *")))</f>
        <v>8</v>
      </c>
      <c r="Y11" s="7">
        <f>IF(Y$4="HĐTN",COUNTIF('[1]03_TKB_LOP'!$B$78:$G$85,"HĐTN*")+COUNTIF('[1]03_TKB_LOP'!$B$78:$G$85,"Chào cờ/HĐTN*"),COUNTIF('[1]03_TKB_LOP'!$B$78:$G$85,IF(LEFT(Y$4,5)="NHÓM:","NHÓM:*"&amp;MID(Y$4,8,50)&amp;"*",Y$4&amp;" – *")))</f>
        <v>2</v>
      </c>
      <c r="Z11" s="7">
        <f>IF(Z$4="HĐTN",COUNTIF('[1]03_TKB_LOP'!$B$78:$G$85,"HĐTN*")+COUNTIF('[1]03_TKB_LOP'!$B$78:$G$85,"Chào cờ/HĐTN*"),COUNTIF('[1]03_TKB_LOP'!$B$78:$G$85,IF(LEFT(Z$4,5)="NHÓM:","NHÓM:*"&amp;MID(Z$4,8,50)&amp;"*",Z$4&amp;" – *")))</f>
        <v>2</v>
      </c>
      <c r="AA11" s="7">
        <f>IF(AA$4="HĐTN",COUNTIF('[1]03_TKB_LOP'!$B$78:$G$85,"HĐTN*")+COUNTIF('[1]03_TKB_LOP'!$B$78:$G$85,"Chào cờ/HĐTN*"),COUNTIF('[1]03_TKB_LOP'!$B$78:$G$85,IF(LEFT(AA$4,5)="NHÓM:","NHÓM:*"&amp;MID(AA$4,8,50)&amp;"*",AA$4&amp;" – *")))</f>
        <v>4</v>
      </c>
      <c r="AB11" s="7">
        <f>IF(AB$4="HĐTN",COUNTIF('[1]03_TKB_LOP'!$B$78:$G$85,"HĐTN*")+COUNTIF('[1]03_TKB_LOP'!$B$78:$G$85,"Chào cờ/HĐTN*"),COUNTIF('[1]03_TKB_LOP'!$B$78:$G$85,IF(LEFT(AB$4,5)="NHÓM:","NHÓM:*"&amp;MID(AB$4,8,50)&amp;"*",AB$4&amp;" – *")))</f>
        <v>0</v>
      </c>
    </row>
    <row r="12" spans="1:28" x14ac:dyDescent="0.2">
      <c r="A12" s="5" t="str">
        <f>TRIM(MID('[1]03_TKB_LOP'!$A$88,4,FIND("|",'[1]03_TKB_LOP'!$A$88)-4))</f>
        <v>10A8</v>
      </c>
      <c r="B12" s="6" t="str">
        <f>TRIM(MID('[1]03_TKB_LOP'!$A$88,FIND("GVCN:",'[1]03_TKB_LOP'!$A$88)+5,FIND("|",'[1]03_TKB_LOP'!$A$88,FIND("GVCN:",'[1]03_TKB_LOP'!$A$88))-FIND("GVCN:",'[1]03_TKB_LOP'!$A$88)-5))</f>
        <v>MAI LAN ANH</v>
      </c>
      <c r="C12" s="7">
        <f>IF(C$4="HĐTN",COUNTIF('[1]03_TKB_LOP'!$B$90:$G$97,"HĐTN*")+COUNTIF('[1]03_TKB_LOP'!$B$90:$G$97,"Chào cờ/HĐTN*"),COUNTIF('[1]03_TKB_LOP'!$B$90:$G$97,IF(LEFT(C$4,5)="NHÓM:","NHÓM:*"&amp;MID(C$4,8,50)&amp;"*",C$4&amp;" – *")))</f>
        <v>3</v>
      </c>
      <c r="D12" s="7">
        <f>IF(D$4="HĐTN",COUNTIF('[1]03_TKB_LOP'!$B$90:$G$97,"HĐTN*")+COUNTIF('[1]03_TKB_LOP'!$B$90:$G$97,"Chào cờ/HĐTN*"),COUNTIF('[1]03_TKB_LOP'!$B$90:$G$97,IF(LEFT(D$4,5)="NHÓM:","NHÓM:*"&amp;MID(D$4,8,50)&amp;"*",D$4&amp;" – *")))</f>
        <v>3</v>
      </c>
      <c r="E12" s="7">
        <f>IF(E$4="HĐTN",COUNTIF('[1]03_TKB_LOP'!$B$90:$G$97,"HĐTN*")+COUNTIF('[1]03_TKB_LOP'!$B$90:$G$97,"Chào cờ/HĐTN*"),COUNTIF('[1]03_TKB_LOP'!$B$90:$G$97,IF(LEFT(E$4,5)="NHÓM:","NHÓM:*"&amp;MID(E$4,8,50)&amp;"*",E$4&amp;" – *")))</f>
        <v>3</v>
      </c>
      <c r="F12" s="7">
        <f>IF(F$4="HĐTN",COUNTIF('[1]03_TKB_LOP'!$B$90:$G$97,"HĐTN*")+COUNTIF('[1]03_TKB_LOP'!$B$90:$G$97,"Chào cờ/HĐTN*"),COUNTIF('[1]03_TKB_LOP'!$B$90:$G$97,IF(LEFT(F$4,5)="NHÓM:","NHÓM:*"&amp;MID(F$4,8,50)&amp;"*",F$4&amp;" – *")))</f>
        <v>3</v>
      </c>
      <c r="G12" s="7">
        <f>IF(G$4="HĐTN",COUNTIF('[1]03_TKB_LOP'!$B$90:$G$97,"HĐTN*")+COUNTIF('[1]03_TKB_LOP'!$B$90:$G$97,"Chào cờ/HĐTN*"),COUNTIF('[1]03_TKB_LOP'!$B$90:$G$97,IF(LEFT(G$4,5)="NHÓM:","NHÓM:*"&amp;MID(G$4,8,50)&amp;"*",G$4&amp;" – *")))</f>
        <v>2</v>
      </c>
      <c r="H12" s="7">
        <f>IF(H$4="HĐTN",COUNTIF('[1]03_TKB_LOP'!$B$90:$G$97,"HĐTN*")+COUNTIF('[1]03_TKB_LOP'!$B$90:$G$97,"Chào cờ/HĐTN*"),COUNTIF('[1]03_TKB_LOP'!$B$90:$G$97,IF(LEFT(H$4,5)="NHÓM:","NHÓM:*"&amp;MID(H$4,8,50)&amp;"*",H$4&amp;" – *")))</f>
        <v>0</v>
      </c>
      <c r="I12" s="7">
        <f>IF(I$4="HĐTN",COUNTIF('[1]03_TKB_LOP'!$B$90:$G$97,"HĐTN*")+COUNTIF('[1]03_TKB_LOP'!$B$90:$G$97,"Chào cờ/HĐTN*"),COUNTIF('[1]03_TKB_LOP'!$B$90:$G$97,IF(LEFT(I$4,5)="NHÓM:","NHÓM:*"&amp;MID(I$4,8,50)&amp;"*",I$4&amp;" – *")))</f>
        <v>0</v>
      </c>
      <c r="J12" s="7">
        <f>IF(J$4="HĐTN",COUNTIF('[1]03_TKB_LOP'!$B$90:$G$97,"HĐTN*")+COUNTIF('[1]03_TKB_LOP'!$B$90:$G$97,"Chào cờ/HĐTN*"),COUNTIF('[1]03_TKB_LOP'!$B$90:$G$97,IF(LEFT(J$4,5)="NHÓM:","NHÓM:*"&amp;MID(J$4,8,50)&amp;"*",J$4&amp;" – *")))</f>
        <v>2</v>
      </c>
      <c r="K12" s="7">
        <f>IF(K$4="HĐTN",COUNTIF('[1]03_TKB_LOP'!$B$90:$G$97,"HĐTN*")+COUNTIF('[1]03_TKB_LOP'!$B$90:$G$97,"Chào cờ/HĐTN*"),COUNTIF('[1]03_TKB_LOP'!$B$90:$G$97,IF(LEFT(K$4,5)="NHÓM:","NHÓM:*"&amp;MID(K$4,8,50)&amp;"*",K$4&amp;" – *")))</f>
        <v>2</v>
      </c>
      <c r="L12" s="7">
        <f>IF(L$4="HĐTN",COUNTIF('[1]03_TKB_LOP'!$B$90:$G$97,"HĐTN*")+COUNTIF('[1]03_TKB_LOP'!$B$90:$G$97,"Chào cờ/HĐTN*"),COUNTIF('[1]03_TKB_LOP'!$B$90:$G$97,IF(LEFT(L$4,5)="NHÓM:","NHÓM:*"&amp;MID(L$4,8,50)&amp;"*",L$4&amp;" – *")))</f>
        <v>2</v>
      </c>
      <c r="M12" s="7">
        <f>IF(M$4="HĐTN",COUNTIF('[1]03_TKB_LOP'!$B$90:$G$97,"HĐTN*")+COUNTIF('[1]03_TKB_LOP'!$B$90:$G$97,"Chào cờ/HĐTN*"),COUNTIF('[1]03_TKB_LOP'!$B$90:$G$97,IF(LEFT(M$4,5)="NHÓM:","NHÓM:*"&amp;MID(M$4,8,50)&amp;"*",M$4&amp;" – *")))</f>
        <v>2</v>
      </c>
      <c r="N12" s="7">
        <f>IF(N$4="HĐTN",COUNTIF('[1]03_TKB_LOP'!$B$90:$G$97,"HĐTN*")+COUNTIF('[1]03_TKB_LOP'!$B$90:$G$97,"Chào cờ/HĐTN*"),COUNTIF('[1]03_TKB_LOP'!$B$90:$G$97,IF(LEFT(N$4,5)="NHÓM:","NHÓM:*"&amp;MID(N$4,8,50)&amp;"*",N$4&amp;" – *")))</f>
        <v>0</v>
      </c>
      <c r="O12" s="7">
        <f>IF(O$4="HĐTN",COUNTIF('[1]03_TKB_LOP'!$B$90:$G$97,"HĐTN*")+COUNTIF('[1]03_TKB_LOP'!$B$90:$G$97,"Chào cờ/HĐTN*"),COUNTIF('[1]03_TKB_LOP'!$B$90:$G$97,IF(LEFT(O$4,5)="NHÓM:","NHÓM:*"&amp;MID(O$4,8,50)&amp;"*",O$4&amp;" – *")))</f>
        <v>1</v>
      </c>
      <c r="P12" s="7">
        <f>IF(P$4="HĐTN",COUNTIF('[1]03_TKB_LOP'!$B$90:$G$97,"HĐTN*")+COUNTIF('[1]03_TKB_LOP'!$B$90:$G$97,"Chào cờ/HĐTN*"),COUNTIF('[1]03_TKB_LOP'!$B$90:$G$97,IF(LEFT(P$4,5)="NHÓM:","NHÓM:*"&amp;MID(P$4,8,50)&amp;"*",P$4&amp;" – *")))</f>
        <v>1</v>
      </c>
      <c r="Q12" s="7">
        <f>IF(Q$4="HĐTN",COUNTIF('[1]03_TKB_LOP'!$B$90:$G$97,"HĐTN*")+COUNTIF('[1]03_TKB_LOP'!$B$90:$G$97,"Chào cờ/HĐTN*"),COUNTIF('[1]03_TKB_LOP'!$B$90:$G$97,IF(LEFT(Q$4,5)="NHÓM:","NHÓM:*"&amp;MID(Q$4,8,50)&amp;"*",Q$4&amp;" – *")))</f>
        <v>0</v>
      </c>
      <c r="R12" s="7">
        <f>IF(R$4="HĐTN",COUNTIF('[1]03_TKB_LOP'!$B$90:$G$97,"HĐTN*")+COUNTIF('[1]03_TKB_LOP'!$B$90:$G$97,"Chào cờ/HĐTN*"),COUNTIF('[1]03_TKB_LOP'!$B$90:$G$97,IF(LEFT(R$4,5)="NHÓM:","NHÓM:*"&amp;MID(R$4,8,50)&amp;"*",R$4&amp;" – *")))</f>
        <v>1</v>
      </c>
      <c r="S12" s="7">
        <f>IF(S$4="HĐTN",COUNTIF('[1]03_TKB_LOP'!$B$90:$G$97,"HĐTN*")+COUNTIF('[1]03_TKB_LOP'!$B$90:$G$97,"Chào cờ/HĐTN*"),COUNTIF('[1]03_TKB_LOP'!$B$90:$G$97,IF(LEFT(S$4,5)="NHÓM:","NHÓM:*"&amp;MID(S$4,8,50)&amp;"*",S$4&amp;" – *")))</f>
        <v>0</v>
      </c>
      <c r="T12" s="7">
        <f>IF(T$4="HĐTN",COUNTIF('[1]03_TKB_LOP'!$B$90:$G$97,"HĐTN*")+COUNTIF('[1]03_TKB_LOP'!$B$90:$G$97,"Chào cờ/HĐTN*"),COUNTIF('[1]03_TKB_LOP'!$B$90:$G$97,IF(LEFT(T$4,5)="NHÓM:","NHÓM:*"&amp;MID(T$4,8,50)&amp;"*",T$4&amp;" – *")))</f>
        <v>0</v>
      </c>
      <c r="U12" s="7">
        <f>IF(U$4="HĐTN",COUNTIF('[1]03_TKB_LOP'!$B$90:$G$97,"HĐTN*")+COUNTIF('[1]03_TKB_LOP'!$B$90:$G$97,"Chào cờ/HĐTN*"),COUNTIF('[1]03_TKB_LOP'!$B$90:$G$97,IF(LEFT(U$4,5)="NHÓM:","NHÓM:*"&amp;MID(U$4,8,50)&amp;"*",U$4&amp;" – *")))</f>
        <v>0</v>
      </c>
      <c r="V12" s="7">
        <f>IF(V$4="HĐTN",COUNTIF('[1]03_TKB_LOP'!$B$90:$G$97,"HĐTN*")+COUNTIF('[1]03_TKB_LOP'!$B$90:$G$97,"Chào cờ/HĐTN*"),COUNTIF('[1]03_TKB_LOP'!$B$90:$G$97,IF(LEFT(V$4,5)="NHÓM:","NHÓM:*"&amp;MID(V$4,8,50)&amp;"*",V$4&amp;" – *")))</f>
        <v>1</v>
      </c>
      <c r="W12" s="7">
        <f>IF(W$4="HĐTN",COUNTIF('[1]03_TKB_LOP'!$B$90:$G$97,"HĐTN*")+COUNTIF('[1]03_TKB_LOP'!$B$90:$G$97,"Chào cờ/HĐTN*"),COUNTIF('[1]03_TKB_LOP'!$B$90:$G$97,IF(LEFT(W$4,5)="NHÓM:","NHÓM:*"&amp;MID(W$4,8,50)&amp;"*",W$4&amp;" – *")))</f>
        <v>1</v>
      </c>
      <c r="X12" s="7">
        <f>IF(X$4="HĐTN",COUNTIF('[1]03_TKB_LOP'!$B$90:$G$97,"HĐTN*")+COUNTIF('[1]03_TKB_LOP'!$B$90:$G$97,"Chào cờ/HĐTN*"),COUNTIF('[1]03_TKB_LOP'!$B$90:$G$97,IF(LEFT(X$4,5)="NHÓM:","NHÓM:*"&amp;MID(X$4,8,50)&amp;"*",X$4&amp;" – *")))</f>
        <v>6</v>
      </c>
      <c r="Y12" s="7">
        <f>IF(Y$4="HĐTN",COUNTIF('[1]03_TKB_LOP'!$B$90:$G$97,"HĐTN*")+COUNTIF('[1]03_TKB_LOP'!$B$90:$G$97,"Chào cờ/HĐTN*"),COUNTIF('[1]03_TKB_LOP'!$B$90:$G$97,IF(LEFT(Y$4,5)="NHÓM:","NHÓM:*"&amp;MID(Y$4,8,50)&amp;"*",Y$4&amp;" – *")))</f>
        <v>4</v>
      </c>
      <c r="Z12" s="7">
        <f>IF(Z$4="HĐTN",COUNTIF('[1]03_TKB_LOP'!$B$90:$G$97,"HĐTN*")+COUNTIF('[1]03_TKB_LOP'!$B$90:$G$97,"Chào cờ/HĐTN*"),COUNTIF('[1]03_TKB_LOP'!$B$90:$G$97,IF(LEFT(Z$4,5)="NHÓM:","NHÓM:*"&amp;MID(Z$4,8,50)&amp;"*",Z$4&amp;" – *")))</f>
        <v>2</v>
      </c>
      <c r="AA12" s="7">
        <f>IF(AA$4="HĐTN",COUNTIF('[1]03_TKB_LOP'!$B$90:$G$97,"HĐTN*")+COUNTIF('[1]03_TKB_LOP'!$B$90:$G$97,"Chào cờ/HĐTN*"),COUNTIF('[1]03_TKB_LOP'!$B$90:$G$97,IF(LEFT(AA$4,5)="NHÓM:","NHÓM:*"&amp;MID(AA$4,8,50)&amp;"*",AA$4&amp;" – *")))</f>
        <v>4</v>
      </c>
      <c r="AB12" s="7">
        <f>IF(AB$4="HĐTN",COUNTIF('[1]03_TKB_LOP'!$B$90:$G$97,"HĐTN*")+COUNTIF('[1]03_TKB_LOP'!$B$90:$G$97,"Chào cờ/HĐTN*"),COUNTIF('[1]03_TKB_LOP'!$B$90:$G$97,IF(LEFT(AB$4,5)="NHÓM:","NHÓM:*"&amp;MID(AB$4,8,50)&amp;"*",AB$4&amp;" – *")))</f>
        <v>0</v>
      </c>
    </row>
    <row r="13" spans="1:28" x14ac:dyDescent="0.2">
      <c r="A13" s="5" t="str">
        <f>TRIM(MID('[1]03_TKB_LOP'!$A$100,4,FIND("|",'[1]03_TKB_LOP'!$A$100)-4))</f>
        <v>10A9</v>
      </c>
      <c r="B13" s="6" t="str">
        <f>TRIM(MID('[1]03_TKB_LOP'!$A$100,FIND("GVCN:",'[1]03_TKB_LOP'!$A$100)+5,FIND("|",'[1]03_TKB_LOP'!$A$100,FIND("GVCN:",'[1]03_TKB_LOP'!$A$100))-FIND("GVCN:",'[1]03_TKB_LOP'!$A$100)-5))</f>
        <v>HỒ PHƯƠNG THẢO</v>
      </c>
      <c r="C13" s="7">
        <f>IF(C$4="HĐTN",COUNTIF('[1]03_TKB_LOP'!$B$102:$G$109,"HĐTN*")+COUNTIF('[1]03_TKB_LOP'!$B$102:$G$109,"Chào cờ/HĐTN*"),COUNTIF('[1]03_TKB_LOP'!$B$102:$G$109,IF(LEFT(C$4,5)="NHÓM:","NHÓM:*"&amp;MID(C$4,8,50)&amp;"*",C$4&amp;" – *")))</f>
        <v>3</v>
      </c>
      <c r="D13" s="7">
        <f>IF(D$4="HĐTN",COUNTIF('[1]03_TKB_LOP'!$B$102:$G$109,"HĐTN*")+COUNTIF('[1]03_TKB_LOP'!$B$102:$G$109,"Chào cờ/HĐTN*"),COUNTIF('[1]03_TKB_LOP'!$B$102:$G$109,IF(LEFT(D$4,5)="NHÓM:","NHÓM:*"&amp;MID(D$4,8,50)&amp;"*",D$4&amp;" – *")))</f>
        <v>3</v>
      </c>
      <c r="E13" s="7">
        <f>IF(E$4="HĐTN",COUNTIF('[1]03_TKB_LOP'!$B$102:$G$109,"HĐTN*")+COUNTIF('[1]03_TKB_LOP'!$B$102:$G$109,"Chào cờ/HĐTN*"),COUNTIF('[1]03_TKB_LOP'!$B$102:$G$109,IF(LEFT(E$4,5)="NHÓM:","NHÓM:*"&amp;MID(E$4,8,50)&amp;"*",E$4&amp;" – *")))</f>
        <v>3</v>
      </c>
      <c r="F13" s="7">
        <f>IF(F$4="HĐTN",COUNTIF('[1]03_TKB_LOP'!$B$102:$G$109,"HĐTN*")+COUNTIF('[1]03_TKB_LOP'!$B$102:$G$109,"Chào cờ/HĐTN*"),COUNTIF('[1]03_TKB_LOP'!$B$102:$G$109,IF(LEFT(F$4,5)="NHÓM:","NHÓM:*"&amp;MID(F$4,8,50)&amp;"*",F$4&amp;" – *")))</f>
        <v>3</v>
      </c>
      <c r="G13" s="7">
        <f>IF(G$4="HĐTN",COUNTIF('[1]03_TKB_LOP'!$B$102:$G$109,"HĐTN*")+COUNTIF('[1]03_TKB_LOP'!$B$102:$G$109,"Chào cờ/HĐTN*"),COUNTIF('[1]03_TKB_LOP'!$B$102:$G$109,IF(LEFT(G$4,5)="NHÓM:","NHÓM:*"&amp;MID(G$4,8,50)&amp;"*",G$4&amp;" – *")))</f>
        <v>2</v>
      </c>
      <c r="H13" s="7">
        <f>IF(H$4="HĐTN",COUNTIF('[1]03_TKB_LOP'!$B$102:$G$109,"HĐTN*")+COUNTIF('[1]03_TKB_LOP'!$B$102:$G$109,"Chào cờ/HĐTN*"),COUNTIF('[1]03_TKB_LOP'!$B$102:$G$109,IF(LEFT(H$4,5)="NHÓM:","NHÓM:*"&amp;MID(H$4,8,50)&amp;"*",H$4&amp;" – *")))</f>
        <v>0</v>
      </c>
      <c r="I13" s="7">
        <f>IF(I$4="HĐTN",COUNTIF('[1]03_TKB_LOP'!$B$102:$G$109,"HĐTN*")+COUNTIF('[1]03_TKB_LOP'!$B$102:$G$109,"Chào cờ/HĐTN*"),COUNTIF('[1]03_TKB_LOP'!$B$102:$G$109,IF(LEFT(I$4,5)="NHÓM:","NHÓM:*"&amp;MID(I$4,8,50)&amp;"*",I$4&amp;" – *")))</f>
        <v>0</v>
      </c>
      <c r="J13" s="7">
        <f>IF(J$4="HĐTN",COUNTIF('[1]03_TKB_LOP'!$B$102:$G$109,"HĐTN*")+COUNTIF('[1]03_TKB_LOP'!$B$102:$G$109,"Chào cờ/HĐTN*"),COUNTIF('[1]03_TKB_LOP'!$B$102:$G$109,IF(LEFT(J$4,5)="NHÓM:","NHÓM:*"&amp;MID(J$4,8,50)&amp;"*",J$4&amp;" – *")))</f>
        <v>2</v>
      </c>
      <c r="K13" s="7">
        <f>IF(K$4="HĐTN",COUNTIF('[1]03_TKB_LOP'!$B$102:$G$109,"HĐTN*")+COUNTIF('[1]03_TKB_LOP'!$B$102:$G$109,"Chào cờ/HĐTN*"),COUNTIF('[1]03_TKB_LOP'!$B$102:$G$109,IF(LEFT(K$4,5)="NHÓM:","NHÓM:*"&amp;MID(K$4,8,50)&amp;"*",K$4&amp;" – *")))</f>
        <v>2</v>
      </c>
      <c r="L13" s="7">
        <f>IF(L$4="HĐTN",COUNTIF('[1]03_TKB_LOP'!$B$102:$G$109,"HĐTN*")+COUNTIF('[1]03_TKB_LOP'!$B$102:$G$109,"Chào cờ/HĐTN*"),COUNTIF('[1]03_TKB_LOP'!$B$102:$G$109,IF(LEFT(L$4,5)="NHÓM:","NHÓM:*"&amp;MID(L$4,8,50)&amp;"*",L$4&amp;" – *")))</f>
        <v>2</v>
      </c>
      <c r="M13" s="7">
        <f>IF(M$4="HĐTN",COUNTIF('[1]03_TKB_LOP'!$B$102:$G$109,"HĐTN*")+COUNTIF('[1]03_TKB_LOP'!$B$102:$G$109,"Chào cờ/HĐTN*"),COUNTIF('[1]03_TKB_LOP'!$B$102:$G$109,IF(LEFT(M$4,5)="NHÓM:","NHÓM:*"&amp;MID(M$4,8,50)&amp;"*",M$4&amp;" – *")))</f>
        <v>2</v>
      </c>
      <c r="N13" s="7">
        <f>IF(N$4="HĐTN",COUNTIF('[1]03_TKB_LOP'!$B$102:$G$109,"HĐTN*")+COUNTIF('[1]03_TKB_LOP'!$B$102:$G$109,"Chào cờ/HĐTN*"),COUNTIF('[1]03_TKB_LOP'!$B$102:$G$109,IF(LEFT(N$4,5)="NHÓM:","NHÓM:*"&amp;MID(N$4,8,50)&amp;"*",N$4&amp;" – *")))</f>
        <v>0</v>
      </c>
      <c r="O13" s="7">
        <f>IF(O$4="HĐTN",COUNTIF('[1]03_TKB_LOP'!$B$102:$G$109,"HĐTN*")+COUNTIF('[1]03_TKB_LOP'!$B$102:$G$109,"Chào cờ/HĐTN*"),COUNTIF('[1]03_TKB_LOP'!$B$102:$G$109,IF(LEFT(O$4,5)="NHÓM:","NHÓM:*"&amp;MID(O$4,8,50)&amp;"*",O$4&amp;" – *")))</f>
        <v>1</v>
      </c>
      <c r="P13" s="7">
        <f>IF(P$4="HĐTN",COUNTIF('[1]03_TKB_LOP'!$B$102:$G$109,"HĐTN*")+COUNTIF('[1]03_TKB_LOP'!$B$102:$G$109,"Chào cờ/HĐTN*"),COUNTIF('[1]03_TKB_LOP'!$B$102:$G$109,IF(LEFT(P$4,5)="NHÓM:","NHÓM:*"&amp;MID(P$4,8,50)&amp;"*",P$4&amp;" – *")))</f>
        <v>1</v>
      </c>
      <c r="Q13" s="7">
        <f>IF(Q$4="HĐTN",COUNTIF('[1]03_TKB_LOP'!$B$102:$G$109,"HĐTN*")+COUNTIF('[1]03_TKB_LOP'!$B$102:$G$109,"Chào cờ/HĐTN*"),COUNTIF('[1]03_TKB_LOP'!$B$102:$G$109,IF(LEFT(Q$4,5)="NHÓM:","NHÓM:*"&amp;MID(Q$4,8,50)&amp;"*",Q$4&amp;" – *")))</f>
        <v>0</v>
      </c>
      <c r="R13" s="7">
        <f>IF(R$4="HĐTN",COUNTIF('[1]03_TKB_LOP'!$B$102:$G$109,"HĐTN*")+COUNTIF('[1]03_TKB_LOP'!$B$102:$G$109,"Chào cờ/HĐTN*"),COUNTIF('[1]03_TKB_LOP'!$B$102:$G$109,IF(LEFT(R$4,5)="NHÓM:","NHÓM:*"&amp;MID(R$4,8,50)&amp;"*",R$4&amp;" – *")))</f>
        <v>1</v>
      </c>
      <c r="S13" s="7">
        <f>IF(S$4="HĐTN",COUNTIF('[1]03_TKB_LOP'!$B$102:$G$109,"HĐTN*")+COUNTIF('[1]03_TKB_LOP'!$B$102:$G$109,"Chào cờ/HĐTN*"),COUNTIF('[1]03_TKB_LOP'!$B$102:$G$109,IF(LEFT(S$4,5)="NHÓM:","NHÓM:*"&amp;MID(S$4,8,50)&amp;"*",S$4&amp;" – *")))</f>
        <v>0</v>
      </c>
      <c r="T13" s="7">
        <f>IF(T$4="HĐTN",COUNTIF('[1]03_TKB_LOP'!$B$102:$G$109,"HĐTN*")+COUNTIF('[1]03_TKB_LOP'!$B$102:$G$109,"Chào cờ/HĐTN*"),COUNTIF('[1]03_TKB_LOP'!$B$102:$G$109,IF(LEFT(T$4,5)="NHÓM:","NHÓM:*"&amp;MID(T$4,8,50)&amp;"*",T$4&amp;" – *")))</f>
        <v>0</v>
      </c>
      <c r="U13" s="7">
        <f>IF(U$4="HĐTN",COUNTIF('[1]03_TKB_LOP'!$B$102:$G$109,"HĐTN*")+COUNTIF('[1]03_TKB_LOP'!$B$102:$G$109,"Chào cờ/HĐTN*"),COUNTIF('[1]03_TKB_LOP'!$B$102:$G$109,IF(LEFT(U$4,5)="NHÓM:","NHÓM:*"&amp;MID(U$4,8,50)&amp;"*",U$4&amp;" – *")))</f>
        <v>0</v>
      </c>
      <c r="V13" s="7">
        <f>IF(V$4="HĐTN",COUNTIF('[1]03_TKB_LOP'!$B$102:$G$109,"HĐTN*")+COUNTIF('[1]03_TKB_LOP'!$B$102:$G$109,"Chào cờ/HĐTN*"),COUNTIF('[1]03_TKB_LOP'!$B$102:$G$109,IF(LEFT(V$4,5)="NHÓM:","NHÓM:*"&amp;MID(V$4,8,50)&amp;"*",V$4&amp;" – *")))</f>
        <v>1</v>
      </c>
      <c r="W13" s="7">
        <f>IF(W$4="HĐTN",COUNTIF('[1]03_TKB_LOP'!$B$102:$G$109,"HĐTN*")+COUNTIF('[1]03_TKB_LOP'!$B$102:$G$109,"Chào cờ/HĐTN*"),COUNTIF('[1]03_TKB_LOP'!$B$102:$G$109,IF(LEFT(W$4,5)="NHÓM:","NHÓM:*"&amp;MID(W$4,8,50)&amp;"*",W$4&amp;" – *")))</f>
        <v>1</v>
      </c>
      <c r="X13" s="7">
        <f>IF(X$4="HĐTN",COUNTIF('[1]03_TKB_LOP'!$B$102:$G$109,"HĐTN*")+COUNTIF('[1]03_TKB_LOP'!$B$102:$G$109,"Chào cờ/HĐTN*"),COUNTIF('[1]03_TKB_LOP'!$B$102:$G$109,IF(LEFT(X$4,5)="NHÓM:","NHÓM:*"&amp;MID(X$4,8,50)&amp;"*",X$4&amp;" – *")))</f>
        <v>4</v>
      </c>
      <c r="Y13" s="7">
        <f>IF(Y$4="HĐTN",COUNTIF('[1]03_TKB_LOP'!$B$102:$G$109,"HĐTN*")+COUNTIF('[1]03_TKB_LOP'!$B$102:$G$109,"Chào cờ/HĐTN*"),COUNTIF('[1]03_TKB_LOP'!$B$102:$G$109,IF(LEFT(Y$4,5)="NHÓM:","NHÓM:*"&amp;MID(Y$4,8,50)&amp;"*",Y$4&amp;" – *")))</f>
        <v>6</v>
      </c>
      <c r="Z13" s="7">
        <f>IF(Z$4="HĐTN",COUNTIF('[1]03_TKB_LOP'!$B$102:$G$109,"HĐTN*")+COUNTIF('[1]03_TKB_LOP'!$B$102:$G$109,"Chào cờ/HĐTN*"),COUNTIF('[1]03_TKB_LOP'!$B$102:$G$109,IF(LEFT(Z$4,5)="NHÓM:","NHÓM:*"&amp;MID(Z$4,8,50)&amp;"*",Z$4&amp;" – *")))</f>
        <v>4</v>
      </c>
      <c r="AA13" s="7">
        <f>IF(AA$4="HĐTN",COUNTIF('[1]03_TKB_LOP'!$B$102:$G$109,"HĐTN*")+COUNTIF('[1]03_TKB_LOP'!$B$102:$G$109,"Chào cờ/HĐTN*"),COUNTIF('[1]03_TKB_LOP'!$B$102:$G$109,IF(LEFT(AA$4,5)="NHÓM:","NHÓM:*"&amp;MID(AA$4,8,50)&amp;"*",AA$4&amp;" – *")))</f>
        <v>2</v>
      </c>
      <c r="AB13" s="7">
        <f>IF(AB$4="HĐTN",COUNTIF('[1]03_TKB_LOP'!$B$102:$G$109,"HĐTN*")+COUNTIF('[1]03_TKB_LOP'!$B$102:$G$109,"Chào cờ/HĐTN*"),COUNTIF('[1]03_TKB_LOP'!$B$102:$G$109,IF(LEFT(AB$4,5)="NHÓM:","NHÓM:*"&amp;MID(AB$4,8,50)&amp;"*",AB$4&amp;" – *")))</f>
        <v>0</v>
      </c>
    </row>
    <row r="14" spans="1:28" x14ac:dyDescent="0.2">
      <c r="A14" s="5" t="str">
        <f>TRIM(MID('[1]03_TKB_LOP'!$A$112,4,FIND("|",'[1]03_TKB_LOP'!$A$112)-4))</f>
        <v>10A10</v>
      </c>
      <c r="B14" s="6" t="str">
        <f>TRIM(MID('[1]03_TKB_LOP'!$A$112,FIND("GVCN:",'[1]03_TKB_LOP'!$A$112)+5,FIND("|",'[1]03_TKB_LOP'!$A$112,FIND("GVCN:",'[1]03_TKB_LOP'!$A$112))-FIND("GVCN:",'[1]03_TKB_LOP'!$A$112)-5))</f>
        <v>LƯU BÍCH HOÀI THÊM</v>
      </c>
      <c r="C14" s="7">
        <f>IF(C$4="HĐTN",COUNTIF('[1]03_TKB_LOP'!$B$114:$G$121,"HĐTN*")+COUNTIF('[1]03_TKB_LOP'!$B$114:$G$121,"Chào cờ/HĐTN*"),COUNTIF('[1]03_TKB_LOP'!$B$114:$G$121,IF(LEFT(C$4,5)="NHÓM:","NHÓM:*"&amp;MID(C$4,8,50)&amp;"*",C$4&amp;" – *")))</f>
        <v>3</v>
      </c>
      <c r="D14" s="7">
        <f>IF(D$4="HĐTN",COUNTIF('[1]03_TKB_LOP'!$B$114:$G$121,"HĐTN*")+COUNTIF('[1]03_TKB_LOP'!$B$114:$G$121,"Chào cờ/HĐTN*"),COUNTIF('[1]03_TKB_LOP'!$B$114:$G$121,IF(LEFT(D$4,5)="NHÓM:","NHÓM:*"&amp;MID(D$4,8,50)&amp;"*",D$4&amp;" – *")))</f>
        <v>3</v>
      </c>
      <c r="E14" s="7">
        <f>IF(E$4="HĐTN",COUNTIF('[1]03_TKB_LOP'!$B$114:$G$121,"HĐTN*")+COUNTIF('[1]03_TKB_LOP'!$B$114:$G$121,"Chào cờ/HĐTN*"),COUNTIF('[1]03_TKB_LOP'!$B$114:$G$121,IF(LEFT(E$4,5)="NHÓM:","NHÓM:*"&amp;MID(E$4,8,50)&amp;"*",E$4&amp;" – *")))</f>
        <v>3</v>
      </c>
      <c r="F14" s="7">
        <f>IF(F$4="HĐTN",COUNTIF('[1]03_TKB_LOP'!$B$114:$G$121,"HĐTN*")+COUNTIF('[1]03_TKB_LOP'!$B$114:$G$121,"Chào cờ/HĐTN*"),COUNTIF('[1]03_TKB_LOP'!$B$114:$G$121,IF(LEFT(F$4,5)="NHÓM:","NHÓM:*"&amp;MID(F$4,8,50)&amp;"*",F$4&amp;" – *")))</f>
        <v>3</v>
      </c>
      <c r="G14" s="7">
        <f>IF(G$4="HĐTN",COUNTIF('[1]03_TKB_LOP'!$B$114:$G$121,"HĐTN*")+COUNTIF('[1]03_TKB_LOP'!$B$114:$G$121,"Chào cờ/HĐTN*"),COUNTIF('[1]03_TKB_LOP'!$B$114:$G$121,IF(LEFT(G$4,5)="NHÓM:","NHÓM:*"&amp;MID(G$4,8,50)&amp;"*",G$4&amp;" – *")))</f>
        <v>2</v>
      </c>
      <c r="H14" s="7">
        <f>IF(H$4="HĐTN",COUNTIF('[1]03_TKB_LOP'!$B$114:$G$121,"HĐTN*")+COUNTIF('[1]03_TKB_LOP'!$B$114:$G$121,"Chào cờ/HĐTN*"),COUNTIF('[1]03_TKB_LOP'!$B$114:$G$121,IF(LEFT(H$4,5)="NHÓM:","NHÓM:*"&amp;MID(H$4,8,50)&amp;"*",H$4&amp;" – *")))</f>
        <v>0</v>
      </c>
      <c r="I14" s="7">
        <f>IF(I$4="HĐTN",COUNTIF('[1]03_TKB_LOP'!$B$114:$G$121,"HĐTN*")+COUNTIF('[1]03_TKB_LOP'!$B$114:$G$121,"Chào cờ/HĐTN*"),COUNTIF('[1]03_TKB_LOP'!$B$114:$G$121,IF(LEFT(I$4,5)="NHÓM:","NHÓM:*"&amp;MID(I$4,8,50)&amp;"*",I$4&amp;" – *")))</f>
        <v>0</v>
      </c>
      <c r="J14" s="7">
        <f>IF(J$4="HĐTN",COUNTIF('[1]03_TKB_LOP'!$B$114:$G$121,"HĐTN*")+COUNTIF('[1]03_TKB_LOP'!$B$114:$G$121,"Chào cờ/HĐTN*"),COUNTIF('[1]03_TKB_LOP'!$B$114:$G$121,IF(LEFT(J$4,5)="NHÓM:","NHÓM:*"&amp;MID(J$4,8,50)&amp;"*",J$4&amp;" – *")))</f>
        <v>2</v>
      </c>
      <c r="K14" s="7">
        <f>IF(K$4="HĐTN",COUNTIF('[1]03_TKB_LOP'!$B$114:$G$121,"HĐTN*")+COUNTIF('[1]03_TKB_LOP'!$B$114:$G$121,"Chào cờ/HĐTN*"),COUNTIF('[1]03_TKB_LOP'!$B$114:$G$121,IF(LEFT(K$4,5)="NHÓM:","NHÓM:*"&amp;MID(K$4,8,50)&amp;"*",K$4&amp;" – *")))</f>
        <v>2</v>
      </c>
      <c r="L14" s="7">
        <f>IF(L$4="HĐTN",COUNTIF('[1]03_TKB_LOP'!$B$114:$G$121,"HĐTN*")+COUNTIF('[1]03_TKB_LOP'!$B$114:$G$121,"Chào cờ/HĐTN*"),COUNTIF('[1]03_TKB_LOP'!$B$114:$G$121,IF(LEFT(L$4,5)="NHÓM:","NHÓM:*"&amp;MID(L$4,8,50)&amp;"*",L$4&amp;" – *")))</f>
        <v>2</v>
      </c>
      <c r="M14" s="7">
        <f>IF(M$4="HĐTN",COUNTIF('[1]03_TKB_LOP'!$B$114:$G$121,"HĐTN*")+COUNTIF('[1]03_TKB_LOP'!$B$114:$G$121,"Chào cờ/HĐTN*"),COUNTIF('[1]03_TKB_LOP'!$B$114:$G$121,IF(LEFT(M$4,5)="NHÓM:","NHÓM:*"&amp;MID(M$4,8,50)&amp;"*",M$4&amp;" – *")))</f>
        <v>2</v>
      </c>
      <c r="N14" s="7">
        <f>IF(N$4="HĐTN",COUNTIF('[1]03_TKB_LOP'!$B$114:$G$121,"HĐTN*")+COUNTIF('[1]03_TKB_LOP'!$B$114:$G$121,"Chào cờ/HĐTN*"),COUNTIF('[1]03_TKB_LOP'!$B$114:$G$121,IF(LEFT(N$4,5)="NHÓM:","NHÓM:*"&amp;MID(N$4,8,50)&amp;"*",N$4&amp;" – *")))</f>
        <v>0</v>
      </c>
      <c r="O14" s="7">
        <f>IF(O$4="HĐTN",COUNTIF('[1]03_TKB_LOP'!$B$114:$G$121,"HĐTN*")+COUNTIF('[1]03_TKB_LOP'!$B$114:$G$121,"Chào cờ/HĐTN*"),COUNTIF('[1]03_TKB_LOP'!$B$114:$G$121,IF(LEFT(O$4,5)="NHÓM:","NHÓM:*"&amp;MID(O$4,8,50)&amp;"*",O$4&amp;" – *")))</f>
        <v>1</v>
      </c>
      <c r="P14" s="7">
        <f>IF(P$4="HĐTN",COUNTIF('[1]03_TKB_LOP'!$B$114:$G$121,"HĐTN*")+COUNTIF('[1]03_TKB_LOP'!$B$114:$G$121,"Chào cờ/HĐTN*"),COUNTIF('[1]03_TKB_LOP'!$B$114:$G$121,IF(LEFT(P$4,5)="NHÓM:","NHÓM:*"&amp;MID(P$4,8,50)&amp;"*",P$4&amp;" – *")))</f>
        <v>1</v>
      </c>
      <c r="Q14" s="7">
        <f>IF(Q$4="HĐTN",COUNTIF('[1]03_TKB_LOP'!$B$114:$G$121,"HĐTN*")+COUNTIF('[1]03_TKB_LOP'!$B$114:$G$121,"Chào cờ/HĐTN*"),COUNTIF('[1]03_TKB_LOP'!$B$114:$G$121,IF(LEFT(Q$4,5)="NHÓM:","NHÓM:*"&amp;MID(Q$4,8,50)&amp;"*",Q$4&amp;" – *")))</f>
        <v>0</v>
      </c>
      <c r="R14" s="7">
        <f>IF(R$4="HĐTN",COUNTIF('[1]03_TKB_LOP'!$B$114:$G$121,"HĐTN*")+COUNTIF('[1]03_TKB_LOP'!$B$114:$G$121,"Chào cờ/HĐTN*"),COUNTIF('[1]03_TKB_LOP'!$B$114:$G$121,IF(LEFT(R$4,5)="NHÓM:","NHÓM:*"&amp;MID(R$4,8,50)&amp;"*",R$4&amp;" – *")))</f>
        <v>1</v>
      </c>
      <c r="S14" s="7">
        <f>IF(S$4="HĐTN",COUNTIF('[1]03_TKB_LOP'!$B$114:$G$121,"HĐTN*")+COUNTIF('[1]03_TKB_LOP'!$B$114:$G$121,"Chào cờ/HĐTN*"),COUNTIF('[1]03_TKB_LOP'!$B$114:$G$121,IF(LEFT(S$4,5)="NHÓM:","NHÓM:*"&amp;MID(S$4,8,50)&amp;"*",S$4&amp;" – *")))</f>
        <v>0</v>
      </c>
      <c r="T14" s="7">
        <f>IF(T$4="HĐTN",COUNTIF('[1]03_TKB_LOP'!$B$114:$G$121,"HĐTN*")+COUNTIF('[1]03_TKB_LOP'!$B$114:$G$121,"Chào cờ/HĐTN*"),COUNTIF('[1]03_TKB_LOP'!$B$114:$G$121,IF(LEFT(T$4,5)="NHÓM:","NHÓM:*"&amp;MID(T$4,8,50)&amp;"*",T$4&amp;" – *")))</f>
        <v>0</v>
      </c>
      <c r="U14" s="7">
        <f>IF(U$4="HĐTN",COUNTIF('[1]03_TKB_LOP'!$B$114:$G$121,"HĐTN*")+COUNTIF('[1]03_TKB_LOP'!$B$114:$G$121,"Chào cờ/HĐTN*"),COUNTIF('[1]03_TKB_LOP'!$B$114:$G$121,IF(LEFT(U$4,5)="NHÓM:","NHÓM:*"&amp;MID(U$4,8,50)&amp;"*",U$4&amp;" – *")))</f>
        <v>0</v>
      </c>
      <c r="V14" s="7">
        <f>IF(V$4="HĐTN",COUNTIF('[1]03_TKB_LOP'!$B$114:$G$121,"HĐTN*")+COUNTIF('[1]03_TKB_LOP'!$B$114:$G$121,"Chào cờ/HĐTN*"),COUNTIF('[1]03_TKB_LOP'!$B$114:$G$121,IF(LEFT(V$4,5)="NHÓM:","NHÓM:*"&amp;MID(V$4,8,50)&amp;"*",V$4&amp;" – *")))</f>
        <v>1</v>
      </c>
      <c r="W14" s="7">
        <f>IF(W$4="HĐTN",COUNTIF('[1]03_TKB_LOP'!$B$114:$G$121,"HĐTN*")+COUNTIF('[1]03_TKB_LOP'!$B$114:$G$121,"Chào cờ/HĐTN*"),COUNTIF('[1]03_TKB_LOP'!$B$114:$G$121,IF(LEFT(W$4,5)="NHÓM:","NHÓM:*"&amp;MID(W$4,8,50)&amp;"*",W$4&amp;" – *")))</f>
        <v>1</v>
      </c>
      <c r="X14" s="7">
        <f>IF(X$4="HĐTN",COUNTIF('[1]03_TKB_LOP'!$B$114:$G$121,"HĐTN*")+COUNTIF('[1]03_TKB_LOP'!$B$114:$G$121,"Chào cờ/HĐTN*"),COUNTIF('[1]03_TKB_LOP'!$B$114:$G$121,IF(LEFT(X$4,5)="NHÓM:","NHÓM:*"&amp;MID(X$4,8,50)&amp;"*",X$4&amp;" – *")))</f>
        <v>4</v>
      </c>
      <c r="Y14" s="7">
        <f>IF(Y$4="HĐTN",COUNTIF('[1]03_TKB_LOP'!$B$114:$G$121,"HĐTN*")+COUNTIF('[1]03_TKB_LOP'!$B$114:$G$121,"Chào cờ/HĐTN*"),COUNTIF('[1]03_TKB_LOP'!$B$114:$G$121,IF(LEFT(Y$4,5)="NHÓM:","NHÓM:*"&amp;MID(Y$4,8,50)&amp;"*",Y$4&amp;" – *")))</f>
        <v>2</v>
      </c>
      <c r="Z14" s="7">
        <f>IF(Z$4="HĐTN",COUNTIF('[1]03_TKB_LOP'!$B$114:$G$121,"HĐTN*")+COUNTIF('[1]03_TKB_LOP'!$B$114:$G$121,"Chào cờ/HĐTN*"),COUNTIF('[1]03_TKB_LOP'!$B$114:$G$121,IF(LEFT(Z$4,5)="NHÓM:","NHÓM:*"&amp;MID(Z$4,8,50)&amp;"*",Z$4&amp;" – *")))</f>
        <v>4</v>
      </c>
      <c r="AA14" s="7">
        <f>IF(AA$4="HĐTN",COUNTIF('[1]03_TKB_LOP'!$B$114:$G$121,"HĐTN*")+COUNTIF('[1]03_TKB_LOP'!$B$114:$G$121,"Chào cờ/HĐTN*"),COUNTIF('[1]03_TKB_LOP'!$B$114:$G$121,IF(LEFT(AA$4,5)="NHÓM:","NHÓM:*"&amp;MID(AA$4,8,50)&amp;"*",AA$4&amp;" – *")))</f>
        <v>4</v>
      </c>
      <c r="AB14" s="7">
        <f>IF(AB$4="HĐTN",COUNTIF('[1]03_TKB_LOP'!$B$114:$G$121,"HĐTN*")+COUNTIF('[1]03_TKB_LOP'!$B$114:$G$121,"Chào cờ/HĐTN*"),COUNTIF('[1]03_TKB_LOP'!$B$114:$G$121,IF(LEFT(AB$4,5)="NHÓM:","NHÓM:*"&amp;MID(AB$4,8,50)&amp;"*",AB$4&amp;" – *")))</f>
        <v>0</v>
      </c>
    </row>
    <row r="15" spans="1:28" x14ac:dyDescent="0.2">
      <c r="A15" s="5" t="str">
        <f>TRIM(MID('[1]03_TKB_LOP'!$A$124,4,FIND("|",'[1]03_TKB_LOP'!$A$124)-4))</f>
        <v>10A11</v>
      </c>
      <c r="B15" s="6" t="str">
        <f>TRIM(MID('[1]03_TKB_LOP'!$A$124,FIND("GVCN:",'[1]03_TKB_LOP'!$A$124)+5,FIND("|",'[1]03_TKB_LOP'!$A$124,FIND("GVCN:",'[1]03_TKB_LOP'!$A$124))-FIND("GVCN:",'[1]03_TKB_LOP'!$A$124)-5))</f>
        <v>TRƯƠNG THU TRANG</v>
      </c>
      <c r="C15" s="7">
        <f>IF(C$4="HĐTN",COUNTIF('[1]03_TKB_LOP'!$B$126:$G$133,"HĐTN*")+COUNTIF('[1]03_TKB_LOP'!$B$126:$G$133,"Chào cờ/HĐTN*"),COUNTIF('[1]03_TKB_LOP'!$B$126:$G$133,IF(LEFT(C$4,5)="NHÓM:","NHÓM:*"&amp;MID(C$4,8,50)&amp;"*",C$4&amp;" – *")))</f>
        <v>3</v>
      </c>
      <c r="D15" s="7">
        <f>IF(D$4="HĐTN",COUNTIF('[1]03_TKB_LOP'!$B$126:$G$133,"HĐTN*")+COUNTIF('[1]03_TKB_LOP'!$B$126:$G$133,"Chào cờ/HĐTN*"),COUNTIF('[1]03_TKB_LOP'!$B$126:$G$133,IF(LEFT(D$4,5)="NHÓM:","NHÓM:*"&amp;MID(D$4,8,50)&amp;"*",D$4&amp;" – *")))</f>
        <v>3</v>
      </c>
      <c r="E15" s="7">
        <f>IF(E$4="HĐTN",COUNTIF('[1]03_TKB_LOP'!$B$126:$G$133,"HĐTN*")+COUNTIF('[1]03_TKB_LOP'!$B$126:$G$133,"Chào cờ/HĐTN*"),COUNTIF('[1]03_TKB_LOP'!$B$126:$G$133,IF(LEFT(E$4,5)="NHÓM:","NHÓM:*"&amp;MID(E$4,8,50)&amp;"*",E$4&amp;" – *")))</f>
        <v>3</v>
      </c>
      <c r="F15" s="7">
        <f>IF(F$4="HĐTN",COUNTIF('[1]03_TKB_LOP'!$B$126:$G$133,"HĐTN*")+COUNTIF('[1]03_TKB_LOP'!$B$126:$G$133,"Chào cờ/HĐTN*"),COUNTIF('[1]03_TKB_LOP'!$B$126:$G$133,IF(LEFT(F$4,5)="NHÓM:","NHÓM:*"&amp;MID(F$4,8,50)&amp;"*",F$4&amp;" – *")))</f>
        <v>3</v>
      </c>
      <c r="G15" s="7">
        <f>IF(G$4="HĐTN",COUNTIF('[1]03_TKB_LOP'!$B$126:$G$133,"HĐTN*")+COUNTIF('[1]03_TKB_LOP'!$B$126:$G$133,"Chào cờ/HĐTN*"),COUNTIF('[1]03_TKB_LOP'!$B$126:$G$133,IF(LEFT(G$4,5)="NHÓM:","NHÓM:*"&amp;MID(G$4,8,50)&amp;"*",G$4&amp;" – *")))</f>
        <v>2</v>
      </c>
      <c r="H15" s="7">
        <f>IF(H$4="HĐTN",COUNTIF('[1]03_TKB_LOP'!$B$126:$G$133,"HĐTN*")+COUNTIF('[1]03_TKB_LOP'!$B$126:$G$133,"Chào cờ/HĐTN*"),COUNTIF('[1]03_TKB_LOP'!$B$126:$G$133,IF(LEFT(H$4,5)="NHÓM:","NHÓM:*"&amp;MID(H$4,8,50)&amp;"*",H$4&amp;" – *")))</f>
        <v>0</v>
      </c>
      <c r="I15" s="7">
        <f>IF(I$4="HĐTN",COUNTIF('[1]03_TKB_LOP'!$B$126:$G$133,"HĐTN*")+COUNTIF('[1]03_TKB_LOP'!$B$126:$G$133,"Chào cờ/HĐTN*"),COUNTIF('[1]03_TKB_LOP'!$B$126:$G$133,IF(LEFT(I$4,5)="NHÓM:","NHÓM:*"&amp;MID(I$4,8,50)&amp;"*",I$4&amp;" – *")))</f>
        <v>0</v>
      </c>
      <c r="J15" s="7">
        <f>IF(J$4="HĐTN",COUNTIF('[1]03_TKB_LOP'!$B$126:$G$133,"HĐTN*")+COUNTIF('[1]03_TKB_LOP'!$B$126:$G$133,"Chào cờ/HĐTN*"),COUNTIF('[1]03_TKB_LOP'!$B$126:$G$133,IF(LEFT(J$4,5)="NHÓM:","NHÓM:*"&amp;MID(J$4,8,50)&amp;"*",J$4&amp;" – *")))</f>
        <v>2</v>
      </c>
      <c r="K15" s="7">
        <f>IF(K$4="HĐTN",COUNTIF('[1]03_TKB_LOP'!$B$126:$G$133,"HĐTN*")+COUNTIF('[1]03_TKB_LOP'!$B$126:$G$133,"Chào cờ/HĐTN*"),COUNTIF('[1]03_TKB_LOP'!$B$126:$G$133,IF(LEFT(K$4,5)="NHÓM:","NHÓM:*"&amp;MID(K$4,8,50)&amp;"*",K$4&amp;" – *")))</f>
        <v>2</v>
      </c>
      <c r="L15" s="7">
        <f>IF(L$4="HĐTN",COUNTIF('[1]03_TKB_LOP'!$B$126:$G$133,"HĐTN*")+COUNTIF('[1]03_TKB_LOP'!$B$126:$G$133,"Chào cờ/HĐTN*"),COUNTIF('[1]03_TKB_LOP'!$B$126:$G$133,IF(LEFT(L$4,5)="NHÓM:","NHÓM:*"&amp;MID(L$4,8,50)&amp;"*",L$4&amp;" – *")))</f>
        <v>2</v>
      </c>
      <c r="M15" s="7">
        <f>IF(M$4="HĐTN",COUNTIF('[1]03_TKB_LOP'!$B$126:$G$133,"HĐTN*")+COUNTIF('[1]03_TKB_LOP'!$B$126:$G$133,"Chào cờ/HĐTN*"),COUNTIF('[1]03_TKB_LOP'!$B$126:$G$133,IF(LEFT(M$4,5)="NHÓM:","NHÓM:*"&amp;MID(M$4,8,50)&amp;"*",M$4&amp;" – *")))</f>
        <v>2</v>
      </c>
      <c r="N15" s="7">
        <f>IF(N$4="HĐTN",COUNTIF('[1]03_TKB_LOP'!$B$126:$G$133,"HĐTN*")+COUNTIF('[1]03_TKB_LOP'!$B$126:$G$133,"Chào cờ/HĐTN*"),COUNTIF('[1]03_TKB_LOP'!$B$126:$G$133,IF(LEFT(N$4,5)="NHÓM:","NHÓM:*"&amp;MID(N$4,8,50)&amp;"*",N$4&amp;" – *")))</f>
        <v>0</v>
      </c>
      <c r="O15" s="7">
        <f>IF(O$4="HĐTN",COUNTIF('[1]03_TKB_LOP'!$B$126:$G$133,"HĐTN*")+COUNTIF('[1]03_TKB_LOP'!$B$126:$G$133,"Chào cờ/HĐTN*"),COUNTIF('[1]03_TKB_LOP'!$B$126:$G$133,IF(LEFT(O$4,5)="NHÓM:","NHÓM:*"&amp;MID(O$4,8,50)&amp;"*",O$4&amp;" – *")))</f>
        <v>1</v>
      </c>
      <c r="P15" s="7">
        <f>IF(P$4="HĐTN",COUNTIF('[1]03_TKB_LOP'!$B$126:$G$133,"HĐTN*")+COUNTIF('[1]03_TKB_LOP'!$B$126:$G$133,"Chào cờ/HĐTN*"),COUNTIF('[1]03_TKB_LOP'!$B$126:$G$133,IF(LEFT(P$4,5)="NHÓM:","NHÓM:*"&amp;MID(P$4,8,50)&amp;"*",P$4&amp;" – *")))</f>
        <v>1</v>
      </c>
      <c r="Q15" s="7">
        <f>IF(Q$4="HĐTN",COUNTIF('[1]03_TKB_LOP'!$B$126:$G$133,"HĐTN*")+COUNTIF('[1]03_TKB_LOP'!$B$126:$G$133,"Chào cờ/HĐTN*"),COUNTIF('[1]03_TKB_LOP'!$B$126:$G$133,IF(LEFT(Q$4,5)="NHÓM:","NHÓM:*"&amp;MID(Q$4,8,50)&amp;"*",Q$4&amp;" – *")))</f>
        <v>0</v>
      </c>
      <c r="R15" s="7">
        <f>IF(R$4="HĐTN",COUNTIF('[1]03_TKB_LOP'!$B$126:$G$133,"HĐTN*")+COUNTIF('[1]03_TKB_LOP'!$B$126:$G$133,"Chào cờ/HĐTN*"),COUNTIF('[1]03_TKB_LOP'!$B$126:$G$133,IF(LEFT(R$4,5)="NHÓM:","NHÓM:*"&amp;MID(R$4,8,50)&amp;"*",R$4&amp;" – *")))</f>
        <v>1</v>
      </c>
      <c r="S15" s="7">
        <f>IF(S$4="HĐTN",COUNTIF('[1]03_TKB_LOP'!$B$126:$G$133,"HĐTN*")+COUNTIF('[1]03_TKB_LOP'!$B$126:$G$133,"Chào cờ/HĐTN*"),COUNTIF('[1]03_TKB_LOP'!$B$126:$G$133,IF(LEFT(S$4,5)="NHÓM:","NHÓM:*"&amp;MID(S$4,8,50)&amp;"*",S$4&amp;" – *")))</f>
        <v>0</v>
      </c>
      <c r="T15" s="7">
        <f>IF(T$4="HĐTN",COUNTIF('[1]03_TKB_LOP'!$B$126:$G$133,"HĐTN*")+COUNTIF('[1]03_TKB_LOP'!$B$126:$G$133,"Chào cờ/HĐTN*"),COUNTIF('[1]03_TKB_LOP'!$B$126:$G$133,IF(LEFT(T$4,5)="NHÓM:","NHÓM:*"&amp;MID(T$4,8,50)&amp;"*",T$4&amp;" – *")))</f>
        <v>0</v>
      </c>
      <c r="U15" s="7">
        <f>IF(U$4="HĐTN",COUNTIF('[1]03_TKB_LOP'!$B$126:$G$133,"HĐTN*")+COUNTIF('[1]03_TKB_LOP'!$B$126:$G$133,"Chào cờ/HĐTN*"),COUNTIF('[1]03_TKB_LOP'!$B$126:$G$133,IF(LEFT(U$4,5)="NHÓM:","NHÓM:*"&amp;MID(U$4,8,50)&amp;"*",U$4&amp;" – *")))</f>
        <v>0</v>
      </c>
      <c r="V15" s="7">
        <f>IF(V$4="HĐTN",COUNTIF('[1]03_TKB_LOP'!$B$126:$G$133,"HĐTN*")+COUNTIF('[1]03_TKB_LOP'!$B$126:$G$133,"Chào cờ/HĐTN*"),COUNTIF('[1]03_TKB_LOP'!$B$126:$G$133,IF(LEFT(V$4,5)="NHÓM:","NHÓM:*"&amp;MID(V$4,8,50)&amp;"*",V$4&amp;" – *")))</f>
        <v>1</v>
      </c>
      <c r="W15" s="7">
        <f>IF(W$4="HĐTN",COUNTIF('[1]03_TKB_LOP'!$B$126:$G$133,"HĐTN*")+COUNTIF('[1]03_TKB_LOP'!$B$126:$G$133,"Chào cờ/HĐTN*"),COUNTIF('[1]03_TKB_LOP'!$B$126:$G$133,IF(LEFT(W$4,5)="NHÓM:","NHÓM:*"&amp;MID(W$4,8,50)&amp;"*",W$4&amp;" – *")))</f>
        <v>1</v>
      </c>
      <c r="X15" s="7">
        <f>IF(X$4="HĐTN",COUNTIF('[1]03_TKB_LOP'!$B$126:$G$133,"HĐTN*")+COUNTIF('[1]03_TKB_LOP'!$B$126:$G$133,"Chào cờ/HĐTN*"),COUNTIF('[1]03_TKB_LOP'!$B$126:$G$133,IF(LEFT(X$4,5)="NHÓM:","NHÓM:*"&amp;MID(X$4,8,50)&amp;"*",X$4&amp;" – *")))</f>
        <v>6</v>
      </c>
      <c r="Y15" s="7">
        <f>IF(Y$4="HĐTN",COUNTIF('[1]03_TKB_LOP'!$B$126:$G$133,"HĐTN*")+COUNTIF('[1]03_TKB_LOP'!$B$126:$G$133,"Chào cờ/HĐTN*"),COUNTIF('[1]03_TKB_LOP'!$B$126:$G$133,IF(LEFT(Y$4,5)="NHÓM:","NHÓM:*"&amp;MID(Y$4,8,50)&amp;"*",Y$4&amp;" – *")))</f>
        <v>4</v>
      </c>
      <c r="Z15" s="7">
        <f>IF(Z$4="HĐTN",COUNTIF('[1]03_TKB_LOP'!$B$126:$G$133,"HĐTN*")+COUNTIF('[1]03_TKB_LOP'!$B$126:$G$133,"Chào cờ/HĐTN*"),COUNTIF('[1]03_TKB_LOP'!$B$126:$G$133,IF(LEFT(Z$4,5)="NHÓM:","NHÓM:*"&amp;MID(Z$4,8,50)&amp;"*",Z$4&amp;" – *")))</f>
        <v>2</v>
      </c>
      <c r="AA15" s="7">
        <f>IF(AA$4="HĐTN",COUNTIF('[1]03_TKB_LOP'!$B$126:$G$133,"HĐTN*")+COUNTIF('[1]03_TKB_LOP'!$B$126:$G$133,"Chào cờ/HĐTN*"),COUNTIF('[1]03_TKB_LOP'!$B$126:$G$133,IF(LEFT(AA$4,5)="NHÓM:","NHÓM:*"&amp;MID(AA$4,8,50)&amp;"*",AA$4&amp;" – *")))</f>
        <v>2</v>
      </c>
      <c r="AB15" s="7">
        <f>IF(AB$4="HĐTN",COUNTIF('[1]03_TKB_LOP'!$B$126:$G$133,"HĐTN*")+COUNTIF('[1]03_TKB_LOP'!$B$126:$G$133,"Chào cờ/HĐTN*"),COUNTIF('[1]03_TKB_LOP'!$B$126:$G$133,IF(LEFT(AB$4,5)="NHÓM:","NHÓM:*"&amp;MID(AB$4,8,50)&amp;"*",AB$4&amp;" – *")))</f>
        <v>0</v>
      </c>
    </row>
    <row r="16" spans="1:28" x14ac:dyDescent="0.2">
      <c r="A16" s="5" t="str">
        <f>TRIM(MID('[1]03_TKB_LOP'!$A$136,4,FIND("|",'[1]03_TKB_LOP'!$A$136)-4))</f>
        <v>10A12</v>
      </c>
      <c r="B16" s="6" t="str">
        <f>TRIM(MID('[1]03_TKB_LOP'!$A$136,FIND("GVCN:",'[1]03_TKB_LOP'!$A$136)+5,FIND("|",'[1]03_TKB_LOP'!$A$136,FIND("GVCN:",'[1]03_TKB_LOP'!$A$136))-FIND("GVCN:",'[1]03_TKB_LOP'!$A$136)-5))</f>
        <v>NGUYỄN THỊ XUÂN HƯƠNG</v>
      </c>
      <c r="C16" s="7">
        <f>IF(C$4="HĐTN",COUNTIF('[1]03_TKB_LOP'!$B$138:$G$145,"HĐTN*")+COUNTIF('[1]03_TKB_LOP'!$B$138:$G$145,"Chào cờ/HĐTN*"),COUNTIF('[1]03_TKB_LOP'!$B$138:$G$145,IF(LEFT(C$4,5)="NHÓM:","NHÓM:*"&amp;MID(C$4,8,50)&amp;"*",C$4&amp;" – *")))</f>
        <v>3</v>
      </c>
      <c r="D16" s="7">
        <f>IF(D$4="HĐTN",COUNTIF('[1]03_TKB_LOP'!$B$138:$G$145,"HĐTN*")+COUNTIF('[1]03_TKB_LOP'!$B$138:$G$145,"Chào cờ/HĐTN*"),COUNTIF('[1]03_TKB_LOP'!$B$138:$G$145,IF(LEFT(D$4,5)="NHÓM:","NHÓM:*"&amp;MID(D$4,8,50)&amp;"*",D$4&amp;" – *")))</f>
        <v>3</v>
      </c>
      <c r="E16" s="7">
        <f>IF(E$4="HĐTN",COUNTIF('[1]03_TKB_LOP'!$B$138:$G$145,"HĐTN*")+COUNTIF('[1]03_TKB_LOP'!$B$138:$G$145,"Chào cờ/HĐTN*"),COUNTIF('[1]03_TKB_LOP'!$B$138:$G$145,IF(LEFT(E$4,5)="NHÓM:","NHÓM:*"&amp;MID(E$4,8,50)&amp;"*",E$4&amp;" – *")))</f>
        <v>3</v>
      </c>
      <c r="F16" s="7">
        <f>IF(F$4="HĐTN",COUNTIF('[1]03_TKB_LOP'!$B$138:$G$145,"HĐTN*")+COUNTIF('[1]03_TKB_LOP'!$B$138:$G$145,"Chào cờ/HĐTN*"),COUNTIF('[1]03_TKB_LOP'!$B$138:$G$145,IF(LEFT(F$4,5)="NHÓM:","NHÓM:*"&amp;MID(F$4,8,50)&amp;"*",F$4&amp;" – *")))</f>
        <v>3</v>
      </c>
      <c r="G16" s="7">
        <f>IF(G$4="HĐTN",COUNTIF('[1]03_TKB_LOP'!$B$138:$G$145,"HĐTN*")+COUNTIF('[1]03_TKB_LOP'!$B$138:$G$145,"Chào cờ/HĐTN*"),COUNTIF('[1]03_TKB_LOP'!$B$138:$G$145,IF(LEFT(G$4,5)="NHÓM:","NHÓM:*"&amp;MID(G$4,8,50)&amp;"*",G$4&amp;" – *")))</f>
        <v>2</v>
      </c>
      <c r="H16" s="7">
        <f>IF(H$4="HĐTN",COUNTIF('[1]03_TKB_LOP'!$B$138:$G$145,"HĐTN*")+COUNTIF('[1]03_TKB_LOP'!$B$138:$G$145,"Chào cờ/HĐTN*"),COUNTIF('[1]03_TKB_LOP'!$B$138:$G$145,IF(LEFT(H$4,5)="NHÓM:","NHÓM:*"&amp;MID(H$4,8,50)&amp;"*",H$4&amp;" – *")))</f>
        <v>0</v>
      </c>
      <c r="I16" s="7">
        <f>IF(I$4="HĐTN",COUNTIF('[1]03_TKB_LOP'!$B$138:$G$145,"HĐTN*")+COUNTIF('[1]03_TKB_LOP'!$B$138:$G$145,"Chào cờ/HĐTN*"),COUNTIF('[1]03_TKB_LOP'!$B$138:$G$145,IF(LEFT(I$4,5)="NHÓM:","NHÓM:*"&amp;MID(I$4,8,50)&amp;"*",I$4&amp;" – *")))</f>
        <v>0</v>
      </c>
      <c r="J16" s="7">
        <f>IF(J$4="HĐTN",COUNTIF('[1]03_TKB_LOP'!$B$138:$G$145,"HĐTN*")+COUNTIF('[1]03_TKB_LOP'!$B$138:$G$145,"Chào cờ/HĐTN*"),COUNTIF('[1]03_TKB_LOP'!$B$138:$G$145,IF(LEFT(J$4,5)="NHÓM:","NHÓM:*"&amp;MID(J$4,8,50)&amp;"*",J$4&amp;" – *")))</f>
        <v>2</v>
      </c>
      <c r="K16" s="7">
        <f>IF(K$4="HĐTN",COUNTIF('[1]03_TKB_LOP'!$B$138:$G$145,"HĐTN*")+COUNTIF('[1]03_TKB_LOP'!$B$138:$G$145,"Chào cờ/HĐTN*"),COUNTIF('[1]03_TKB_LOP'!$B$138:$G$145,IF(LEFT(K$4,5)="NHÓM:","NHÓM:*"&amp;MID(K$4,8,50)&amp;"*",K$4&amp;" – *")))</f>
        <v>2</v>
      </c>
      <c r="L16" s="7">
        <f>IF(L$4="HĐTN",COUNTIF('[1]03_TKB_LOP'!$B$138:$G$145,"HĐTN*")+COUNTIF('[1]03_TKB_LOP'!$B$138:$G$145,"Chào cờ/HĐTN*"),COUNTIF('[1]03_TKB_LOP'!$B$138:$G$145,IF(LEFT(L$4,5)="NHÓM:","NHÓM:*"&amp;MID(L$4,8,50)&amp;"*",L$4&amp;" – *")))</f>
        <v>2</v>
      </c>
      <c r="M16" s="7">
        <f>IF(M$4="HĐTN",COUNTIF('[1]03_TKB_LOP'!$B$138:$G$145,"HĐTN*")+COUNTIF('[1]03_TKB_LOP'!$B$138:$G$145,"Chào cờ/HĐTN*"),COUNTIF('[1]03_TKB_LOP'!$B$138:$G$145,IF(LEFT(M$4,5)="NHÓM:","NHÓM:*"&amp;MID(M$4,8,50)&amp;"*",M$4&amp;" – *")))</f>
        <v>2</v>
      </c>
      <c r="N16" s="7">
        <f>IF(N$4="HĐTN",COUNTIF('[1]03_TKB_LOP'!$B$138:$G$145,"HĐTN*")+COUNTIF('[1]03_TKB_LOP'!$B$138:$G$145,"Chào cờ/HĐTN*"),COUNTIF('[1]03_TKB_LOP'!$B$138:$G$145,IF(LEFT(N$4,5)="NHÓM:","NHÓM:*"&amp;MID(N$4,8,50)&amp;"*",N$4&amp;" – *")))</f>
        <v>0</v>
      </c>
      <c r="O16" s="7">
        <f>IF(O$4="HĐTN",COUNTIF('[1]03_TKB_LOP'!$B$138:$G$145,"HĐTN*")+COUNTIF('[1]03_TKB_LOP'!$B$138:$G$145,"Chào cờ/HĐTN*"),COUNTIF('[1]03_TKB_LOP'!$B$138:$G$145,IF(LEFT(O$4,5)="NHÓM:","NHÓM:*"&amp;MID(O$4,8,50)&amp;"*",O$4&amp;" – *")))</f>
        <v>1</v>
      </c>
      <c r="P16" s="7">
        <f>IF(P$4="HĐTN",COUNTIF('[1]03_TKB_LOP'!$B$138:$G$145,"HĐTN*")+COUNTIF('[1]03_TKB_LOP'!$B$138:$G$145,"Chào cờ/HĐTN*"),COUNTIF('[1]03_TKB_LOP'!$B$138:$G$145,IF(LEFT(P$4,5)="NHÓM:","NHÓM:*"&amp;MID(P$4,8,50)&amp;"*",P$4&amp;" – *")))</f>
        <v>1</v>
      </c>
      <c r="Q16" s="7">
        <f>IF(Q$4="HĐTN",COUNTIF('[1]03_TKB_LOP'!$B$138:$G$145,"HĐTN*")+COUNTIF('[1]03_TKB_LOP'!$B$138:$G$145,"Chào cờ/HĐTN*"),COUNTIF('[1]03_TKB_LOP'!$B$138:$G$145,IF(LEFT(Q$4,5)="NHÓM:","NHÓM:*"&amp;MID(Q$4,8,50)&amp;"*",Q$4&amp;" – *")))</f>
        <v>0</v>
      </c>
      <c r="R16" s="7">
        <f>IF(R$4="HĐTN",COUNTIF('[1]03_TKB_LOP'!$B$138:$G$145,"HĐTN*")+COUNTIF('[1]03_TKB_LOP'!$B$138:$G$145,"Chào cờ/HĐTN*"),COUNTIF('[1]03_TKB_LOP'!$B$138:$G$145,IF(LEFT(R$4,5)="NHÓM:","NHÓM:*"&amp;MID(R$4,8,50)&amp;"*",R$4&amp;" – *")))</f>
        <v>1</v>
      </c>
      <c r="S16" s="7">
        <f>IF(S$4="HĐTN",COUNTIF('[1]03_TKB_LOP'!$B$138:$G$145,"HĐTN*")+COUNTIF('[1]03_TKB_LOP'!$B$138:$G$145,"Chào cờ/HĐTN*"),COUNTIF('[1]03_TKB_LOP'!$B$138:$G$145,IF(LEFT(S$4,5)="NHÓM:","NHÓM:*"&amp;MID(S$4,8,50)&amp;"*",S$4&amp;" – *")))</f>
        <v>0</v>
      </c>
      <c r="T16" s="7">
        <f>IF(T$4="HĐTN",COUNTIF('[1]03_TKB_LOP'!$B$138:$G$145,"HĐTN*")+COUNTIF('[1]03_TKB_LOP'!$B$138:$G$145,"Chào cờ/HĐTN*"),COUNTIF('[1]03_TKB_LOP'!$B$138:$G$145,IF(LEFT(T$4,5)="NHÓM:","NHÓM:*"&amp;MID(T$4,8,50)&amp;"*",T$4&amp;" – *")))</f>
        <v>0</v>
      </c>
      <c r="U16" s="7">
        <f>IF(U$4="HĐTN",COUNTIF('[1]03_TKB_LOP'!$B$138:$G$145,"HĐTN*")+COUNTIF('[1]03_TKB_LOP'!$B$138:$G$145,"Chào cờ/HĐTN*"),COUNTIF('[1]03_TKB_LOP'!$B$138:$G$145,IF(LEFT(U$4,5)="NHÓM:","NHÓM:*"&amp;MID(U$4,8,50)&amp;"*",U$4&amp;" – *")))</f>
        <v>0</v>
      </c>
      <c r="V16" s="7">
        <f>IF(V$4="HĐTN",COUNTIF('[1]03_TKB_LOP'!$B$138:$G$145,"HĐTN*")+COUNTIF('[1]03_TKB_LOP'!$B$138:$G$145,"Chào cờ/HĐTN*"),COUNTIF('[1]03_TKB_LOP'!$B$138:$G$145,IF(LEFT(V$4,5)="NHÓM:","NHÓM:*"&amp;MID(V$4,8,50)&amp;"*",V$4&amp;" – *")))</f>
        <v>1</v>
      </c>
      <c r="W16" s="7">
        <f>IF(W$4="HĐTN",COUNTIF('[1]03_TKB_LOP'!$B$138:$G$145,"HĐTN*")+COUNTIF('[1]03_TKB_LOP'!$B$138:$G$145,"Chào cờ/HĐTN*"),COUNTIF('[1]03_TKB_LOP'!$B$138:$G$145,IF(LEFT(W$4,5)="NHÓM:","NHÓM:*"&amp;MID(W$4,8,50)&amp;"*",W$4&amp;" – *")))</f>
        <v>1</v>
      </c>
      <c r="X16" s="7">
        <f>IF(X$4="HĐTN",COUNTIF('[1]03_TKB_LOP'!$B$138:$G$145,"HĐTN*")+COUNTIF('[1]03_TKB_LOP'!$B$138:$G$145,"Chào cờ/HĐTN*"),COUNTIF('[1]03_TKB_LOP'!$B$138:$G$145,IF(LEFT(X$4,5)="NHÓM:","NHÓM:*"&amp;MID(X$4,8,50)&amp;"*",X$4&amp;" – *")))</f>
        <v>4</v>
      </c>
      <c r="Y16" s="7">
        <f>IF(Y$4="HĐTN",COUNTIF('[1]03_TKB_LOP'!$B$138:$G$145,"HĐTN*")+COUNTIF('[1]03_TKB_LOP'!$B$138:$G$145,"Chào cờ/HĐTN*"),COUNTIF('[1]03_TKB_LOP'!$B$138:$G$145,IF(LEFT(Y$4,5)="NHÓM:","NHÓM:*"&amp;MID(Y$4,8,50)&amp;"*",Y$4&amp;" – *")))</f>
        <v>2</v>
      </c>
      <c r="Z16" s="7">
        <f>IF(Z$4="HĐTN",COUNTIF('[1]03_TKB_LOP'!$B$138:$G$145,"HĐTN*")+COUNTIF('[1]03_TKB_LOP'!$B$138:$G$145,"Chào cờ/HĐTN*"),COUNTIF('[1]03_TKB_LOP'!$B$138:$G$145,IF(LEFT(Z$4,5)="NHÓM:","NHÓM:*"&amp;MID(Z$4,8,50)&amp;"*",Z$4&amp;" – *")))</f>
        <v>2</v>
      </c>
      <c r="AA16" s="7">
        <f>IF(AA$4="HĐTN",COUNTIF('[1]03_TKB_LOP'!$B$138:$G$145,"HĐTN*")+COUNTIF('[1]03_TKB_LOP'!$B$138:$G$145,"Chào cờ/HĐTN*"),COUNTIF('[1]03_TKB_LOP'!$B$138:$G$145,IF(LEFT(AA$4,5)="NHÓM:","NHÓM:*"&amp;MID(AA$4,8,50)&amp;"*",AA$4&amp;" – *")))</f>
        <v>4</v>
      </c>
      <c r="AB16" s="7">
        <f>IF(AB$4="HĐTN",COUNTIF('[1]03_TKB_LOP'!$B$138:$G$145,"HĐTN*")+COUNTIF('[1]03_TKB_LOP'!$B$138:$G$145,"Chào cờ/HĐTN*"),COUNTIF('[1]03_TKB_LOP'!$B$138:$G$145,IF(LEFT(AB$4,5)="NHÓM:","NHÓM:*"&amp;MID(AB$4,8,50)&amp;"*",AB$4&amp;" – *")))</f>
        <v>0</v>
      </c>
    </row>
    <row r="17" spans="1:28" x14ac:dyDescent="0.2">
      <c r="A17" s="5" t="str">
        <f>TRIM(MID('[1]03_TKB_LOP'!$A$148,4,FIND("|",'[1]03_TKB_LOP'!$A$148)-4))</f>
        <v>10A13</v>
      </c>
      <c r="B17" s="6" t="str">
        <f>TRIM(MID('[1]03_TKB_LOP'!$A$148,FIND("GVCN:",'[1]03_TKB_LOP'!$A$148)+5,FIND("|",'[1]03_TKB_LOP'!$A$148,FIND("GVCN:",'[1]03_TKB_LOP'!$A$148))-FIND("GVCN:",'[1]03_TKB_LOP'!$A$148)-5))</f>
        <v>VĂN HUỲNH BẢO PHƯƠNG</v>
      </c>
      <c r="C17" s="7">
        <f>IF(C$4="HĐTN",COUNTIF('[1]03_TKB_LOP'!$B$150:$G$157,"HĐTN*")+COUNTIF('[1]03_TKB_LOP'!$B$150:$G$157,"Chào cờ/HĐTN*"),COUNTIF('[1]03_TKB_LOP'!$B$150:$G$157,IF(LEFT(C$4,5)="NHÓM:","NHÓM:*"&amp;MID(C$4,8,50)&amp;"*",C$4&amp;" – *")))</f>
        <v>3</v>
      </c>
      <c r="D17" s="7">
        <f>IF(D$4="HĐTN",COUNTIF('[1]03_TKB_LOP'!$B$150:$G$157,"HĐTN*")+COUNTIF('[1]03_TKB_LOP'!$B$150:$G$157,"Chào cờ/HĐTN*"),COUNTIF('[1]03_TKB_LOP'!$B$150:$G$157,IF(LEFT(D$4,5)="NHÓM:","NHÓM:*"&amp;MID(D$4,8,50)&amp;"*",D$4&amp;" – *")))</f>
        <v>3</v>
      </c>
      <c r="E17" s="7">
        <f>IF(E$4="HĐTN",COUNTIF('[1]03_TKB_LOP'!$B$150:$G$157,"HĐTN*")+COUNTIF('[1]03_TKB_LOP'!$B$150:$G$157,"Chào cờ/HĐTN*"),COUNTIF('[1]03_TKB_LOP'!$B$150:$G$157,IF(LEFT(E$4,5)="NHÓM:","NHÓM:*"&amp;MID(E$4,8,50)&amp;"*",E$4&amp;" – *")))</f>
        <v>3</v>
      </c>
      <c r="F17" s="7">
        <f>IF(F$4="HĐTN",COUNTIF('[1]03_TKB_LOP'!$B$150:$G$157,"HĐTN*")+COUNTIF('[1]03_TKB_LOP'!$B$150:$G$157,"Chào cờ/HĐTN*"),COUNTIF('[1]03_TKB_LOP'!$B$150:$G$157,IF(LEFT(F$4,5)="NHÓM:","NHÓM:*"&amp;MID(F$4,8,50)&amp;"*",F$4&amp;" – *")))</f>
        <v>3</v>
      </c>
      <c r="G17" s="7">
        <f>IF(G$4="HĐTN",COUNTIF('[1]03_TKB_LOP'!$B$150:$G$157,"HĐTN*")+COUNTIF('[1]03_TKB_LOP'!$B$150:$G$157,"Chào cờ/HĐTN*"),COUNTIF('[1]03_TKB_LOP'!$B$150:$G$157,IF(LEFT(G$4,5)="NHÓM:","NHÓM:*"&amp;MID(G$4,8,50)&amp;"*",G$4&amp;" – *")))</f>
        <v>2</v>
      </c>
      <c r="H17" s="7">
        <f>IF(H$4="HĐTN",COUNTIF('[1]03_TKB_LOP'!$B$150:$G$157,"HĐTN*")+COUNTIF('[1]03_TKB_LOP'!$B$150:$G$157,"Chào cờ/HĐTN*"),COUNTIF('[1]03_TKB_LOP'!$B$150:$G$157,IF(LEFT(H$4,5)="NHÓM:","NHÓM:*"&amp;MID(H$4,8,50)&amp;"*",H$4&amp;" – *")))</f>
        <v>0</v>
      </c>
      <c r="I17" s="7">
        <f>IF(I$4="HĐTN",COUNTIF('[1]03_TKB_LOP'!$B$150:$G$157,"HĐTN*")+COUNTIF('[1]03_TKB_LOP'!$B$150:$G$157,"Chào cờ/HĐTN*"),COUNTIF('[1]03_TKB_LOP'!$B$150:$G$157,IF(LEFT(I$4,5)="NHÓM:","NHÓM:*"&amp;MID(I$4,8,50)&amp;"*",I$4&amp;" – *")))</f>
        <v>0</v>
      </c>
      <c r="J17" s="7">
        <f>IF(J$4="HĐTN",COUNTIF('[1]03_TKB_LOP'!$B$150:$G$157,"HĐTN*")+COUNTIF('[1]03_TKB_LOP'!$B$150:$G$157,"Chào cờ/HĐTN*"),COUNTIF('[1]03_TKB_LOP'!$B$150:$G$157,IF(LEFT(J$4,5)="NHÓM:","NHÓM:*"&amp;MID(J$4,8,50)&amp;"*",J$4&amp;" – *")))</f>
        <v>2</v>
      </c>
      <c r="K17" s="7">
        <f>IF(K$4="HĐTN",COUNTIF('[1]03_TKB_LOP'!$B$150:$G$157,"HĐTN*")+COUNTIF('[1]03_TKB_LOP'!$B$150:$G$157,"Chào cờ/HĐTN*"),COUNTIF('[1]03_TKB_LOP'!$B$150:$G$157,IF(LEFT(K$4,5)="NHÓM:","NHÓM:*"&amp;MID(K$4,8,50)&amp;"*",K$4&amp;" – *")))</f>
        <v>2</v>
      </c>
      <c r="L17" s="7">
        <f>IF(L$4="HĐTN",COUNTIF('[1]03_TKB_LOP'!$B$150:$G$157,"HĐTN*")+COUNTIF('[1]03_TKB_LOP'!$B$150:$G$157,"Chào cờ/HĐTN*"),COUNTIF('[1]03_TKB_LOP'!$B$150:$G$157,IF(LEFT(L$4,5)="NHÓM:","NHÓM:*"&amp;MID(L$4,8,50)&amp;"*",L$4&amp;" – *")))</f>
        <v>2</v>
      </c>
      <c r="M17" s="7">
        <f>IF(M$4="HĐTN",COUNTIF('[1]03_TKB_LOP'!$B$150:$G$157,"HĐTN*")+COUNTIF('[1]03_TKB_LOP'!$B$150:$G$157,"Chào cờ/HĐTN*"),COUNTIF('[1]03_TKB_LOP'!$B$150:$G$157,IF(LEFT(M$4,5)="NHÓM:","NHÓM:*"&amp;MID(M$4,8,50)&amp;"*",M$4&amp;" – *")))</f>
        <v>2</v>
      </c>
      <c r="N17" s="7">
        <f>IF(N$4="HĐTN",COUNTIF('[1]03_TKB_LOP'!$B$150:$G$157,"HĐTN*")+COUNTIF('[1]03_TKB_LOP'!$B$150:$G$157,"Chào cờ/HĐTN*"),COUNTIF('[1]03_TKB_LOP'!$B$150:$G$157,IF(LEFT(N$4,5)="NHÓM:","NHÓM:*"&amp;MID(N$4,8,50)&amp;"*",N$4&amp;" – *")))</f>
        <v>0</v>
      </c>
      <c r="O17" s="7">
        <f>IF(O$4="HĐTN",COUNTIF('[1]03_TKB_LOP'!$B$150:$G$157,"HĐTN*")+COUNTIF('[1]03_TKB_LOP'!$B$150:$G$157,"Chào cờ/HĐTN*"),COUNTIF('[1]03_TKB_LOP'!$B$150:$G$157,IF(LEFT(O$4,5)="NHÓM:","NHÓM:*"&amp;MID(O$4,8,50)&amp;"*",O$4&amp;" – *")))</f>
        <v>1</v>
      </c>
      <c r="P17" s="7">
        <f>IF(P$4="HĐTN",COUNTIF('[1]03_TKB_LOP'!$B$150:$G$157,"HĐTN*")+COUNTIF('[1]03_TKB_LOP'!$B$150:$G$157,"Chào cờ/HĐTN*"),COUNTIF('[1]03_TKB_LOP'!$B$150:$G$157,IF(LEFT(P$4,5)="NHÓM:","NHÓM:*"&amp;MID(P$4,8,50)&amp;"*",P$4&amp;" – *")))</f>
        <v>1</v>
      </c>
      <c r="Q17" s="7">
        <f>IF(Q$4="HĐTN",COUNTIF('[1]03_TKB_LOP'!$B$150:$G$157,"HĐTN*")+COUNTIF('[1]03_TKB_LOP'!$B$150:$G$157,"Chào cờ/HĐTN*"),COUNTIF('[1]03_TKB_LOP'!$B$150:$G$157,IF(LEFT(Q$4,5)="NHÓM:","NHÓM:*"&amp;MID(Q$4,8,50)&amp;"*",Q$4&amp;" – *")))</f>
        <v>0</v>
      </c>
      <c r="R17" s="7">
        <f>IF(R$4="HĐTN",COUNTIF('[1]03_TKB_LOP'!$B$150:$G$157,"HĐTN*")+COUNTIF('[1]03_TKB_LOP'!$B$150:$G$157,"Chào cờ/HĐTN*"),COUNTIF('[1]03_TKB_LOP'!$B$150:$G$157,IF(LEFT(R$4,5)="NHÓM:","NHÓM:*"&amp;MID(R$4,8,50)&amp;"*",R$4&amp;" – *")))</f>
        <v>1</v>
      </c>
      <c r="S17" s="7">
        <f>IF(S$4="HĐTN",COUNTIF('[1]03_TKB_LOP'!$B$150:$G$157,"HĐTN*")+COUNTIF('[1]03_TKB_LOP'!$B$150:$G$157,"Chào cờ/HĐTN*"),COUNTIF('[1]03_TKB_LOP'!$B$150:$G$157,IF(LEFT(S$4,5)="NHÓM:","NHÓM:*"&amp;MID(S$4,8,50)&amp;"*",S$4&amp;" – *")))</f>
        <v>0</v>
      </c>
      <c r="T17" s="7">
        <f>IF(T$4="HĐTN",COUNTIF('[1]03_TKB_LOP'!$B$150:$G$157,"HĐTN*")+COUNTIF('[1]03_TKB_LOP'!$B$150:$G$157,"Chào cờ/HĐTN*"),COUNTIF('[1]03_TKB_LOP'!$B$150:$G$157,IF(LEFT(T$4,5)="NHÓM:","NHÓM:*"&amp;MID(T$4,8,50)&amp;"*",T$4&amp;" – *")))</f>
        <v>0</v>
      </c>
      <c r="U17" s="7">
        <f>IF(U$4="HĐTN",COUNTIF('[1]03_TKB_LOP'!$B$150:$G$157,"HĐTN*")+COUNTIF('[1]03_TKB_LOP'!$B$150:$G$157,"Chào cờ/HĐTN*"),COUNTIF('[1]03_TKB_LOP'!$B$150:$G$157,IF(LEFT(U$4,5)="NHÓM:","NHÓM:*"&amp;MID(U$4,8,50)&amp;"*",U$4&amp;" – *")))</f>
        <v>0</v>
      </c>
      <c r="V17" s="7">
        <f>IF(V$4="HĐTN",COUNTIF('[1]03_TKB_LOP'!$B$150:$G$157,"HĐTN*")+COUNTIF('[1]03_TKB_LOP'!$B$150:$G$157,"Chào cờ/HĐTN*"),COUNTIF('[1]03_TKB_LOP'!$B$150:$G$157,IF(LEFT(V$4,5)="NHÓM:","NHÓM:*"&amp;MID(V$4,8,50)&amp;"*",V$4&amp;" – *")))</f>
        <v>1</v>
      </c>
      <c r="W17" s="7">
        <f>IF(W$4="HĐTN",COUNTIF('[1]03_TKB_LOP'!$B$150:$G$157,"HĐTN*")+COUNTIF('[1]03_TKB_LOP'!$B$150:$G$157,"Chào cờ/HĐTN*"),COUNTIF('[1]03_TKB_LOP'!$B$150:$G$157,IF(LEFT(W$4,5)="NHÓM:","NHÓM:*"&amp;MID(W$4,8,50)&amp;"*",W$4&amp;" – *")))</f>
        <v>1</v>
      </c>
      <c r="X17" s="7">
        <f>IF(X$4="HĐTN",COUNTIF('[1]03_TKB_LOP'!$B$150:$G$157,"HĐTN*")+COUNTIF('[1]03_TKB_LOP'!$B$150:$G$157,"Chào cờ/HĐTN*"),COUNTIF('[1]03_TKB_LOP'!$B$150:$G$157,IF(LEFT(X$4,5)="NHÓM:","NHÓM:*"&amp;MID(X$4,8,50)&amp;"*",X$4&amp;" – *")))</f>
        <v>8</v>
      </c>
      <c r="Y17" s="7">
        <f>IF(Y$4="HĐTN",COUNTIF('[1]03_TKB_LOP'!$B$150:$G$157,"HĐTN*")+COUNTIF('[1]03_TKB_LOP'!$B$150:$G$157,"Chào cờ/HĐTN*"),COUNTIF('[1]03_TKB_LOP'!$B$150:$G$157,IF(LEFT(Y$4,5)="NHÓM:","NHÓM:*"&amp;MID(Y$4,8,50)&amp;"*",Y$4&amp;" – *")))</f>
        <v>4</v>
      </c>
      <c r="Z17" s="7">
        <f>IF(Z$4="HĐTN",COUNTIF('[1]03_TKB_LOP'!$B$150:$G$157,"HĐTN*")+COUNTIF('[1]03_TKB_LOP'!$B$150:$G$157,"Chào cờ/HĐTN*"),COUNTIF('[1]03_TKB_LOP'!$B$150:$G$157,IF(LEFT(Z$4,5)="NHÓM:","NHÓM:*"&amp;MID(Z$4,8,50)&amp;"*",Z$4&amp;" – *")))</f>
        <v>2</v>
      </c>
      <c r="AA17" s="7">
        <f>IF(AA$4="HĐTN",COUNTIF('[1]03_TKB_LOP'!$B$150:$G$157,"HĐTN*")+COUNTIF('[1]03_TKB_LOP'!$B$150:$G$157,"Chào cờ/HĐTN*"),COUNTIF('[1]03_TKB_LOP'!$B$150:$G$157,IF(LEFT(AA$4,5)="NHÓM:","NHÓM:*"&amp;MID(AA$4,8,50)&amp;"*",AA$4&amp;" – *")))</f>
        <v>2</v>
      </c>
      <c r="AB17" s="7">
        <f>IF(AB$4="HĐTN",COUNTIF('[1]03_TKB_LOP'!$B$150:$G$157,"HĐTN*")+COUNTIF('[1]03_TKB_LOP'!$B$150:$G$157,"Chào cờ/HĐTN*"),COUNTIF('[1]03_TKB_LOP'!$B$150:$G$157,IF(LEFT(AB$4,5)="NHÓM:","NHÓM:*"&amp;MID(AB$4,8,50)&amp;"*",AB$4&amp;" – *")))</f>
        <v>0</v>
      </c>
    </row>
    <row r="18" spans="1:28" x14ac:dyDescent="0.2">
      <c r="A18" s="5" t="str">
        <f>TRIM(MID('[1]03_TKB_LOP'!$A$160,4,FIND("|",'[1]03_TKB_LOP'!$A$160)-4))</f>
        <v>10A14</v>
      </c>
      <c r="B18" s="6" t="str">
        <f>TRIM(MID('[1]03_TKB_LOP'!$A$160,FIND("GVCN:",'[1]03_TKB_LOP'!$A$160)+5,FIND("|",'[1]03_TKB_LOP'!$A$160,FIND("GVCN:",'[1]03_TKB_LOP'!$A$160))-FIND("GVCN:",'[1]03_TKB_LOP'!$A$160)-5))</f>
        <v>PHAN QUANG ÁNH</v>
      </c>
      <c r="C18" s="7">
        <f>IF(C$4="HĐTN",COUNTIF('[1]03_TKB_LOP'!$B$162:$G$169,"HĐTN*")+COUNTIF('[1]03_TKB_LOP'!$B$162:$G$169,"Chào cờ/HĐTN*"),COUNTIF('[1]03_TKB_LOP'!$B$162:$G$169,IF(LEFT(C$4,5)="NHÓM:","NHÓM:*"&amp;MID(C$4,8,50)&amp;"*",C$4&amp;" – *")))</f>
        <v>3</v>
      </c>
      <c r="D18" s="7">
        <f>IF(D$4="HĐTN",COUNTIF('[1]03_TKB_LOP'!$B$162:$G$169,"HĐTN*")+COUNTIF('[1]03_TKB_LOP'!$B$162:$G$169,"Chào cờ/HĐTN*"),COUNTIF('[1]03_TKB_LOP'!$B$162:$G$169,IF(LEFT(D$4,5)="NHÓM:","NHÓM:*"&amp;MID(D$4,8,50)&amp;"*",D$4&amp;" – *")))</f>
        <v>3</v>
      </c>
      <c r="E18" s="7">
        <f>IF(E$4="HĐTN",COUNTIF('[1]03_TKB_LOP'!$B$162:$G$169,"HĐTN*")+COUNTIF('[1]03_TKB_LOP'!$B$162:$G$169,"Chào cờ/HĐTN*"),COUNTIF('[1]03_TKB_LOP'!$B$162:$G$169,IF(LEFT(E$4,5)="NHÓM:","NHÓM:*"&amp;MID(E$4,8,50)&amp;"*",E$4&amp;" – *")))</f>
        <v>3</v>
      </c>
      <c r="F18" s="7">
        <f>IF(F$4="HĐTN",COUNTIF('[1]03_TKB_LOP'!$B$162:$G$169,"HĐTN*")+COUNTIF('[1]03_TKB_LOP'!$B$162:$G$169,"Chào cờ/HĐTN*"),COUNTIF('[1]03_TKB_LOP'!$B$162:$G$169,IF(LEFT(F$4,5)="NHÓM:","NHÓM:*"&amp;MID(F$4,8,50)&amp;"*",F$4&amp;" – *")))</f>
        <v>3</v>
      </c>
      <c r="G18" s="7">
        <f>IF(G$4="HĐTN",COUNTIF('[1]03_TKB_LOP'!$B$162:$G$169,"HĐTN*")+COUNTIF('[1]03_TKB_LOP'!$B$162:$G$169,"Chào cờ/HĐTN*"),COUNTIF('[1]03_TKB_LOP'!$B$162:$G$169,IF(LEFT(G$4,5)="NHÓM:","NHÓM:*"&amp;MID(G$4,8,50)&amp;"*",G$4&amp;" – *")))</f>
        <v>2</v>
      </c>
      <c r="H18" s="7">
        <f>IF(H$4="HĐTN",COUNTIF('[1]03_TKB_LOP'!$B$162:$G$169,"HĐTN*")+COUNTIF('[1]03_TKB_LOP'!$B$162:$G$169,"Chào cờ/HĐTN*"),COUNTIF('[1]03_TKB_LOP'!$B$162:$G$169,IF(LEFT(H$4,5)="NHÓM:","NHÓM:*"&amp;MID(H$4,8,50)&amp;"*",H$4&amp;" – *")))</f>
        <v>0</v>
      </c>
      <c r="I18" s="7">
        <f>IF(I$4="HĐTN",COUNTIF('[1]03_TKB_LOP'!$B$162:$G$169,"HĐTN*")+COUNTIF('[1]03_TKB_LOP'!$B$162:$G$169,"Chào cờ/HĐTN*"),COUNTIF('[1]03_TKB_LOP'!$B$162:$G$169,IF(LEFT(I$4,5)="NHÓM:","NHÓM:*"&amp;MID(I$4,8,50)&amp;"*",I$4&amp;" – *")))</f>
        <v>2</v>
      </c>
      <c r="J18" s="7">
        <f>IF(J$4="HĐTN",COUNTIF('[1]03_TKB_LOP'!$B$162:$G$169,"HĐTN*")+COUNTIF('[1]03_TKB_LOP'!$B$162:$G$169,"Chào cờ/HĐTN*"),COUNTIF('[1]03_TKB_LOP'!$B$162:$G$169,IF(LEFT(J$4,5)="NHÓM:","NHÓM:*"&amp;MID(J$4,8,50)&amp;"*",J$4&amp;" – *")))</f>
        <v>2</v>
      </c>
      <c r="K18" s="7">
        <f>IF(K$4="HĐTN",COUNTIF('[1]03_TKB_LOP'!$B$162:$G$169,"HĐTN*")+COUNTIF('[1]03_TKB_LOP'!$B$162:$G$169,"Chào cờ/HĐTN*"),COUNTIF('[1]03_TKB_LOP'!$B$162:$G$169,IF(LEFT(K$4,5)="NHÓM:","NHÓM:*"&amp;MID(K$4,8,50)&amp;"*",K$4&amp;" – *")))</f>
        <v>0</v>
      </c>
      <c r="L18" s="7">
        <f>IF(L$4="HĐTN",COUNTIF('[1]03_TKB_LOP'!$B$162:$G$169,"HĐTN*")+COUNTIF('[1]03_TKB_LOP'!$B$162:$G$169,"Chào cờ/HĐTN*"),COUNTIF('[1]03_TKB_LOP'!$B$162:$G$169,IF(LEFT(L$4,5)="NHÓM:","NHÓM:*"&amp;MID(L$4,8,50)&amp;"*",L$4&amp;" – *")))</f>
        <v>0</v>
      </c>
      <c r="M18" s="7">
        <f>IF(M$4="HĐTN",COUNTIF('[1]03_TKB_LOP'!$B$162:$G$169,"HĐTN*")+COUNTIF('[1]03_TKB_LOP'!$B$162:$G$169,"Chào cờ/HĐTN*"),COUNTIF('[1]03_TKB_LOP'!$B$162:$G$169,IF(LEFT(M$4,5)="NHÓM:","NHÓM:*"&amp;MID(M$4,8,50)&amp;"*",M$4&amp;" – *")))</f>
        <v>2</v>
      </c>
      <c r="N18" s="7">
        <f>IF(N$4="HĐTN",COUNTIF('[1]03_TKB_LOP'!$B$162:$G$169,"HĐTN*")+COUNTIF('[1]03_TKB_LOP'!$B$162:$G$169,"Chào cờ/HĐTN*"),COUNTIF('[1]03_TKB_LOP'!$B$162:$G$169,IF(LEFT(N$4,5)="NHÓM:","NHÓM:*"&amp;MID(N$4,8,50)&amp;"*",N$4&amp;" – *")))</f>
        <v>2</v>
      </c>
      <c r="O18" s="7">
        <f>IF(O$4="HĐTN",COUNTIF('[1]03_TKB_LOP'!$B$162:$G$169,"HĐTN*")+COUNTIF('[1]03_TKB_LOP'!$B$162:$G$169,"Chào cờ/HĐTN*"),COUNTIF('[1]03_TKB_LOP'!$B$162:$G$169,IF(LEFT(O$4,5)="NHÓM:","NHÓM:*"&amp;MID(O$4,8,50)&amp;"*",O$4&amp;" – *")))</f>
        <v>1</v>
      </c>
      <c r="P18" s="7">
        <f>IF(P$4="HĐTN",COUNTIF('[1]03_TKB_LOP'!$B$162:$G$169,"HĐTN*")+COUNTIF('[1]03_TKB_LOP'!$B$162:$G$169,"Chào cờ/HĐTN*"),COUNTIF('[1]03_TKB_LOP'!$B$162:$G$169,IF(LEFT(P$4,5)="NHÓM:","NHÓM:*"&amp;MID(P$4,8,50)&amp;"*",P$4&amp;" – *")))</f>
        <v>1</v>
      </c>
      <c r="Q18" s="7">
        <f>IF(Q$4="HĐTN",COUNTIF('[1]03_TKB_LOP'!$B$162:$G$169,"HĐTN*")+COUNTIF('[1]03_TKB_LOP'!$B$162:$G$169,"Chào cờ/HĐTN*"),COUNTIF('[1]03_TKB_LOP'!$B$162:$G$169,IF(LEFT(Q$4,5)="NHÓM:","NHÓM:*"&amp;MID(Q$4,8,50)&amp;"*",Q$4&amp;" – *")))</f>
        <v>1</v>
      </c>
      <c r="R18" s="7">
        <f>IF(R$4="HĐTN",COUNTIF('[1]03_TKB_LOP'!$B$162:$G$169,"HĐTN*")+COUNTIF('[1]03_TKB_LOP'!$B$162:$G$169,"Chào cờ/HĐTN*"),COUNTIF('[1]03_TKB_LOP'!$B$162:$G$169,IF(LEFT(R$4,5)="NHÓM:","NHÓM:*"&amp;MID(R$4,8,50)&amp;"*",R$4&amp;" – *")))</f>
        <v>0</v>
      </c>
      <c r="S18" s="7">
        <f>IF(S$4="HĐTN",COUNTIF('[1]03_TKB_LOP'!$B$162:$G$169,"HĐTN*")+COUNTIF('[1]03_TKB_LOP'!$B$162:$G$169,"Chào cờ/HĐTN*"),COUNTIF('[1]03_TKB_LOP'!$B$162:$G$169,IF(LEFT(S$4,5)="NHÓM:","NHÓM:*"&amp;MID(S$4,8,50)&amp;"*",S$4&amp;" – *")))</f>
        <v>1</v>
      </c>
      <c r="T18" s="7">
        <f>IF(T$4="HĐTN",COUNTIF('[1]03_TKB_LOP'!$B$162:$G$169,"HĐTN*")+COUNTIF('[1]03_TKB_LOP'!$B$162:$G$169,"Chào cờ/HĐTN*"),COUNTIF('[1]03_TKB_LOP'!$B$162:$G$169,IF(LEFT(T$4,5)="NHÓM:","NHÓM:*"&amp;MID(T$4,8,50)&amp;"*",T$4&amp;" – *")))</f>
        <v>0</v>
      </c>
      <c r="U18" s="7">
        <f>IF(U$4="HĐTN",COUNTIF('[1]03_TKB_LOP'!$B$162:$G$169,"HĐTN*")+COUNTIF('[1]03_TKB_LOP'!$B$162:$G$169,"Chào cờ/HĐTN*"),COUNTIF('[1]03_TKB_LOP'!$B$162:$G$169,IF(LEFT(U$4,5)="NHÓM:","NHÓM:*"&amp;MID(U$4,8,50)&amp;"*",U$4&amp;" – *")))</f>
        <v>1</v>
      </c>
      <c r="V18" s="7">
        <f>IF(V$4="HĐTN",COUNTIF('[1]03_TKB_LOP'!$B$162:$G$169,"HĐTN*")+COUNTIF('[1]03_TKB_LOP'!$B$162:$G$169,"Chào cờ/HĐTN*"),COUNTIF('[1]03_TKB_LOP'!$B$162:$G$169,IF(LEFT(V$4,5)="NHÓM:","NHÓM:*"&amp;MID(V$4,8,50)&amp;"*",V$4&amp;" – *")))</f>
        <v>0</v>
      </c>
      <c r="W18" s="7">
        <f>IF(W$4="HĐTN",COUNTIF('[1]03_TKB_LOP'!$B$162:$G$169,"HĐTN*")+COUNTIF('[1]03_TKB_LOP'!$B$162:$G$169,"Chào cờ/HĐTN*"),COUNTIF('[1]03_TKB_LOP'!$B$162:$G$169,IF(LEFT(W$4,5)="NHÓM:","NHÓM:*"&amp;MID(W$4,8,50)&amp;"*",W$4&amp;" – *")))</f>
        <v>0</v>
      </c>
      <c r="X18" s="7">
        <f>IF(X$4="HĐTN",COUNTIF('[1]03_TKB_LOP'!$B$162:$G$169,"HĐTN*")+COUNTIF('[1]03_TKB_LOP'!$B$162:$G$169,"Chào cờ/HĐTN*"),COUNTIF('[1]03_TKB_LOP'!$B$162:$G$169,IF(LEFT(X$4,5)="NHÓM:","NHÓM:*"&amp;MID(X$4,8,50)&amp;"*",X$4&amp;" – *")))</f>
        <v>6</v>
      </c>
      <c r="Y18" s="7">
        <f>IF(Y$4="HĐTN",COUNTIF('[1]03_TKB_LOP'!$B$162:$G$169,"HĐTN*")+COUNTIF('[1]03_TKB_LOP'!$B$162:$G$169,"Chào cờ/HĐTN*"),COUNTIF('[1]03_TKB_LOP'!$B$162:$G$169,IF(LEFT(Y$4,5)="NHÓM:","NHÓM:*"&amp;MID(Y$4,8,50)&amp;"*",Y$4&amp;" – *")))</f>
        <v>4</v>
      </c>
      <c r="Z18" s="7">
        <f>IF(Z$4="HĐTN",COUNTIF('[1]03_TKB_LOP'!$B$162:$G$169,"HĐTN*")+COUNTIF('[1]03_TKB_LOP'!$B$162:$G$169,"Chào cờ/HĐTN*"),COUNTIF('[1]03_TKB_LOP'!$B$162:$G$169,IF(LEFT(Z$4,5)="NHÓM:","NHÓM:*"&amp;MID(Z$4,8,50)&amp;"*",Z$4&amp;" – *")))</f>
        <v>4</v>
      </c>
      <c r="AA18" s="7">
        <f>IF(AA$4="HĐTN",COUNTIF('[1]03_TKB_LOP'!$B$162:$G$169,"HĐTN*")+COUNTIF('[1]03_TKB_LOP'!$B$162:$G$169,"Chào cờ/HĐTN*"),COUNTIF('[1]03_TKB_LOP'!$B$162:$G$169,IF(LEFT(AA$4,5)="NHÓM:","NHÓM:*"&amp;MID(AA$4,8,50)&amp;"*",AA$4&amp;" – *")))</f>
        <v>4</v>
      </c>
      <c r="AB18" s="7">
        <f>IF(AB$4="HĐTN",COUNTIF('[1]03_TKB_LOP'!$B$162:$G$169,"HĐTN*")+COUNTIF('[1]03_TKB_LOP'!$B$162:$G$169,"Chào cờ/HĐTN*"),COUNTIF('[1]03_TKB_LOP'!$B$162:$G$169,IF(LEFT(AB$4,5)="NHÓM:","NHÓM:*"&amp;MID(AB$4,8,50)&amp;"*",AB$4&amp;" – *")))</f>
        <v>0</v>
      </c>
    </row>
    <row r="19" spans="1:28" x14ac:dyDescent="0.2">
      <c r="A19" s="5" t="str">
        <f>TRIM(MID('[1]03_TKB_LOP'!$A$172,4,FIND("|",'[1]03_TKB_LOP'!$A$172)-4))</f>
        <v>10A15</v>
      </c>
      <c r="B19" s="6" t="str">
        <f>TRIM(MID('[1]03_TKB_LOP'!$A$172,FIND("GVCN:",'[1]03_TKB_LOP'!$A$172)+5,FIND("|",'[1]03_TKB_LOP'!$A$172,FIND("GVCN:",'[1]03_TKB_LOP'!$A$172))-FIND("GVCN:",'[1]03_TKB_LOP'!$A$172)-5))</f>
        <v>TRẦN HỒNG UYÊN</v>
      </c>
      <c r="C19" s="7">
        <f>IF(C$4="HĐTN",COUNTIF('[1]03_TKB_LOP'!$B$174:$G$181,"HĐTN*")+COUNTIF('[1]03_TKB_LOP'!$B$174:$G$181,"Chào cờ/HĐTN*"),COUNTIF('[1]03_TKB_LOP'!$B$174:$G$181,IF(LEFT(C$4,5)="NHÓM:","NHÓM:*"&amp;MID(C$4,8,50)&amp;"*",C$4&amp;" – *")))</f>
        <v>3</v>
      </c>
      <c r="D19" s="7">
        <f>IF(D$4="HĐTN",COUNTIF('[1]03_TKB_LOP'!$B$174:$G$181,"HĐTN*")+COUNTIF('[1]03_TKB_LOP'!$B$174:$G$181,"Chào cờ/HĐTN*"),COUNTIF('[1]03_TKB_LOP'!$B$174:$G$181,IF(LEFT(D$4,5)="NHÓM:","NHÓM:*"&amp;MID(D$4,8,50)&amp;"*",D$4&amp;" – *")))</f>
        <v>3</v>
      </c>
      <c r="E19" s="7">
        <f>IF(E$4="HĐTN",COUNTIF('[1]03_TKB_LOP'!$B$174:$G$181,"HĐTN*")+COUNTIF('[1]03_TKB_LOP'!$B$174:$G$181,"Chào cờ/HĐTN*"),COUNTIF('[1]03_TKB_LOP'!$B$174:$G$181,IF(LEFT(E$4,5)="NHÓM:","NHÓM:*"&amp;MID(E$4,8,50)&amp;"*",E$4&amp;" – *")))</f>
        <v>3</v>
      </c>
      <c r="F19" s="7">
        <f>IF(F$4="HĐTN",COUNTIF('[1]03_TKB_LOP'!$B$174:$G$181,"HĐTN*")+COUNTIF('[1]03_TKB_LOP'!$B$174:$G$181,"Chào cờ/HĐTN*"),COUNTIF('[1]03_TKB_LOP'!$B$174:$G$181,IF(LEFT(F$4,5)="NHÓM:","NHÓM:*"&amp;MID(F$4,8,50)&amp;"*",F$4&amp;" – *")))</f>
        <v>3</v>
      </c>
      <c r="G19" s="7">
        <f>IF(G$4="HĐTN",COUNTIF('[1]03_TKB_LOP'!$B$174:$G$181,"HĐTN*")+COUNTIF('[1]03_TKB_LOP'!$B$174:$G$181,"Chào cờ/HĐTN*"),COUNTIF('[1]03_TKB_LOP'!$B$174:$G$181,IF(LEFT(G$4,5)="NHÓM:","NHÓM:*"&amp;MID(G$4,8,50)&amp;"*",G$4&amp;" – *")))</f>
        <v>2</v>
      </c>
      <c r="H19" s="7">
        <f>IF(H$4="HĐTN",COUNTIF('[1]03_TKB_LOP'!$B$174:$G$181,"HĐTN*")+COUNTIF('[1]03_TKB_LOP'!$B$174:$G$181,"Chào cờ/HĐTN*"),COUNTIF('[1]03_TKB_LOP'!$B$174:$G$181,IF(LEFT(H$4,5)="NHÓM:","NHÓM:*"&amp;MID(H$4,8,50)&amp;"*",H$4&amp;" – *")))</f>
        <v>0</v>
      </c>
      <c r="I19" s="7">
        <f>IF(I$4="HĐTN",COUNTIF('[1]03_TKB_LOP'!$B$174:$G$181,"HĐTN*")+COUNTIF('[1]03_TKB_LOP'!$B$174:$G$181,"Chào cờ/HĐTN*"),COUNTIF('[1]03_TKB_LOP'!$B$174:$G$181,IF(LEFT(I$4,5)="NHÓM:","NHÓM:*"&amp;MID(I$4,8,50)&amp;"*",I$4&amp;" – *")))</f>
        <v>2</v>
      </c>
      <c r="J19" s="7">
        <f>IF(J$4="HĐTN",COUNTIF('[1]03_TKB_LOP'!$B$174:$G$181,"HĐTN*")+COUNTIF('[1]03_TKB_LOP'!$B$174:$G$181,"Chào cờ/HĐTN*"),COUNTIF('[1]03_TKB_LOP'!$B$174:$G$181,IF(LEFT(J$4,5)="NHÓM:","NHÓM:*"&amp;MID(J$4,8,50)&amp;"*",J$4&amp;" – *")))</f>
        <v>2</v>
      </c>
      <c r="K19" s="7">
        <f>IF(K$4="HĐTN",COUNTIF('[1]03_TKB_LOP'!$B$174:$G$181,"HĐTN*")+COUNTIF('[1]03_TKB_LOP'!$B$174:$G$181,"Chào cờ/HĐTN*"),COUNTIF('[1]03_TKB_LOP'!$B$174:$G$181,IF(LEFT(K$4,5)="NHÓM:","NHÓM:*"&amp;MID(K$4,8,50)&amp;"*",K$4&amp;" – *")))</f>
        <v>0</v>
      </c>
      <c r="L19" s="7">
        <f>IF(L$4="HĐTN",COUNTIF('[1]03_TKB_LOP'!$B$174:$G$181,"HĐTN*")+COUNTIF('[1]03_TKB_LOP'!$B$174:$G$181,"Chào cờ/HĐTN*"),COUNTIF('[1]03_TKB_LOP'!$B$174:$G$181,IF(LEFT(L$4,5)="NHÓM:","NHÓM:*"&amp;MID(L$4,8,50)&amp;"*",L$4&amp;" – *")))</f>
        <v>0</v>
      </c>
      <c r="M19" s="7">
        <f>IF(M$4="HĐTN",COUNTIF('[1]03_TKB_LOP'!$B$174:$G$181,"HĐTN*")+COUNTIF('[1]03_TKB_LOP'!$B$174:$G$181,"Chào cờ/HĐTN*"),COUNTIF('[1]03_TKB_LOP'!$B$174:$G$181,IF(LEFT(M$4,5)="NHÓM:","NHÓM:*"&amp;MID(M$4,8,50)&amp;"*",M$4&amp;" – *")))</f>
        <v>2</v>
      </c>
      <c r="N19" s="7">
        <f>IF(N$4="HĐTN",COUNTIF('[1]03_TKB_LOP'!$B$174:$G$181,"HĐTN*")+COUNTIF('[1]03_TKB_LOP'!$B$174:$G$181,"Chào cờ/HĐTN*"),COUNTIF('[1]03_TKB_LOP'!$B$174:$G$181,IF(LEFT(N$4,5)="NHÓM:","NHÓM:*"&amp;MID(N$4,8,50)&amp;"*",N$4&amp;" – *")))</f>
        <v>2</v>
      </c>
      <c r="O19" s="7">
        <f>IF(O$4="HĐTN",COUNTIF('[1]03_TKB_LOP'!$B$174:$G$181,"HĐTN*")+COUNTIF('[1]03_TKB_LOP'!$B$174:$G$181,"Chào cờ/HĐTN*"),COUNTIF('[1]03_TKB_LOP'!$B$174:$G$181,IF(LEFT(O$4,5)="NHÓM:","NHÓM:*"&amp;MID(O$4,8,50)&amp;"*",O$4&amp;" – *")))</f>
        <v>1</v>
      </c>
      <c r="P19" s="7">
        <f>IF(P$4="HĐTN",COUNTIF('[1]03_TKB_LOP'!$B$174:$G$181,"HĐTN*")+COUNTIF('[1]03_TKB_LOP'!$B$174:$G$181,"Chào cờ/HĐTN*"),COUNTIF('[1]03_TKB_LOP'!$B$174:$G$181,IF(LEFT(P$4,5)="NHÓM:","NHÓM:*"&amp;MID(P$4,8,50)&amp;"*",P$4&amp;" – *")))</f>
        <v>1</v>
      </c>
      <c r="Q19" s="7">
        <f>IF(Q$4="HĐTN",COUNTIF('[1]03_TKB_LOP'!$B$174:$G$181,"HĐTN*")+COUNTIF('[1]03_TKB_LOP'!$B$174:$G$181,"Chào cờ/HĐTN*"),COUNTIF('[1]03_TKB_LOP'!$B$174:$G$181,IF(LEFT(Q$4,5)="NHÓM:","NHÓM:*"&amp;MID(Q$4,8,50)&amp;"*",Q$4&amp;" – *")))</f>
        <v>1</v>
      </c>
      <c r="R19" s="7">
        <f>IF(R$4="HĐTN",COUNTIF('[1]03_TKB_LOP'!$B$174:$G$181,"HĐTN*")+COUNTIF('[1]03_TKB_LOP'!$B$174:$G$181,"Chào cờ/HĐTN*"),COUNTIF('[1]03_TKB_LOP'!$B$174:$G$181,IF(LEFT(R$4,5)="NHÓM:","NHÓM:*"&amp;MID(R$4,8,50)&amp;"*",R$4&amp;" – *")))</f>
        <v>0</v>
      </c>
      <c r="S19" s="7">
        <f>IF(S$4="HĐTN",COUNTIF('[1]03_TKB_LOP'!$B$174:$G$181,"HĐTN*")+COUNTIF('[1]03_TKB_LOP'!$B$174:$G$181,"Chào cờ/HĐTN*"),COUNTIF('[1]03_TKB_LOP'!$B$174:$G$181,IF(LEFT(S$4,5)="NHÓM:","NHÓM:*"&amp;MID(S$4,8,50)&amp;"*",S$4&amp;" – *")))</f>
        <v>1</v>
      </c>
      <c r="T19" s="7">
        <f>IF(T$4="HĐTN",COUNTIF('[1]03_TKB_LOP'!$B$174:$G$181,"HĐTN*")+COUNTIF('[1]03_TKB_LOP'!$B$174:$G$181,"Chào cờ/HĐTN*"),COUNTIF('[1]03_TKB_LOP'!$B$174:$G$181,IF(LEFT(T$4,5)="NHÓM:","NHÓM:*"&amp;MID(T$4,8,50)&amp;"*",T$4&amp;" – *")))</f>
        <v>0</v>
      </c>
      <c r="U19" s="7">
        <f>IF(U$4="HĐTN",COUNTIF('[1]03_TKB_LOP'!$B$174:$G$181,"HĐTN*")+COUNTIF('[1]03_TKB_LOP'!$B$174:$G$181,"Chào cờ/HĐTN*"),COUNTIF('[1]03_TKB_LOP'!$B$174:$G$181,IF(LEFT(U$4,5)="NHÓM:","NHÓM:*"&amp;MID(U$4,8,50)&amp;"*",U$4&amp;" – *")))</f>
        <v>1</v>
      </c>
      <c r="V19" s="7">
        <f>IF(V$4="HĐTN",COUNTIF('[1]03_TKB_LOP'!$B$174:$G$181,"HĐTN*")+COUNTIF('[1]03_TKB_LOP'!$B$174:$G$181,"Chào cờ/HĐTN*"),COUNTIF('[1]03_TKB_LOP'!$B$174:$G$181,IF(LEFT(V$4,5)="NHÓM:","NHÓM:*"&amp;MID(V$4,8,50)&amp;"*",V$4&amp;" – *")))</f>
        <v>0</v>
      </c>
      <c r="W19" s="7">
        <f>IF(W$4="HĐTN",COUNTIF('[1]03_TKB_LOP'!$B$174:$G$181,"HĐTN*")+COUNTIF('[1]03_TKB_LOP'!$B$174:$G$181,"Chào cờ/HĐTN*"),COUNTIF('[1]03_TKB_LOP'!$B$174:$G$181,IF(LEFT(W$4,5)="NHÓM:","NHÓM:*"&amp;MID(W$4,8,50)&amp;"*",W$4&amp;" – *")))</f>
        <v>0</v>
      </c>
      <c r="X19" s="7">
        <f>IF(X$4="HĐTN",COUNTIF('[1]03_TKB_LOP'!$B$174:$G$181,"HĐTN*")+COUNTIF('[1]03_TKB_LOP'!$B$174:$G$181,"Chào cờ/HĐTN*"),COUNTIF('[1]03_TKB_LOP'!$B$174:$G$181,IF(LEFT(X$4,5)="NHÓM:","NHÓM:*"&amp;MID(X$4,8,50)&amp;"*",X$4&amp;" – *")))</f>
        <v>6</v>
      </c>
      <c r="Y19" s="7">
        <f>IF(Y$4="HĐTN",COUNTIF('[1]03_TKB_LOP'!$B$174:$G$181,"HĐTN*")+COUNTIF('[1]03_TKB_LOP'!$B$174:$G$181,"Chào cờ/HĐTN*"),COUNTIF('[1]03_TKB_LOP'!$B$174:$G$181,IF(LEFT(Y$4,5)="NHÓM:","NHÓM:*"&amp;MID(Y$4,8,50)&amp;"*",Y$4&amp;" – *")))</f>
        <v>2</v>
      </c>
      <c r="Z19" s="7">
        <f>IF(Z$4="HĐTN",COUNTIF('[1]03_TKB_LOP'!$B$174:$G$181,"HĐTN*")+COUNTIF('[1]03_TKB_LOP'!$B$174:$G$181,"Chào cờ/HĐTN*"),COUNTIF('[1]03_TKB_LOP'!$B$174:$G$181,IF(LEFT(Z$4,5)="NHÓM:","NHÓM:*"&amp;MID(Z$4,8,50)&amp;"*",Z$4&amp;" – *")))</f>
        <v>2</v>
      </c>
      <c r="AA19" s="7">
        <f>IF(AA$4="HĐTN",COUNTIF('[1]03_TKB_LOP'!$B$174:$G$181,"HĐTN*")+COUNTIF('[1]03_TKB_LOP'!$B$174:$G$181,"Chào cờ/HĐTN*"),COUNTIF('[1]03_TKB_LOP'!$B$174:$G$181,IF(LEFT(AA$4,5)="NHÓM:","NHÓM:*"&amp;MID(AA$4,8,50)&amp;"*",AA$4&amp;" – *")))</f>
        <v>4</v>
      </c>
      <c r="AB19" s="7">
        <f>IF(AB$4="HĐTN",COUNTIF('[1]03_TKB_LOP'!$B$174:$G$181,"HĐTN*")+COUNTIF('[1]03_TKB_LOP'!$B$174:$G$181,"Chào cờ/HĐTN*"),COUNTIF('[1]03_TKB_LOP'!$B$174:$G$181,IF(LEFT(AB$4,5)="NHÓM:","NHÓM:*"&amp;MID(AB$4,8,50)&amp;"*",AB$4&amp;" – *")))</f>
        <v>0</v>
      </c>
    </row>
    <row r="20" spans="1:28" x14ac:dyDescent="0.2">
      <c r="A20" s="5" t="str">
        <f>TRIM(MID('[1]03_TKB_LOP'!$A$184,4,FIND("|",'[1]03_TKB_LOP'!$A$184)-4))</f>
        <v>10A16</v>
      </c>
      <c r="B20" s="6" t="str">
        <f>TRIM(MID('[1]03_TKB_LOP'!$A$184,FIND("GVCN:",'[1]03_TKB_LOP'!$A$184)+5,FIND("|",'[1]03_TKB_LOP'!$A$184,FIND("GVCN:",'[1]03_TKB_LOP'!$A$184))-FIND("GVCN:",'[1]03_TKB_LOP'!$A$184)-5))</f>
        <v>NGUYỄN VIỆT PHƯƠNG</v>
      </c>
      <c r="C20" s="7">
        <f>IF(C$4="HĐTN",COUNTIF('[1]03_TKB_LOP'!$B$186:$G$193,"HĐTN*")+COUNTIF('[1]03_TKB_LOP'!$B$186:$G$193,"Chào cờ/HĐTN*"),COUNTIF('[1]03_TKB_LOP'!$B$186:$G$193,IF(LEFT(C$4,5)="NHÓM:","NHÓM:*"&amp;MID(C$4,8,50)&amp;"*",C$4&amp;" – *")))</f>
        <v>3</v>
      </c>
      <c r="D20" s="7">
        <f>IF(D$4="HĐTN",COUNTIF('[1]03_TKB_LOP'!$B$186:$G$193,"HĐTN*")+COUNTIF('[1]03_TKB_LOP'!$B$186:$G$193,"Chào cờ/HĐTN*"),COUNTIF('[1]03_TKB_LOP'!$B$186:$G$193,IF(LEFT(D$4,5)="NHÓM:","NHÓM:*"&amp;MID(D$4,8,50)&amp;"*",D$4&amp;" – *")))</f>
        <v>3</v>
      </c>
      <c r="E20" s="7">
        <f>IF(E$4="HĐTN",COUNTIF('[1]03_TKB_LOP'!$B$186:$G$193,"HĐTN*")+COUNTIF('[1]03_TKB_LOP'!$B$186:$G$193,"Chào cờ/HĐTN*"),COUNTIF('[1]03_TKB_LOP'!$B$186:$G$193,IF(LEFT(E$4,5)="NHÓM:","NHÓM:*"&amp;MID(E$4,8,50)&amp;"*",E$4&amp;" – *")))</f>
        <v>3</v>
      </c>
      <c r="F20" s="7">
        <f>IF(F$4="HĐTN",COUNTIF('[1]03_TKB_LOP'!$B$186:$G$193,"HĐTN*")+COUNTIF('[1]03_TKB_LOP'!$B$186:$G$193,"Chào cờ/HĐTN*"),COUNTIF('[1]03_TKB_LOP'!$B$186:$G$193,IF(LEFT(F$4,5)="NHÓM:","NHÓM:*"&amp;MID(F$4,8,50)&amp;"*",F$4&amp;" – *")))</f>
        <v>3</v>
      </c>
      <c r="G20" s="7">
        <f>IF(G$4="HĐTN",COUNTIF('[1]03_TKB_LOP'!$B$186:$G$193,"HĐTN*")+COUNTIF('[1]03_TKB_LOP'!$B$186:$G$193,"Chào cờ/HĐTN*"),COUNTIF('[1]03_TKB_LOP'!$B$186:$G$193,IF(LEFT(G$4,5)="NHÓM:","NHÓM:*"&amp;MID(G$4,8,50)&amp;"*",G$4&amp;" – *")))</f>
        <v>0</v>
      </c>
      <c r="H20" s="7">
        <f>IF(H$4="HĐTN",COUNTIF('[1]03_TKB_LOP'!$B$186:$G$193,"HĐTN*")+COUNTIF('[1]03_TKB_LOP'!$B$186:$G$193,"Chào cờ/HĐTN*"),COUNTIF('[1]03_TKB_LOP'!$B$186:$G$193,IF(LEFT(H$4,5)="NHÓM:","NHÓM:*"&amp;MID(H$4,8,50)&amp;"*",H$4&amp;" – *")))</f>
        <v>2</v>
      </c>
      <c r="I20" s="7">
        <f>IF(I$4="HĐTN",COUNTIF('[1]03_TKB_LOP'!$B$186:$G$193,"HĐTN*")+COUNTIF('[1]03_TKB_LOP'!$B$186:$G$193,"Chào cờ/HĐTN*"),COUNTIF('[1]03_TKB_LOP'!$B$186:$G$193,IF(LEFT(I$4,5)="NHÓM:","NHÓM:*"&amp;MID(I$4,8,50)&amp;"*",I$4&amp;" – *")))</f>
        <v>2</v>
      </c>
      <c r="J20" s="7">
        <f>IF(J$4="HĐTN",COUNTIF('[1]03_TKB_LOP'!$B$186:$G$193,"HĐTN*")+COUNTIF('[1]03_TKB_LOP'!$B$186:$G$193,"Chào cờ/HĐTN*"),COUNTIF('[1]03_TKB_LOP'!$B$186:$G$193,IF(LEFT(J$4,5)="NHÓM:","NHÓM:*"&amp;MID(J$4,8,50)&amp;"*",J$4&amp;" – *")))</f>
        <v>2</v>
      </c>
      <c r="K20" s="7">
        <f>IF(K$4="HĐTN",COUNTIF('[1]03_TKB_LOP'!$B$186:$G$193,"HĐTN*")+COUNTIF('[1]03_TKB_LOP'!$B$186:$G$193,"Chào cờ/HĐTN*"),COUNTIF('[1]03_TKB_LOP'!$B$186:$G$193,IF(LEFT(K$4,5)="NHÓM:","NHÓM:*"&amp;MID(K$4,8,50)&amp;"*",K$4&amp;" – *")))</f>
        <v>0</v>
      </c>
      <c r="L20" s="7">
        <f>IF(L$4="HĐTN",COUNTIF('[1]03_TKB_LOP'!$B$186:$G$193,"HĐTN*")+COUNTIF('[1]03_TKB_LOP'!$B$186:$G$193,"Chào cờ/HĐTN*"),COUNTIF('[1]03_TKB_LOP'!$B$186:$G$193,IF(LEFT(L$4,5)="NHÓM:","NHÓM:*"&amp;MID(L$4,8,50)&amp;"*",L$4&amp;" – *")))</f>
        <v>0</v>
      </c>
      <c r="M20" s="7">
        <f>IF(M$4="HĐTN",COUNTIF('[1]03_TKB_LOP'!$B$186:$G$193,"HĐTN*")+COUNTIF('[1]03_TKB_LOP'!$B$186:$G$193,"Chào cờ/HĐTN*"),COUNTIF('[1]03_TKB_LOP'!$B$186:$G$193,IF(LEFT(M$4,5)="NHÓM:","NHÓM:*"&amp;MID(M$4,8,50)&amp;"*",M$4&amp;" – *")))</f>
        <v>2</v>
      </c>
      <c r="N20" s="7">
        <f>IF(N$4="HĐTN",COUNTIF('[1]03_TKB_LOP'!$B$186:$G$193,"HĐTN*")+COUNTIF('[1]03_TKB_LOP'!$B$186:$G$193,"Chào cờ/HĐTN*"),COUNTIF('[1]03_TKB_LOP'!$B$186:$G$193,IF(LEFT(N$4,5)="NHÓM:","NHÓM:*"&amp;MID(N$4,8,50)&amp;"*",N$4&amp;" – *")))</f>
        <v>2</v>
      </c>
      <c r="O20" s="7">
        <f>IF(O$4="HĐTN",COUNTIF('[1]03_TKB_LOP'!$B$186:$G$193,"HĐTN*")+COUNTIF('[1]03_TKB_LOP'!$B$186:$G$193,"Chào cờ/HĐTN*"),COUNTIF('[1]03_TKB_LOP'!$B$186:$G$193,IF(LEFT(O$4,5)="NHÓM:","NHÓM:*"&amp;MID(O$4,8,50)&amp;"*",O$4&amp;" – *")))</f>
        <v>1</v>
      </c>
      <c r="P20" s="7">
        <f>IF(P$4="HĐTN",COUNTIF('[1]03_TKB_LOP'!$B$186:$G$193,"HĐTN*")+COUNTIF('[1]03_TKB_LOP'!$B$186:$G$193,"Chào cờ/HĐTN*"),COUNTIF('[1]03_TKB_LOP'!$B$186:$G$193,IF(LEFT(P$4,5)="NHÓM:","NHÓM:*"&amp;MID(P$4,8,50)&amp;"*",P$4&amp;" – *")))</f>
        <v>1</v>
      </c>
      <c r="Q20" s="7">
        <f>IF(Q$4="HĐTN",COUNTIF('[1]03_TKB_LOP'!$B$186:$G$193,"HĐTN*")+COUNTIF('[1]03_TKB_LOP'!$B$186:$G$193,"Chào cờ/HĐTN*"),COUNTIF('[1]03_TKB_LOP'!$B$186:$G$193,IF(LEFT(Q$4,5)="NHÓM:","NHÓM:*"&amp;MID(Q$4,8,50)&amp;"*",Q$4&amp;" – *")))</f>
        <v>1</v>
      </c>
      <c r="R20" s="7">
        <f>IF(R$4="HĐTN",COUNTIF('[1]03_TKB_LOP'!$B$186:$G$193,"HĐTN*")+COUNTIF('[1]03_TKB_LOP'!$B$186:$G$193,"Chào cờ/HĐTN*"),COUNTIF('[1]03_TKB_LOP'!$B$186:$G$193,IF(LEFT(R$4,5)="NHÓM:","NHÓM:*"&amp;MID(R$4,8,50)&amp;"*",R$4&amp;" – *")))</f>
        <v>0</v>
      </c>
      <c r="S20" s="7">
        <f>IF(S$4="HĐTN",COUNTIF('[1]03_TKB_LOP'!$B$186:$G$193,"HĐTN*")+COUNTIF('[1]03_TKB_LOP'!$B$186:$G$193,"Chào cờ/HĐTN*"),COUNTIF('[1]03_TKB_LOP'!$B$186:$G$193,IF(LEFT(S$4,5)="NHÓM:","NHÓM:*"&amp;MID(S$4,8,50)&amp;"*",S$4&amp;" – *")))</f>
        <v>0</v>
      </c>
      <c r="T20" s="7">
        <f>IF(T$4="HĐTN",COUNTIF('[1]03_TKB_LOP'!$B$186:$G$193,"HĐTN*")+COUNTIF('[1]03_TKB_LOP'!$B$186:$G$193,"Chào cờ/HĐTN*"),COUNTIF('[1]03_TKB_LOP'!$B$186:$G$193,IF(LEFT(T$4,5)="NHÓM:","NHÓM:*"&amp;MID(T$4,8,50)&amp;"*",T$4&amp;" – *")))</f>
        <v>1</v>
      </c>
      <c r="U20" s="7">
        <f>IF(U$4="HĐTN",COUNTIF('[1]03_TKB_LOP'!$B$186:$G$193,"HĐTN*")+COUNTIF('[1]03_TKB_LOP'!$B$186:$G$193,"Chào cờ/HĐTN*"),COUNTIF('[1]03_TKB_LOP'!$B$186:$G$193,IF(LEFT(U$4,5)="NHÓM:","NHÓM:*"&amp;MID(U$4,8,50)&amp;"*",U$4&amp;" – *")))</f>
        <v>1</v>
      </c>
      <c r="V20" s="7">
        <f>IF(V$4="HĐTN",COUNTIF('[1]03_TKB_LOP'!$B$186:$G$193,"HĐTN*")+COUNTIF('[1]03_TKB_LOP'!$B$186:$G$193,"Chào cờ/HĐTN*"),COUNTIF('[1]03_TKB_LOP'!$B$186:$G$193,IF(LEFT(V$4,5)="NHÓM:","NHÓM:*"&amp;MID(V$4,8,50)&amp;"*",V$4&amp;" – *")))</f>
        <v>0</v>
      </c>
      <c r="W20" s="7">
        <f>IF(W$4="HĐTN",COUNTIF('[1]03_TKB_LOP'!$B$186:$G$193,"HĐTN*")+COUNTIF('[1]03_TKB_LOP'!$B$186:$G$193,"Chào cờ/HĐTN*"),COUNTIF('[1]03_TKB_LOP'!$B$186:$G$193,IF(LEFT(W$4,5)="NHÓM:","NHÓM:*"&amp;MID(W$4,8,50)&amp;"*",W$4&amp;" – *")))</f>
        <v>0</v>
      </c>
      <c r="X20" s="7">
        <f>IF(X$4="HĐTN",COUNTIF('[1]03_TKB_LOP'!$B$186:$G$193,"HĐTN*")+COUNTIF('[1]03_TKB_LOP'!$B$186:$G$193,"Chào cờ/HĐTN*"),COUNTIF('[1]03_TKB_LOP'!$B$186:$G$193,IF(LEFT(X$4,5)="NHÓM:","NHÓM:*"&amp;MID(X$4,8,50)&amp;"*",X$4&amp;" – *")))</f>
        <v>8</v>
      </c>
      <c r="Y20" s="7">
        <f>IF(Y$4="HĐTN",COUNTIF('[1]03_TKB_LOP'!$B$186:$G$193,"HĐTN*")+COUNTIF('[1]03_TKB_LOP'!$B$186:$G$193,"Chào cờ/HĐTN*"),COUNTIF('[1]03_TKB_LOP'!$B$186:$G$193,IF(LEFT(Y$4,5)="NHÓM:","NHÓM:*"&amp;MID(Y$4,8,50)&amp;"*",Y$4&amp;" – *")))</f>
        <v>4</v>
      </c>
      <c r="Z20" s="7">
        <f>IF(Z$4="HĐTN",COUNTIF('[1]03_TKB_LOP'!$B$186:$G$193,"HĐTN*")+COUNTIF('[1]03_TKB_LOP'!$B$186:$G$193,"Chào cờ/HĐTN*"),COUNTIF('[1]03_TKB_LOP'!$B$186:$G$193,IF(LEFT(Z$4,5)="NHÓM:","NHÓM:*"&amp;MID(Z$4,8,50)&amp;"*",Z$4&amp;" – *")))</f>
        <v>2</v>
      </c>
      <c r="AA20" s="7">
        <f>IF(AA$4="HĐTN",COUNTIF('[1]03_TKB_LOP'!$B$186:$G$193,"HĐTN*")+COUNTIF('[1]03_TKB_LOP'!$B$186:$G$193,"Chào cờ/HĐTN*"),COUNTIF('[1]03_TKB_LOP'!$B$186:$G$193,IF(LEFT(AA$4,5)="NHÓM:","NHÓM:*"&amp;MID(AA$4,8,50)&amp;"*",AA$4&amp;" – *")))</f>
        <v>2</v>
      </c>
      <c r="AB20" s="7">
        <f>IF(AB$4="HĐTN",COUNTIF('[1]03_TKB_LOP'!$B$186:$G$193,"HĐTN*")+COUNTIF('[1]03_TKB_LOP'!$B$186:$G$193,"Chào cờ/HĐTN*"),COUNTIF('[1]03_TKB_LOP'!$B$186:$G$193,IF(LEFT(AB$4,5)="NHÓM:","NHÓM:*"&amp;MID(AB$4,8,50)&amp;"*",AB$4&amp;" – *")))</f>
        <v>0</v>
      </c>
    </row>
    <row r="21" spans="1:28" x14ac:dyDescent="0.2">
      <c r="A21" s="5" t="str">
        <f>TRIM(MID('[1]03_TKB_LOP'!$A$196,4,FIND("|",'[1]03_TKB_LOP'!$A$196)-4))</f>
        <v>10A17</v>
      </c>
      <c r="B21" s="6" t="str">
        <f>TRIM(MID('[1]03_TKB_LOP'!$A$196,FIND("GVCN:",'[1]03_TKB_LOP'!$A$196)+5,FIND("|",'[1]03_TKB_LOP'!$A$196,FIND("GVCN:",'[1]03_TKB_LOP'!$A$196))-FIND("GVCN:",'[1]03_TKB_LOP'!$A$196)-5))</f>
        <v>NGUYỄN BẢO TRANG</v>
      </c>
      <c r="C21" s="7">
        <f>IF(C$4="HĐTN",COUNTIF('[1]03_TKB_LOP'!$B$198:$G$205,"HĐTN*")+COUNTIF('[1]03_TKB_LOP'!$B$198:$G$205,"Chào cờ/HĐTN*"),COUNTIF('[1]03_TKB_LOP'!$B$198:$G$205,IF(LEFT(C$4,5)="NHÓM:","NHÓM:*"&amp;MID(C$4,8,50)&amp;"*",C$4&amp;" – *")))</f>
        <v>3</v>
      </c>
      <c r="D21" s="7">
        <f>IF(D$4="HĐTN",COUNTIF('[1]03_TKB_LOP'!$B$198:$G$205,"HĐTN*")+COUNTIF('[1]03_TKB_LOP'!$B$198:$G$205,"Chào cờ/HĐTN*"),COUNTIF('[1]03_TKB_LOP'!$B$198:$G$205,IF(LEFT(D$4,5)="NHÓM:","NHÓM:*"&amp;MID(D$4,8,50)&amp;"*",D$4&amp;" – *")))</f>
        <v>3</v>
      </c>
      <c r="E21" s="7">
        <f>IF(E$4="HĐTN",COUNTIF('[1]03_TKB_LOP'!$B$198:$G$205,"HĐTN*")+COUNTIF('[1]03_TKB_LOP'!$B$198:$G$205,"Chào cờ/HĐTN*"),COUNTIF('[1]03_TKB_LOP'!$B$198:$G$205,IF(LEFT(E$4,5)="NHÓM:","NHÓM:*"&amp;MID(E$4,8,50)&amp;"*",E$4&amp;" – *")))</f>
        <v>3</v>
      </c>
      <c r="F21" s="7">
        <f>IF(F$4="HĐTN",COUNTIF('[1]03_TKB_LOP'!$B$198:$G$205,"HĐTN*")+COUNTIF('[1]03_TKB_LOP'!$B$198:$G$205,"Chào cờ/HĐTN*"),COUNTIF('[1]03_TKB_LOP'!$B$198:$G$205,IF(LEFT(F$4,5)="NHÓM:","NHÓM:*"&amp;MID(F$4,8,50)&amp;"*",F$4&amp;" – *")))</f>
        <v>3</v>
      </c>
      <c r="G21" s="7">
        <f>IF(G$4="HĐTN",COUNTIF('[1]03_TKB_LOP'!$B$198:$G$205,"HĐTN*")+COUNTIF('[1]03_TKB_LOP'!$B$198:$G$205,"Chào cờ/HĐTN*"),COUNTIF('[1]03_TKB_LOP'!$B$198:$G$205,IF(LEFT(G$4,5)="NHÓM:","NHÓM:*"&amp;MID(G$4,8,50)&amp;"*",G$4&amp;" – *")))</f>
        <v>0</v>
      </c>
      <c r="H21" s="7">
        <f>IF(H$4="HĐTN",COUNTIF('[1]03_TKB_LOP'!$B$198:$G$205,"HĐTN*")+COUNTIF('[1]03_TKB_LOP'!$B$198:$G$205,"Chào cờ/HĐTN*"),COUNTIF('[1]03_TKB_LOP'!$B$198:$G$205,IF(LEFT(H$4,5)="NHÓM:","NHÓM:*"&amp;MID(H$4,8,50)&amp;"*",H$4&amp;" – *")))</f>
        <v>2</v>
      </c>
      <c r="I21" s="7">
        <f>IF(I$4="HĐTN",COUNTIF('[1]03_TKB_LOP'!$B$198:$G$205,"HĐTN*")+COUNTIF('[1]03_TKB_LOP'!$B$198:$G$205,"Chào cờ/HĐTN*"),COUNTIF('[1]03_TKB_LOP'!$B$198:$G$205,IF(LEFT(I$4,5)="NHÓM:","NHÓM:*"&amp;MID(I$4,8,50)&amp;"*",I$4&amp;" – *")))</f>
        <v>2</v>
      </c>
      <c r="J21" s="7">
        <f>IF(J$4="HĐTN",COUNTIF('[1]03_TKB_LOP'!$B$198:$G$205,"HĐTN*")+COUNTIF('[1]03_TKB_LOP'!$B$198:$G$205,"Chào cờ/HĐTN*"),COUNTIF('[1]03_TKB_LOP'!$B$198:$G$205,IF(LEFT(J$4,5)="NHÓM:","NHÓM:*"&amp;MID(J$4,8,50)&amp;"*",J$4&amp;" – *")))</f>
        <v>2</v>
      </c>
      <c r="K21" s="7">
        <f>IF(K$4="HĐTN",COUNTIF('[1]03_TKB_LOP'!$B$198:$G$205,"HĐTN*")+COUNTIF('[1]03_TKB_LOP'!$B$198:$G$205,"Chào cờ/HĐTN*"),COUNTIF('[1]03_TKB_LOP'!$B$198:$G$205,IF(LEFT(K$4,5)="NHÓM:","NHÓM:*"&amp;MID(K$4,8,50)&amp;"*",K$4&amp;" – *")))</f>
        <v>0</v>
      </c>
      <c r="L21" s="7">
        <f>IF(L$4="HĐTN",COUNTIF('[1]03_TKB_LOP'!$B$198:$G$205,"HĐTN*")+COUNTIF('[1]03_TKB_LOP'!$B$198:$G$205,"Chào cờ/HĐTN*"),COUNTIF('[1]03_TKB_LOP'!$B$198:$G$205,IF(LEFT(L$4,5)="NHÓM:","NHÓM:*"&amp;MID(L$4,8,50)&amp;"*",L$4&amp;" – *")))</f>
        <v>0</v>
      </c>
      <c r="M21" s="7">
        <f>IF(M$4="HĐTN",COUNTIF('[1]03_TKB_LOP'!$B$198:$G$205,"HĐTN*")+COUNTIF('[1]03_TKB_LOP'!$B$198:$G$205,"Chào cờ/HĐTN*"),COUNTIF('[1]03_TKB_LOP'!$B$198:$G$205,IF(LEFT(M$4,5)="NHÓM:","NHÓM:*"&amp;MID(M$4,8,50)&amp;"*",M$4&amp;" – *")))</f>
        <v>2</v>
      </c>
      <c r="N21" s="7">
        <f>IF(N$4="HĐTN",COUNTIF('[1]03_TKB_LOP'!$B$198:$G$205,"HĐTN*")+COUNTIF('[1]03_TKB_LOP'!$B$198:$G$205,"Chào cờ/HĐTN*"),COUNTIF('[1]03_TKB_LOP'!$B$198:$G$205,IF(LEFT(N$4,5)="NHÓM:","NHÓM:*"&amp;MID(N$4,8,50)&amp;"*",N$4&amp;" – *")))</f>
        <v>2</v>
      </c>
      <c r="O21" s="7">
        <f>IF(O$4="HĐTN",COUNTIF('[1]03_TKB_LOP'!$B$198:$G$205,"HĐTN*")+COUNTIF('[1]03_TKB_LOP'!$B$198:$G$205,"Chào cờ/HĐTN*"),COUNTIF('[1]03_TKB_LOP'!$B$198:$G$205,IF(LEFT(O$4,5)="NHÓM:","NHÓM:*"&amp;MID(O$4,8,50)&amp;"*",O$4&amp;" – *")))</f>
        <v>1</v>
      </c>
      <c r="P21" s="7">
        <f>IF(P$4="HĐTN",COUNTIF('[1]03_TKB_LOP'!$B$198:$G$205,"HĐTN*")+COUNTIF('[1]03_TKB_LOP'!$B$198:$G$205,"Chào cờ/HĐTN*"),COUNTIF('[1]03_TKB_LOP'!$B$198:$G$205,IF(LEFT(P$4,5)="NHÓM:","NHÓM:*"&amp;MID(P$4,8,50)&amp;"*",P$4&amp;" – *")))</f>
        <v>1</v>
      </c>
      <c r="Q21" s="7">
        <f>IF(Q$4="HĐTN",COUNTIF('[1]03_TKB_LOP'!$B$198:$G$205,"HĐTN*")+COUNTIF('[1]03_TKB_LOP'!$B$198:$G$205,"Chào cờ/HĐTN*"),COUNTIF('[1]03_TKB_LOP'!$B$198:$G$205,IF(LEFT(Q$4,5)="NHÓM:","NHÓM:*"&amp;MID(Q$4,8,50)&amp;"*",Q$4&amp;" – *")))</f>
        <v>1</v>
      </c>
      <c r="R21" s="7">
        <f>IF(R$4="HĐTN",COUNTIF('[1]03_TKB_LOP'!$B$198:$G$205,"HĐTN*")+COUNTIF('[1]03_TKB_LOP'!$B$198:$G$205,"Chào cờ/HĐTN*"),COUNTIF('[1]03_TKB_LOP'!$B$198:$G$205,IF(LEFT(R$4,5)="NHÓM:","NHÓM:*"&amp;MID(R$4,8,50)&amp;"*",R$4&amp;" – *")))</f>
        <v>0</v>
      </c>
      <c r="S21" s="7">
        <f>IF(S$4="HĐTN",COUNTIF('[1]03_TKB_LOP'!$B$198:$G$205,"HĐTN*")+COUNTIF('[1]03_TKB_LOP'!$B$198:$G$205,"Chào cờ/HĐTN*"),COUNTIF('[1]03_TKB_LOP'!$B$198:$G$205,IF(LEFT(S$4,5)="NHÓM:","NHÓM:*"&amp;MID(S$4,8,50)&amp;"*",S$4&amp;" – *")))</f>
        <v>0</v>
      </c>
      <c r="T21" s="7">
        <f>IF(T$4="HĐTN",COUNTIF('[1]03_TKB_LOP'!$B$198:$G$205,"HĐTN*")+COUNTIF('[1]03_TKB_LOP'!$B$198:$G$205,"Chào cờ/HĐTN*"),COUNTIF('[1]03_TKB_LOP'!$B$198:$G$205,IF(LEFT(T$4,5)="NHÓM:","NHÓM:*"&amp;MID(T$4,8,50)&amp;"*",T$4&amp;" – *")))</f>
        <v>1</v>
      </c>
      <c r="U21" s="7">
        <f>IF(U$4="HĐTN",COUNTIF('[1]03_TKB_LOP'!$B$198:$G$205,"HĐTN*")+COUNTIF('[1]03_TKB_LOP'!$B$198:$G$205,"Chào cờ/HĐTN*"),COUNTIF('[1]03_TKB_LOP'!$B$198:$G$205,IF(LEFT(U$4,5)="NHÓM:","NHÓM:*"&amp;MID(U$4,8,50)&amp;"*",U$4&amp;" – *")))</f>
        <v>1</v>
      </c>
      <c r="V21" s="7">
        <f>IF(V$4="HĐTN",COUNTIF('[1]03_TKB_LOP'!$B$198:$G$205,"HĐTN*")+COUNTIF('[1]03_TKB_LOP'!$B$198:$G$205,"Chào cờ/HĐTN*"),COUNTIF('[1]03_TKB_LOP'!$B$198:$G$205,IF(LEFT(V$4,5)="NHÓM:","NHÓM:*"&amp;MID(V$4,8,50)&amp;"*",V$4&amp;" – *")))</f>
        <v>0</v>
      </c>
      <c r="W21" s="7">
        <f>IF(W$4="HĐTN",COUNTIF('[1]03_TKB_LOP'!$B$198:$G$205,"HĐTN*")+COUNTIF('[1]03_TKB_LOP'!$B$198:$G$205,"Chào cờ/HĐTN*"),COUNTIF('[1]03_TKB_LOP'!$B$198:$G$205,IF(LEFT(W$4,5)="NHÓM:","NHÓM:*"&amp;MID(W$4,8,50)&amp;"*",W$4&amp;" – *")))</f>
        <v>0</v>
      </c>
      <c r="X21" s="7">
        <f>IF(X$4="HĐTN",COUNTIF('[1]03_TKB_LOP'!$B$198:$G$205,"HĐTN*")+COUNTIF('[1]03_TKB_LOP'!$B$198:$G$205,"Chào cờ/HĐTN*"),COUNTIF('[1]03_TKB_LOP'!$B$198:$G$205,IF(LEFT(X$4,5)="NHÓM:","NHÓM:*"&amp;MID(X$4,8,50)&amp;"*",X$4&amp;" – *")))</f>
        <v>4</v>
      </c>
      <c r="Y21" s="7">
        <f>IF(Y$4="HĐTN",COUNTIF('[1]03_TKB_LOP'!$B$198:$G$205,"HĐTN*")+COUNTIF('[1]03_TKB_LOP'!$B$198:$G$205,"Chào cờ/HĐTN*"),COUNTIF('[1]03_TKB_LOP'!$B$198:$G$205,IF(LEFT(Y$4,5)="NHÓM:","NHÓM:*"&amp;MID(Y$4,8,50)&amp;"*",Y$4&amp;" – *")))</f>
        <v>2</v>
      </c>
      <c r="Z21" s="7">
        <f>IF(Z$4="HĐTN",COUNTIF('[1]03_TKB_LOP'!$B$198:$G$205,"HĐTN*")+COUNTIF('[1]03_TKB_LOP'!$B$198:$G$205,"Chào cờ/HĐTN*"),COUNTIF('[1]03_TKB_LOP'!$B$198:$G$205,IF(LEFT(Z$4,5)="NHÓM:","NHÓM:*"&amp;MID(Z$4,8,50)&amp;"*",Z$4&amp;" – *")))</f>
        <v>4</v>
      </c>
      <c r="AA21" s="7">
        <f>IF(AA$4="HĐTN",COUNTIF('[1]03_TKB_LOP'!$B$198:$G$205,"HĐTN*")+COUNTIF('[1]03_TKB_LOP'!$B$198:$G$205,"Chào cờ/HĐTN*"),COUNTIF('[1]03_TKB_LOP'!$B$198:$G$205,IF(LEFT(AA$4,5)="NHÓM:","NHÓM:*"&amp;MID(AA$4,8,50)&amp;"*",AA$4&amp;" – *")))</f>
        <v>4</v>
      </c>
      <c r="AB21" s="7">
        <f>IF(AB$4="HĐTN",COUNTIF('[1]03_TKB_LOP'!$B$198:$G$205,"HĐTN*")+COUNTIF('[1]03_TKB_LOP'!$B$198:$G$205,"Chào cờ/HĐTN*"),COUNTIF('[1]03_TKB_LOP'!$B$198:$G$205,IF(LEFT(AB$4,5)="NHÓM:","NHÓM:*"&amp;MID(AB$4,8,50)&amp;"*",AB$4&amp;" – *")))</f>
        <v>0</v>
      </c>
    </row>
    <row r="22" spans="1:28" x14ac:dyDescent="0.2">
      <c r="A22" s="5" t="str">
        <f>TRIM(MID('[1]03_TKB_LOP'!$A$208,4,FIND("|",'[1]03_TKB_LOP'!$A$208)-4))</f>
        <v>10A18</v>
      </c>
      <c r="B22" s="6" t="str">
        <f>TRIM(MID('[1]03_TKB_LOP'!$A$208,FIND("GVCN:",'[1]03_TKB_LOP'!$A$208)+5,FIND("|",'[1]03_TKB_LOP'!$A$208,FIND("GVCN:",'[1]03_TKB_LOP'!$A$208))-FIND("GVCN:",'[1]03_TKB_LOP'!$A$208)-5))</f>
        <v>NGUYỄN VĂN TÂM</v>
      </c>
      <c r="C22" s="7">
        <f>IF(C$4="HĐTN",COUNTIF('[1]03_TKB_LOP'!$B$210:$G$217,"HĐTN*")+COUNTIF('[1]03_TKB_LOP'!$B$210:$G$217,"Chào cờ/HĐTN*"),COUNTIF('[1]03_TKB_LOP'!$B$210:$G$217,IF(LEFT(C$4,5)="NHÓM:","NHÓM:*"&amp;MID(C$4,8,50)&amp;"*",C$4&amp;" – *")))</f>
        <v>3</v>
      </c>
      <c r="D22" s="7">
        <f>IF(D$4="HĐTN",COUNTIF('[1]03_TKB_LOP'!$B$210:$G$217,"HĐTN*")+COUNTIF('[1]03_TKB_LOP'!$B$210:$G$217,"Chào cờ/HĐTN*"),COUNTIF('[1]03_TKB_LOP'!$B$210:$G$217,IF(LEFT(D$4,5)="NHÓM:","NHÓM:*"&amp;MID(D$4,8,50)&amp;"*",D$4&amp;" – *")))</f>
        <v>3</v>
      </c>
      <c r="E22" s="7">
        <f>IF(E$4="HĐTN",COUNTIF('[1]03_TKB_LOP'!$B$210:$G$217,"HĐTN*")+COUNTIF('[1]03_TKB_LOP'!$B$210:$G$217,"Chào cờ/HĐTN*"),COUNTIF('[1]03_TKB_LOP'!$B$210:$G$217,IF(LEFT(E$4,5)="NHÓM:","NHÓM:*"&amp;MID(E$4,8,50)&amp;"*",E$4&amp;" – *")))</f>
        <v>3</v>
      </c>
      <c r="F22" s="7">
        <f>IF(F$4="HĐTN",COUNTIF('[1]03_TKB_LOP'!$B$210:$G$217,"HĐTN*")+COUNTIF('[1]03_TKB_LOP'!$B$210:$G$217,"Chào cờ/HĐTN*"),COUNTIF('[1]03_TKB_LOP'!$B$210:$G$217,IF(LEFT(F$4,5)="NHÓM:","NHÓM:*"&amp;MID(F$4,8,50)&amp;"*",F$4&amp;" – *")))</f>
        <v>3</v>
      </c>
      <c r="G22" s="7">
        <f>IF(G$4="HĐTN",COUNTIF('[1]03_TKB_LOP'!$B$210:$G$217,"HĐTN*")+COUNTIF('[1]03_TKB_LOP'!$B$210:$G$217,"Chào cờ/HĐTN*"),COUNTIF('[1]03_TKB_LOP'!$B$210:$G$217,IF(LEFT(G$4,5)="NHÓM:","NHÓM:*"&amp;MID(G$4,8,50)&amp;"*",G$4&amp;" – *")))</f>
        <v>0</v>
      </c>
      <c r="H22" s="7">
        <f>IF(H$4="HĐTN",COUNTIF('[1]03_TKB_LOP'!$B$210:$G$217,"HĐTN*")+COUNTIF('[1]03_TKB_LOP'!$B$210:$G$217,"Chào cờ/HĐTN*"),COUNTIF('[1]03_TKB_LOP'!$B$210:$G$217,IF(LEFT(H$4,5)="NHÓM:","NHÓM:*"&amp;MID(H$4,8,50)&amp;"*",H$4&amp;" – *")))</f>
        <v>0</v>
      </c>
      <c r="I22" s="7">
        <f>IF(I$4="HĐTN",COUNTIF('[1]03_TKB_LOP'!$B$210:$G$217,"HĐTN*")+COUNTIF('[1]03_TKB_LOP'!$B$210:$G$217,"Chào cờ/HĐTN*"),COUNTIF('[1]03_TKB_LOP'!$B$210:$G$217,IF(LEFT(I$4,5)="NHÓM:","NHÓM:*"&amp;MID(I$4,8,50)&amp;"*",I$4&amp;" – *")))</f>
        <v>2</v>
      </c>
      <c r="J22" s="7">
        <f>IF(J$4="HĐTN",COUNTIF('[1]03_TKB_LOP'!$B$210:$G$217,"HĐTN*")+COUNTIF('[1]03_TKB_LOP'!$B$210:$G$217,"Chào cờ/HĐTN*"),COUNTIF('[1]03_TKB_LOP'!$B$210:$G$217,IF(LEFT(J$4,5)="NHÓM:","NHÓM:*"&amp;MID(J$4,8,50)&amp;"*",J$4&amp;" – *")))</f>
        <v>2</v>
      </c>
      <c r="K22" s="7">
        <f>IF(K$4="HĐTN",COUNTIF('[1]03_TKB_LOP'!$B$210:$G$217,"HĐTN*")+COUNTIF('[1]03_TKB_LOP'!$B$210:$G$217,"Chào cờ/HĐTN*"),COUNTIF('[1]03_TKB_LOP'!$B$210:$G$217,IF(LEFT(K$4,5)="NHÓM:","NHÓM:*"&amp;MID(K$4,8,50)&amp;"*",K$4&amp;" – *")))</f>
        <v>2</v>
      </c>
      <c r="L22" s="7">
        <f>IF(L$4="HĐTN",COUNTIF('[1]03_TKB_LOP'!$B$210:$G$217,"HĐTN*")+COUNTIF('[1]03_TKB_LOP'!$B$210:$G$217,"Chào cờ/HĐTN*"),COUNTIF('[1]03_TKB_LOP'!$B$210:$G$217,IF(LEFT(L$4,5)="NHÓM:","NHÓM:*"&amp;MID(L$4,8,50)&amp;"*",L$4&amp;" – *")))</f>
        <v>2</v>
      </c>
      <c r="M22" s="7">
        <f>IF(M$4="HĐTN",COUNTIF('[1]03_TKB_LOP'!$B$210:$G$217,"HĐTN*")+COUNTIF('[1]03_TKB_LOP'!$B$210:$G$217,"Chào cờ/HĐTN*"),COUNTIF('[1]03_TKB_LOP'!$B$210:$G$217,IF(LEFT(M$4,5)="NHÓM:","NHÓM:*"&amp;MID(M$4,8,50)&amp;"*",M$4&amp;" – *")))</f>
        <v>2</v>
      </c>
      <c r="N22" s="7">
        <f>IF(N$4="HĐTN",COUNTIF('[1]03_TKB_LOP'!$B$210:$G$217,"HĐTN*")+COUNTIF('[1]03_TKB_LOP'!$B$210:$G$217,"Chào cờ/HĐTN*"),COUNTIF('[1]03_TKB_LOP'!$B$210:$G$217,IF(LEFT(N$4,5)="NHÓM:","NHÓM:*"&amp;MID(N$4,8,50)&amp;"*",N$4&amp;" – *")))</f>
        <v>0</v>
      </c>
      <c r="O22" s="7">
        <f>IF(O$4="HĐTN",COUNTIF('[1]03_TKB_LOP'!$B$210:$G$217,"HĐTN*")+COUNTIF('[1]03_TKB_LOP'!$B$210:$G$217,"Chào cờ/HĐTN*"),COUNTIF('[1]03_TKB_LOP'!$B$210:$G$217,IF(LEFT(O$4,5)="NHÓM:","NHÓM:*"&amp;MID(O$4,8,50)&amp;"*",O$4&amp;" – *")))</f>
        <v>1</v>
      </c>
      <c r="P22" s="7">
        <f>IF(P$4="HĐTN",COUNTIF('[1]03_TKB_LOP'!$B$210:$G$217,"HĐTN*")+COUNTIF('[1]03_TKB_LOP'!$B$210:$G$217,"Chào cờ/HĐTN*"),COUNTIF('[1]03_TKB_LOP'!$B$210:$G$217,IF(LEFT(P$4,5)="NHÓM:","NHÓM:*"&amp;MID(P$4,8,50)&amp;"*",P$4&amp;" – *")))</f>
        <v>1</v>
      </c>
      <c r="Q22" s="7">
        <f>IF(Q$4="HĐTN",COUNTIF('[1]03_TKB_LOP'!$B$210:$G$217,"HĐTN*")+COUNTIF('[1]03_TKB_LOP'!$B$210:$G$217,"Chào cờ/HĐTN*"),COUNTIF('[1]03_TKB_LOP'!$B$210:$G$217,IF(LEFT(Q$4,5)="NHÓM:","NHÓM:*"&amp;MID(Q$4,8,50)&amp;"*",Q$4&amp;" – *")))</f>
        <v>1</v>
      </c>
      <c r="R22" s="7">
        <f>IF(R$4="HĐTN",COUNTIF('[1]03_TKB_LOP'!$B$210:$G$217,"HĐTN*")+COUNTIF('[1]03_TKB_LOP'!$B$210:$G$217,"Chào cờ/HĐTN*"),COUNTIF('[1]03_TKB_LOP'!$B$210:$G$217,IF(LEFT(R$4,5)="NHÓM:","NHÓM:*"&amp;MID(R$4,8,50)&amp;"*",R$4&amp;" – *")))</f>
        <v>1</v>
      </c>
      <c r="S22" s="7">
        <f>IF(S$4="HĐTN",COUNTIF('[1]03_TKB_LOP'!$B$210:$G$217,"HĐTN*")+COUNTIF('[1]03_TKB_LOP'!$B$210:$G$217,"Chào cờ/HĐTN*"),COUNTIF('[1]03_TKB_LOP'!$B$210:$G$217,IF(LEFT(S$4,5)="NHÓM:","NHÓM:*"&amp;MID(S$4,8,50)&amp;"*",S$4&amp;" – *")))</f>
        <v>0</v>
      </c>
      <c r="T22" s="7">
        <f>IF(T$4="HĐTN",COUNTIF('[1]03_TKB_LOP'!$B$210:$G$217,"HĐTN*")+COUNTIF('[1]03_TKB_LOP'!$B$210:$G$217,"Chào cờ/HĐTN*"),COUNTIF('[1]03_TKB_LOP'!$B$210:$G$217,IF(LEFT(T$4,5)="NHÓM:","NHÓM:*"&amp;MID(T$4,8,50)&amp;"*",T$4&amp;" – *")))</f>
        <v>0</v>
      </c>
      <c r="U22" s="7">
        <f>IF(U$4="HĐTN",COUNTIF('[1]03_TKB_LOP'!$B$210:$G$217,"HĐTN*")+COUNTIF('[1]03_TKB_LOP'!$B$210:$G$217,"Chào cờ/HĐTN*"),COUNTIF('[1]03_TKB_LOP'!$B$210:$G$217,IF(LEFT(U$4,5)="NHÓM:","NHÓM:*"&amp;MID(U$4,8,50)&amp;"*",U$4&amp;" – *")))</f>
        <v>1</v>
      </c>
      <c r="V22" s="7">
        <f>IF(V$4="HĐTN",COUNTIF('[1]03_TKB_LOP'!$B$210:$G$217,"HĐTN*")+COUNTIF('[1]03_TKB_LOP'!$B$210:$G$217,"Chào cờ/HĐTN*"),COUNTIF('[1]03_TKB_LOP'!$B$210:$G$217,IF(LEFT(V$4,5)="NHÓM:","NHÓM:*"&amp;MID(V$4,8,50)&amp;"*",V$4&amp;" – *")))</f>
        <v>0</v>
      </c>
      <c r="W22" s="7">
        <f>IF(W$4="HĐTN",COUNTIF('[1]03_TKB_LOP'!$B$210:$G$217,"HĐTN*")+COUNTIF('[1]03_TKB_LOP'!$B$210:$G$217,"Chào cờ/HĐTN*"),COUNTIF('[1]03_TKB_LOP'!$B$210:$G$217,IF(LEFT(W$4,5)="NHÓM:","NHÓM:*"&amp;MID(W$4,8,50)&amp;"*",W$4&amp;" – *")))</f>
        <v>0</v>
      </c>
      <c r="X22" s="7">
        <f>IF(X$4="HĐTN",COUNTIF('[1]03_TKB_LOP'!$B$210:$G$217,"HĐTN*")+COUNTIF('[1]03_TKB_LOP'!$B$210:$G$217,"Chào cờ/HĐTN*"),COUNTIF('[1]03_TKB_LOP'!$B$210:$G$217,IF(LEFT(X$4,5)="NHÓM:","NHÓM:*"&amp;MID(X$4,8,50)&amp;"*",X$4&amp;" – *")))</f>
        <v>6</v>
      </c>
      <c r="Y22" s="7">
        <f>IF(Y$4="HĐTN",COUNTIF('[1]03_TKB_LOP'!$B$210:$G$217,"HĐTN*")+COUNTIF('[1]03_TKB_LOP'!$B$210:$G$217,"Chào cờ/HĐTN*"),COUNTIF('[1]03_TKB_LOP'!$B$210:$G$217,IF(LEFT(Y$4,5)="NHÓM:","NHÓM:*"&amp;MID(Y$4,8,50)&amp;"*",Y$4&amp;" – *")))</f>
        <v>4</v>
      </c>
      <c r="Z22" s="7">
        <f>IF(Z$4="HĐTN",COUNTIF('[1]03_TKB_LOP'!$B$210:$G$217,"HĐTN*")+COUNTIF('[1]03_TKB_LOP'!$B$210:$G$217,"Chào cờ/HĐTN*"),COUNTIF('[1]03_TKB_LOP'!$B$210:$G$217,IF(LEFT(Z$4,5)="NHÓM:","NHÓM:*"&amp;MID(Z$4,8,50)&amp;"*",Z$4&amp;" – *")))</f>
        <v>2</v>
      </c>
      <c r="AA22" s="7">
        <f>IF(AA$4="HĐTN",COUNTIF('[1]03_TKB_LOP'!$B$210:$G$217,"HĐTN*")+COUNTIF('[1]03_TKB_LOP'!$B$210:$G$217,"Chào cờ/HĐTN*"),COUNTIF('[1]03_TKB_LOP'!$B$210:$G$217,IF(LEFT(AA$4,5)="NHÓM:","NHÓM:*"&amp;MID(AA$4,8,50)&amp;"*",AA$4&amp;" – *")))</f>
        <v>2</v>
      </c>
      <c r="AB22" s="7">
        <f>IF(AB$4="HĐTN",COUNTIF('[1]03_TKB_LOP'!$B$210:$G$217,"HĐTN*")+COUNTIF('[1]03_TKB_LOP'!$B$210:$G$217,"Chào cờ/HĐTN*"),COUNTIF('[1]03_TKB_LOP'!$B$210:$G$217,IF(LEFT(AB$4,5)="NHÓM:","NHÓM:*"&amp;MID(AB$4,8,50)&amp;"*",AB$4&amp;" – *")))</f>
        <v>0</v>
      </c>
    </row>
    <row r="23" spans="1:28" x14ac:dyDescent="0.2">
      <c r="A23" s="5" t="str">
        <f>TRIM(MID('[1]03_TKB_LOP'!$A$220,4,FIND("|",'[1]03_TKB_LOP'!$A$220)-4))</f>
        <v>10A19</v>
      </c>
      <c r="B23" s="6" t="str">
        <f>TRIM(MID('[1]03_TKB_LOP'!$A$220,FIND("GVCN:",'[1]03_TKB_LOP'!$A$220)+5,FIND("|",'[1]03_TKB_LOP'!$A$220,FIND("GVCN:",'[1]03_TKB_LOP'!$A$220))-FIND("GVCN:",'[1]03_TKB_LOP'!$A$220)-5))</f>
        <v>PHẠM LÊ THÙY DUNG</v>
      </c>
      <c r="C23" s="7">
        <f>IF(C$4="HĐTN",COUNTIF('[1]03_TKB_LOP'!$B$222:$G$229,"HĐTN*")+COUNTIF('[1]03_TKB_LOP'!$B$222:$G$229,"Chào cờ/HĐTN*"),COUNTIF('[1]03_TKB_LOP'!$B$222:$G$229,IF(LEFT(C$4,5)="NHÓM:","NHÓM:*"&amp;MID(C$4,8,50)&amp;"*",C$4&amp;" – *")))</f>
        <v>3</v>
      </c>
      <c r="D23" s="7">
        <f>IF(D$4="HĐTN",COUNTIF('[1]03_TKB_LOP'!$B$222:$G$229,"HĐTN*")+COUNTIF('[1]03_TKB_LOP'!$B$222:$G$229,"Chào cờ/HĐTN*"),COUNTIF('[1]03_TKB_LOP'!$B$222:$G$229,IF(LEFT(D$4,5)="NHÓM:","NHÓM:*"&amp;MID(D$4,8,50)&amp;"*",D$4&amp;" – *")))</f>
        <v>3</v>
      </c>
      <c r="E23" s="7">
        <f>IF(E$4="HĐTN",COUNTIF('[1]03_TKB_LOP'!$B$222:$G$229,"HĐTN*")+COUNTIF('[1]03_TKB_LOP'!$B$222:$G$229,"Chào cờ/HĐTN*"),COUNTIF('[1]03_TKB_LOP'!$B$222:$G$229,IF(LEFT(E$4,5)="NHÓM:","NHÓM:*"&amp;MID(E$4,8,50)&amp;"*",E$4&amp;" – *")))</f>
        <v>3</v>
      </c>
      <c r="F23" s="7">
        <f>IF(F$4="HĐTN",COUNTIF('[1]03_TKB_LOP'!$B$222:$G$229,"HĐTN*")+COUNTIF('[1]03_TKB_LOP'!$B$222:$G$229,"Chào cờ/HĐTN*"),COUNTIF('[1]03_TKB_LOP'!$B$222:$G$229,IF(LEFT(F$4,5)="NHÓM:","NHÓM:*"&amp;MID(F$4,8,50)&amp;"*",F$4&amp;" – *")))</f>
        <v>3</v>
      </c>
      <c r="G23" s="7">
        <f>IF(G$4="HĐTN",COUNTIF('[1]03_TKB_LOP'!$B$222:$G$229,"HĐTN*")+COUNTIF('[1]03_TKB_LOP'!$B$222:$G$229,"Chào cờ/HĐTN*"),COUNTIF('[1]03_TKB_LOP'!$B$222:$G$229,IF(LEFT(G$4,5)="NHÓM:","NHÓM:*"&amp;MID(G$4,8,50)&amp;"*",G$4&amp;" – *")))</f>
        <v>0</v>
      </c>
      <c r="H23" s="7">
        <f>IF(H$4="HĐTN",COUNTIF('[1]03_TKB_LOP'!$B$222:$G$229,"HĐTN*")+COUNTIF('[1]03_TKB_LOP'!$B$222:$G$229,"Chào cờ/HĐTN*"),COUNTIF('[1]03_TKB_LOP'!$B$222:$G$229,IF(LEFT(H$4,5)="NHÓM:","NHÓM:*"&amp;MID(H$4,8,50)&amp;"*",H$4&amp;" – *")))</f>
        <v>0</v>
      </c>
      <c r="I23" s="7">
        <f>IF(I$4="HĐTN",COUNTIF('[1]03_TKB_LOP'!$B$222:$G$229,"HĐTN*")+COUNTIF('[1]03_TKB_LOP'!$B$222:$G$229,"Chào cờ/HĐTN*"),COUNTIF('[1]03_TKB_LOP'!$B$222:$G$229,IF(LEFT(I$4,5)="NHÓM:","NHÓM:*"&amp;MID(I$4,8,50)&amp;"*",I$4&amp;" – *")))</f>
        <v>2</v>
      </c>
      <c r="J23" s="7">
        <f>IF(J$4="HĐTN",COUNTIF('[1]03_TKB_LOP'!$B$222:$G$229,"HĐTN*")+COUNTIF('[1]03_TKB_LOP'!$B$222:$G$229,"Chào cờ/HĐTN*"),COUNTIF('[1]03_TKB_LOP'!$B$222:$G$229,IF(LEFT(J$4,5)="NHÓM:","NHÓM:*"&amp;MID(J$4,8,50)&amp;"*",J$4&amp;" – *")))</f>
        <v>2</v>
      </c>
      <c r="K23" s="7">
        <f>IF(K$4="HĐTN",COUNTIF('[1]03_TKB_LOP'!$B$222:$G$229,"HĐTN*")+COUNTIF('[1]03_TKB_LOP'!$B$222:$G$229,"Chào cờ/HĐTN*"),COUNTIF('[1]03_TKB_LOP'!$B$222:$G$229,IF(LEFT(K$4,5)="NHÓM:","NHÓM:*"&amp;MID(K$4,8,50)&amp;"*",K$4&amp;" – *")))</f>
        <v>2</v>
      </c>
      <c r="L23" s="7">
        <f>IF(L$4="HĐTN",COUNTIF('[1]03_TKB_LOP'!$B$222:$G$229,"HĐTN*")+COUNTIF('[1]03_TKB_LOP'!$B$222:$G$229,"Chào cờ/HĐTN*"),COUNTIF('[1]03_TKB_LOP'!$B$222:$G$229,IF(LEFT(L$4,5)="NHÓM:","NHÓM:*"&amp;MID(L$4,8,50)&amp;"*",L$4&amp;" – *")))</f>
        <v>2</v>
      </c>
      <c r="M23" s="7">
        <f>IF(M$4="HĐTN",COUNTIF('[1]03_TKB_LOP'!$B$222:$G$229,"HĐTN*")+COUNTIF('[1]03_TKB_LOP'!$B$222:$G$229,"Chào cờ/HĐTN*"),COUNTIF('[1]03_TKB_LOP'!$B$222:$G$229,IF(LEFT(M$4,5)="NHÓM:","NHÓM:*"&amp;MID(M$4,8,50)&amp;"*",M$4&amp;" – *")))</f>
        <v>2</v>
      </c>
      <c r="N23" s="7">
        <f>IF(N$4="HĐTN",COUNTIF('[1]03_TKB_LOP'!$B$222:$G$229,"HĐTN*")+COUNTIF('[1]03_TKB_LOP'!$B$222:$G$229,"Chào cờ/HĐTN*"),COUNTIF('[1]03_TKB_LOP'!$B$222:$G$229,IF(LEFT(N$4,5)="NHÓM:","NHÓM:*"&amp;MID(N$4,8,50)&amp;"*",N$4&amp;" – *")))</f>
        <v>0</v>
      </c>
      <c r="O23" s="7">
        <f>IF(O$4="HĐTN",COUNTIF('[1]03_TKB_LOP'!$B$222:$G$229,"HĐTN*")+COUNTIF('[1]03_TKB_LOP'!$B$222:$G$229,"Chào cờ/HĐTN*"),COUNTIF('[1]03_TKB_LOP'!$B$222:$G$229,IF(LEFT(O$4,5)="NHÓM:","NHÓM:*"&amp;MID(O$4,8,50)&amp;"*",O$4&amp;" – *")))</f>
        <v>1</v>
      </c>
      <c r="P23" s="7">
        <f>IF(P$4="HĐTN",COUNTIF('[1]03_TKB_LOP'!$B$222:$G$229,"HĐTN*")+COUNTIF('[1]03_TKB_LOP'!$B$222:$G$229,"Chào cờ/HĐTN*"),COUNTIF('[1]03_TKB_LOP'!$B$222:$G$229,IF(LEFT(P$4,5)="NHÓM:","NHÓM:*"&amp;MID(P$4,8,50)&amp;"*",P$4&amp;" – *")))</f>
        <v>1</v>
      </c>
      <c r="Q23" s="7">
        <f>IF(Q$4="HĐTN",COUNTIF('[1]03_TKB_LOP'!$B$222:$G$229,"HĐTN*")+COUNTIF('[1]03_TKB_LOP'!$B$222:$G$229,"Chào cờ/HĐTN*"),COUNTIF('[1]03_TKB_LOP'!$B$222:$G$229,IF(LEFT(Q$4,5)="NHÓM:","NHÓM:*"&amp;MID(Q$4,8,50)&amp;"*",Q$4&amp;" – *")))</f>
        <v>1</v>
      </c>
      <c r="R23" s="7">
        <f>IF(R$4="HĐTN",COUNTIF('[1]03_TKB_LOP'!$B$222:$G$229,"HĐTN*")+COUNTIF('[1]03_TKB_LOP'!$B$222:$G$229,"Chào cờ/HĐTN*"),COUNTIF('[1]03_TKB_LOP'!$B$222:$G$229,IF(LEFT(R$4,5)="NHÓM:","NHÓM:*"&amp;MID(R$4,8,50)&amp;"*",R$4&amp;" – *")))</f>
        <v>1</v>
      </c>
      <c r="S23" s="7">
        <f>IF(S$4="HĐTN",COUNTIF('[1]03_TKB_LOP'!$B$222:$G$229,"HĐTN*")+COUNTIF('[1]03_TKB_LOP'!$B$222:$G$229,"Chào cờ/HĐTN*"),COUNTIF('[1]03_TKB_LOP'!$B$222:$G$229,IF(LEFT(S$4,5)="NHÓM:","NHÓM:*"&amp;MID(S$4,8,50)&amp;"*",S$4&amp;" – *")))</f>
        <v>0</v>
      </c>
      <c r="T23" s="7">
        <f>IF(T$4="HĐTN",COUNTIF('[1]03_TKB_LOP'!$B$222:$G$229,"HĐTN*")+COUNTIF('[1]03_TKB_LOP'!$B$222:$G$229,"Chào cờ/HĐTN*"),COUNTIF('[1]03_TKB_LOP'!$B$222:$G$229,IF(LEFT(T$4,5)="NHÓM:","NHÓM:*"&amp;MID(T$4,8,50)&amp;"*",T$4&amp;" – *")))</f>
        <v>0</v>
      </c>
      <c r="U23" s="7">
        <f>IF(U$4="HĐTN",COUNTIF('[1]03_TKB_LOP'!$B$222:$G$229,"HĐTN*")+COUNTIF('[1]03_TKB_LOP'!$B$222:$G$229,"Chào cờ/HĐTN*"),COUNTIF('[1]03_TKB_LOP'!$B$222:$G$229,IF(LEFT(U$4,5)="NHÓM:","NHÓM:*"&amp;MID(U$4,8,50)&amp;"*",U$4&amp;" – *")))</f>
        <v>1</v>
      </c>
      <c r="V23" s="7">
        <f>IF(V$4="HĐTN",COUNTIF('[1]03_TKB_LOP'!$B$222:$G$229,"HĐTN*")+COUNTIF('[1]03_TKB_LOP'!$B$222:$G$229,"Chào cờ/HĐTN*"),COUNTIF('[1]03_TKB_LOP'!$B$222:$G$229,IF(LEFT(V$4,5)="NHÓM:","NHÓM:*"&amp;MID(V$4,8,50)&amp;"*",V$4&amp;" – *")))</f>
        <v>0</v>
      </c>
      <c r="W23" s="7">
        <f>IF(W$4="HĐTN",COUNTIF('[1]03_TKB_LOP'!$B$222:$G$229,"HĐTN*")+COUNTIF('[1]03_TKB_LOP'!$B$222:$G$229,"Chào cờ/HĐTN*"),COUNTIF('[1]03_TKB_LOP'!$B$222:$G$229,IF(LEFT(W$4,5)="NHÓM:","NHÓM:*"&amp;MID(W$4,8,50)&amp;"*",W$4&amp;" – *")))</f>
        <v>0</v>
      </c>
      <c r="X23" s="7">
        <f>IF(X$4="HĐTN",COUNTIF('[1]03_TKB_LOP'!$B$222:$G$229,"HĐTN*")+COUNTIF('[1]03_TKB_LOP'!$B$222:$G$229,"Chào cờ/HĐTN*"),COUNTIF('[1]03_TKB_LOP'!$B$222:$G$229,IF(LEFT(X$4,5)="NHÓM:","NHÓM:*"&amp;MID(X$4,8,50)&amp;"*",X$4&amp;" – *")))</f>
        <v>6</v>
      </c>
      <c r="Y23" s="7">
        <f>IF(Y$4="HĐTN",COUNTIF('[1]03_TKB_LOP'!$B$222:$G$229,"HĐTN*")+COUNTIF('[1]03_TKB_LOP'!$B$222:$G$229,"Chào cờ/HĐTN*"),COUNTIF('[1]03_TKB_LOP'!$B$222:$G$229,IF(LEFT(Y$4,5)="NHÓM:","NHÓM:*"&amp;MID(Y$4,8,50)&amp;"*",Y$4&amp;" – *")))</f>
        <v>2</v>
      </c>
      <c r="Z23" s="7">
        <f>IF(Z$4="HĐTN",COUNTIF('[1]03_TKB_LOP'!$B$222:$G$229,"HĐTN*")+COUNTIF('[1]03_TKB_LOP'!$B$222:$G$229,"Chào cờ/HĐTN*"),COUNTIF('[1]03_TKB_LOP'!$B$222:$G$229,IF(LEFT(Z$4,5)="NHÓM:","NHÓM:*"&amp;MID(Z$4,8,50)&amp;"*",Z$4&amp;" – *")))</f>
        <v>2</v>
      </c>
      <c r="AA23" s="7">
        <f>IF(AA$4="HĐTN",COUNTIF('[1]03_TKB_LOP'!$B$222:$G$229,"HĐTN*")+COUNTIF('[1]03_TKB_LOP'!$B$222:$G$229,"Chào cờ/HĐTN*"),COUNTIF('[1]03_TKB_LOP'!$B$222:$G$229,IF(LEFT(AA$4,5)="NHÓM:","NHÓM:*"&amp;MID(AA$4,8,50)&amp;"*",AA$4&amp;" – *")))</f>
        <v>2</v>
      </c>
      <c r="AB23" s="7">
        <f>IF(AB$4="HĐTN",COUNTIF('[1]03_TKB_LOP'!$B$222:$G$229,"HĐTN*")+COUNTIF('[1]03_TKB_LOP'!$B$222:$G$229,"Chào cờ/HĐTN*"),COUNTIF('[1]03_TKB_LOP'!$B$222:$G$229,IF(LEFT(AB$4,5)="NHÓM:","NHÓM:*"&amp;MID(AB$4,8,50)&amp;"*",AB$4&amp;" – *")))</f>
        <v>0</v>
      </c>
    </row>
    <row r="24" spans="1:28" x14ac:dyDescent="0.2">
      <c r="A24" s="5" t="str">
        <f>TRIM(MID('[1]03_TKB_LOP'!$A$232,4,FIND("|",'[1]03_TKB_LOP'!$A$232)-4))</f>
        <v>10A20</v>
      </c>
      <c r="B24" s="6" t="str">
        <f>TRIM(MID('[1]03_TKB_LOP'!$A$232,FIND("GVCN:",'[1]03_TKB_LOP'!$A$232)+5,FIND("|",'[1]03_TKB_LOP'!$A$232,FIND("GVCN:",'[1]03_TKB_LOP'!$A$232))-FIND("GVCN:",'[1]03_TKB_LOP'!$A$232)-5))</f>
        <v>LÊ THỊ TUYẾT THU</v>
      </c>
      <c r="C24" s="7">
        <f>IF(C$4="HĐTN",COUNTIF('[1]03_TKB_LOP'!$B$234:$G$241,"HĐTN*")+COUNTIF('[1]03_TKB_LOP'!$B$234:$G$241,"Chào cờ/HĐTN*"),COUNTIF('[1]03_TKB_LOP'!$B$234:$G$241,IF(LEFT(C$4,5)="NHÓM:","NHÓM:*"&amp;MID(C$4,8,50)&amp;"*",C$4&amp;" – *")))</f>
        <v>3</v>
      </c>
      <c r="D24" s="7">
        <f>IF(D$4="HĐTN",COUNTIF('[1]03_TKB_LOP'!$B$234:$G$241,"HĐTN*")+COUNTIF('[1]03_TKB_LOP'!$B$234:$G$241,"Chào cờ/HĐTN*"),COUNTIF('[1]03_TKB_LOP'!$B$234:$G$241,IF(LEFT(D$4,5)="NHÓM:","NHÓM:*"&amp;MID(D$4,8,50)&amp;"*",D$4&amp;" – *")))</f>
        <v>3</v>
      </c>
      <c r="E24" s="7">
        <f>IF(E$4="HĐTN",COUNTIF('[1]03_TKB_LOP'!$B$234:$G$241,"HĐTN*")+COUNTIF('[1]03_TKB_LOP'!$B$234:$G$241,"Chào cờ/HĐTN*"),COUNTIF('[1]03_TKB_LOP'!$B$234:$G$241,IF(LEFT(E$4,5)="NHÓM:","NHÓM:*"&amp;MID(E$4,8,50)&amp;"*",E$4&amp;" – *")))</f>
        <v>3</v>
      </c>
      <c r="F24" s="7">
        <f>IF(F$4="HĐTN",COUNTIF('[1]03_TKB_LOP'!$B$234:$G$241,"HĐTN*")+COUNTIF('[1]03_TKB_LOP'!$B$234:$G$241,"Chào cờ/HĐTN*"),COUNTIF('[1]03_TKB_LOP'!$B$234:$G$241,IF(LEFT(F$4,5)="NHÓM:","NHÓM:*"&amp;MID(F$4,8,50)&amp;"*",F$4&amp;" – *")))</f>
        <v>3</v>
      </c>
      <c r="G24" s="7">
        <f>IF(G$4="HĐTN",COUNTIF('[1]03_TKB_LOP'!$B$234:$G$241,"HĐTN*")+COUNTIF('[1]03_TKB_LOP'!$B$234:$G$241,"Chào cờ/HĐTN*"),COUNTIF('[1]03_TKB_LOP'!$B$234:$G$241,IF(LEFT(G$4,5)="NHÓM:","NHÓM:*"&amp;MID(G$4,8,50)&amp;"*",G$4&amp;" – *")))</f>
        <v>0</v>
      </c>
      <c r="H24" s="7">
        <f>IF(H$4="HĐTN",COUNTIF('[1]03_TKB_LOP'!$B$234:$G$241,"HĐTN*")+COUNTIF('[1]03_TKB_LOP'!$B$234:$G$241,"Chào cờ/HĐTN*"),COUNTIF('[1]03_TKB_LOP'!$B$234:$G$241,IF(LEFT(H$4,5)="NHÓM:","NHÓM:*"&amp;MID(H$4,8,50)&amp;"*",H$4&amp;" – *")))</f>
        <v>0</v>
      </c>
      <c r="I24" s="7">
        <f>IF(I$4="HĐTN",COUNTIF('[1]03_TKB_LOP'!$B$234:$G$241,"HĐTN*")+COUNTIF('[1]03_TKB_LOP'!$B$234:$G$241,"Chào cờ/HĐTN*"),COUNTIF('[1]03_TKB_LOP'!$B$234:$G$241,IF(LEFT(I$4,5)="NHÓM:","NHÓM:*"&amp;MID(I$4,8,50)&amp;"*",I$4&amp;" – *")))</f>
        <v>2</v>
      </c>
      <c r="J24" s="7">
        <f>IF(J$4="HĐTN",COUNTIF('[1]03_TKB_LOP'!$B$234:$G$241,"HĐTN*")+COUNTIF('[1]03_TKB_LOP'!$B$234:$G$241,"Chào cờ/HĐTN*"),COUNTIF('[1]03_TKB_LOP'!$B$234:$G$241,IF(LEFT(J$4,5)="NHÓM:","NHÓM:*"&amp;MID(J$4,8,50)&amp;"*",J$4&amp;" – *")))</f>
        <v>2</v>
      </c>
      <c r="K24" s="7">
        <f>IF(K$4="HĐTN",COUNTIF('[1]03_TKB_LOP'!$B$234:$G$241,"HĐTN*")+COUNTIF('[1]03_TKB_LOP'!$B$234:$G$241,"Chào cờ/HĐTN*"),COUNTIF('[1]03_TKB_LOP'!$B$234:$G$241,IF(LEFT(K$4,5)="NHÓM:","NHÓM:*"&amp;MID(K$4,8,50)&amp;"*",K$4&amp;" – *")))</f>
        <v>2</v>
      </c>
      <c r="L24" s="7">
        <f>IF(L$4="HĐTN",COUNTIF('[1]03_TKB_LOP'!$B$234:$G$241,"HĐTN*")+COUNTIF('[1]03_TKB_LOP'!$B$234:$G$241,"Chào cờ/HĐTN*"),COUNTIF('[1]03_TKB_LOP'!$B$234:$G$241,IF(LEFT(L$4,5)="NHÓM:","NHÓM:*"&amp;MID(L$4,8,50)&amp;"*",L$4&amp;" – *")))</f>
        <v>2</v>
      </c>
      <c r="M24" s="7">
        <f>IF(M$4="HĐTN",COUNTIF('[1]03_TKB_LOP'!$B$234:$G$241,"HĐTN*")+COUNTIF('[1]03_TKB_LOP'!$B$234:$G$241,"Chào cờ/HĐTN*"),COUNTIF('[1]03_TKB_LOP'!$B$234:$G$241,IF(LEFT(M$4,5)="NHÓM:","NHÓM:*"&amp;MID(M$4,8,50)&amp;"*",M$4&amp;" – *")))</f>
        <v>2</v>
      </c>
      <c r="N24" s="7">
        <f>IF(N$4="HĐTN",COUNTIF('[1]03_TKB_LOP'!$B$234:$G$241,"HĐTN*")+COUNTIF('[1]03_TKB_LOP'!$B$234:$G$241,"Chào cờ/HĐTN*"),COUNTIF('[1]03_TKB_LOP'!$B$234:$G$241,IF(LEFT(N$4,5)="NHÓM:","NHÓM:*"&amp;MID(N$4,8,50)&amp;"*",N$4&amp;" – *")))</f>
        <v>0</v>
      </c>
      <c r="O24" s="7">
        <f>IF(O$4="HĐTN",COUNTIF('[1]03_TKB_LOP'!$B$234:$G$241,"HĐTN*")+COUNTIF('[1]03_TKB_LOP'!$B$234:$G$241,"Chào cờ/HĐTN*"),COUNTIF('[1]03_TKB_LOP'!$B$234:$G$241,IF(LEFT(O$4,5)="NHÓM:","NHÓM:*"&amp;MID(O$4,8,50)&amp;"*",O$4&amp;" – *")))</f>
        <v>1</v>
      </c>
      <c r="P24" s="7">
        <f>IF(P$4="HĐTN",COUNTIF('[1]03_TKB_LOP'!$B$234:$G$241,"HĐTN*")+COUNTIF('[1]03_TKB_LOP'!$B$234:$G$241,"Chào cờ/HĐTN*"),COUNTIF('[1]03_TKB_LOP'!$B$234:$G$241,IF(LEFT(P$4,5)="NHÓM:","NHÓM:*"&amp;MID(P$4,8,50)&amp;"*",P$4&amp;" – *")))</f>
        <v>1</v>
      </c>
      <c r="Q24" s="7">
        <f>IF(Q$4="HĐTN",COUNTIF('[1]03_TKB_LOP'!$B$234:$G$241,"HĐTN*")+COUNTIF('[1]03_TKB_LOP'!$B$234:$G$241,"Chào cờ/HĐTN*"),COUNTIF('[1]03_TKB_LOP'!$B$234:$G$241,IF(LEFT(Q$4,5)="NHÓM:","NHÓM:*"&amp;MID(Q$4,8,50)&amp;"*",Q$4&amp;" – *")))</f>
        <v>1</v>
      </c>
      <c r="R24" s="7">
        <f>IF(R$4="HĐTN",COUNTIF('[1]03_TKB_LOP'!$B$234:$G$241,"HĐTN*")+COUNTIF('[1]03_TKB_LOP'!$B$234:$G$241,"Chào cờ/HĐTN*"),COUNTIF('[1]03_TKB_LOP'!$B$234:$G$241,IF(LEFT(R$4,5)="NHÓM:","NHÓM:*"&amp;MID(R$4,8,50)&amp;"*",R$4&amp;" – *")))</f>
        <v>1</v>
      </c>
      <c r="S24" s="7">
        <f>IF(S$4="HĐTN",COUNTIF('[1]03_TKB_LOP'!$B$234:$G$241,"HĐTN*")+COUNTIF('[1]03_TKB_LOP'!$B$234:$G$241,"Chào cờ/HĐTN*"),COUNTIF('[1]03_TKB_LOP'!$B$234:$G$241,IF(LEFT(S$4,5)="NHÓM:","NHÓM:*"&amp;MID(S$4,8,50)&amp;"*",S$4&amp;" – *")))</f>
        <v>0</v>
      </c>
      <c r="T24" s="7">
        <f>IF(T$4="HĐTN",COUNTIF('[1]03_TKB_LOP'!$B$234:$G$241,"HĐTN*")+COUNTIF('[1]03_TKB_LOP'!$B$234:$G$241,"Chào cờ/HĐTN*"),COUNTIF('[1]03_TKB_LOP'!$B$234:$G$241,IF(LEFT(T$4,5)="NHÓM:","NHÓM:*"&amp;MID(T$4,8,50)&amp;"*",T$4&amp;" – *")))</f>
        <v>0</v>
      </c>
      <c r="U24" s="7">
        <f>IF(U$4="HĐTN",COUNTIF('[1]03_TKB_LOP'!$B$234:$G$241,"HĐTN*")+COUNTIF('[1]03_TKB_LOP'!$B$234:$G$241,"Chào cờ/HĐTN*"),COUNTIF('[1]03_TKB_LOP'!$B$234:$G$241,IF(LEFT(U$4,5)="NHÓM:","NHÓM:*"&amp;MID(U$4,8,50)&amp;"*",U$4&amp;" – *")))</f>
        <v>1</v>
      </c>
      <c r="V24" s="7">
        <f>IF(V$4="HĐTN",COUNTIF('[1]03_TKB_LOP'!$B$234:$G$241,"HĐTN*")+COUNTIF('[1]03_TKB_LOP'!$B$234:$G$241,"Chào cờ/HĐTN*"),COUNTIF('[1]03_TKB_LOP'!$B$234:$G$241,IF(LEFT(V$4,5)="NHÓM:","NHÓM:*"&amp;MID(V$4,8,50)&amp;"*",V$4&amp;" – *")))</f>
        <v>0</v>
      </c>
      <c r="W24" s="7">
        <f>IF(W$4="HĐTN",COUNTIF('[1]03_TKB_LOP'!$B$234:$G$241,"HĐTN*")+COUNTIF('[1]03_TKB_LOP'!$B$234:$G$241,"Chào cờ/HĐTN*"),COUNTIF('[1]03_TKB_LOP'!$B$234:$G$241,IF(LEFT(W$4,5)="NHÓM:","NHÓM:*"&amp;MID(W$4,8,50)&amp;"*",W$4&amp;" – *")))</f>
        <v>0</v>
      </c>
      <c r="X24" s="7">
        <f>IF(X$4="HĐTN",COUNTIF('[1]03_TKB_LOP'!$B$234:$G$241,"HĐTN*")+COUNTIF('[1]03_TKB_LOP'!$B$234:$G$241,"Chào cờ/HĐTN*"),COUNTIF('[1]03_TKB_LOP'!$B$234:$G$241,IF(LEFT(X$4,5)="NHÓM:","NHÓM:*"&amp;MID(X$4,8,50)&amp;"*",X$4&amp;" – *")))</f>
        <v>8</v>
      </c>
      <c r="Y24" s="7">
        <f>IF(Y$4="HĐTN",COUNTIF('[1]03_TKB_LOP'!$B$234:$G$241,"HĐTN*")+COUNTIF('[1]03_TKB_LOP'!$B$234:$G$241,"Chào cờ/HĐTN*"),COUNTIF('[1]03_TKB_LOP'!$B$234:$G$241,IF(LEFT(Y$4,5)="NHÓM:","NHÓM:*"&amp;MID(Y$4,8,50)&amp;"*",Y$4&amp;" – *")))</f>
        <v>2</v>
      </c>
      <c r="Z24" s="7">
        <f>IF(Z$4="HĐTN",COUNTIF('[1]03_TKB_LOP'!$B$234:$G$241,"HĐTN*")+COUNTIF('[1]03_TKB_LOP'!$B$234:$G$241,"Chào cờ/HĐTN*"),COUNTIF('[1]03_TKB_LOP'!$B$234:$G$241,IF(LEFT(Z$4,5)="NHÓM:","NHÓM:*"&amp;MID(Z$4,8,50)&amp;"*",Z$4&amp;" – *")))</f>
        <v>2</v>
      </c>
      <c r="AA24" s="7">
        <f>IF(AA$4="HĐTN",COUNTIF('[1]03_TKB_LOP'!$B$234:$G$241,"HĐTN*")+COUNTIF('[1]03_TKB_LOP'!$B$234:$G$241,"Chào cờ/HĐTN*"),COUNTIF('[1]03_TKB_LOP'!$B$234:$G$241,IF(LEFT(AA$4,5)="NHÓM:","NHÓM:*"&amp;MID(AA$4,8,50)&amp;"*",AA$4&amp;" – *")))</f>
        <v>2</v>
      </c>
      <c r="AB24" s="7">
        <f>IF(AB$4="HĐTN",COUNTIF('[1]03_TKB_LOP'!$B$234:$G$241,"HĐTN*")+COUNTIF('[1]03_TKB_LOP'!$B$234:$G$241,"Chào cờ/HĐTN*"),COUNTIF('[1]03_TKB_LOP'!$B$234:$G$241,IF(LEFT(AB$4,5)="NHÓM:","NHÓM:*"&amp;MID(AB$4,8,50)&amp;"*",AB$4&amp;" – *")))</f>
        <v>0</v>
      </c>
    </row>
    <row r="25" spans="1:28" x14ac:dyDescent="0.2">
      <c r="A25" s="5" t="str">
        <f>TRIM(MID('[1]03_TKB_LOP'!$A$244,4,FIND("|",'[1]03_TKB_LOP'!$A$244)-4))</f>
        <v>10A21</v>
      </c>
      <c r="B25" s="6" t="str">
        <f>TRIM(MID('[1]03_TKB_LOP'!$A$244,FIND("GVCN:",'[1]03_TKB_LOP'!$A$244)+5,FIND("|",'[1]03_TKB_LOP'!$A$244,FIND("GVCN:",'[1]03_TKB_LOP'!$A$244))-FIND("GVCN:",'[1]03_TKB_LOP'!$A$244)-5))</f>
        <v>HUỲNH THỊ DIỄM LINH</v>
      </c>
      <c r="C25" s="7">
        <f>IF(C$4="HĐTN",COUNTIF('[1]03_TKB_LOP'!$B$246:$G$253,"HĐTN*")+COUNTIF('[1]03_TKB_LOP'!$B$246:$G$253,"Chào cờ/HĐTN*"),COUNTIF('[1]03_TKB_LOP'!$B$246:$G$253,IF(LEFT(C$4,5)="NHÓM:","NHÓM:*"&amp;MID(C$4,8,50)&amp;"*",C$4&amp;" – *")))</f>
        <v>3</v>
      </c>
      <c r="D25" s="7">
        <f>IF(D$4="HĐTN",COUNTIF('[1]03_TKB_LOP'!$B$246:$G$253,"HĐTN*")+COUNTIF('[1]03_TKB_LOP'!$B$246:$G$253,"Chào cờ/HĐTN*"),COUNTIF('[1]03_TKB_LOP'!$B$246:$G$253,IF(LEFT(D$4,5)="NHÓM:","NHÓM:*"&amp;MID(D$4,8,50)&amp;"*",D$4&amp;" – *")))</f>
        <v>3</v>
      </c>
      <c r="E25" s="7">
        <f>IF(E$4="HĐTN",COUNTIF('[1]03_TKB_LOP'!$B$246:$G$253,"HĐTN*")+COUNTIF('[1]03_TKB_LOP'!$B$246:$G$253,"Chào cờ/HĐTN*"),COUNTIF('[1]03_TKB_LOP'!$B$246:$G$253,IF(LEFT(E$4,5)="NHÓM:","NHÓM:*"&amp;MID(E$4,8,50)&amp;"*",E$4&amp;" – *")))</f>
        <v>3</v>
      </c>
      <c r="F25" s="7">
        <f>IF(F$4="HĐTN",COUNTIF('[1]03_TKB_LOP'!$B$246:$G$253,"HĐTN*")+COUNTIF('[1]03_TKB_LOP'!$B$246:$G$253,"Chào cờ/HĐTN*"),COUNTIF('[1]03_TKB_LOP'!$B$246:$G$253,IF(LEFT(F$4,5)="NHÓM:","NHÓM:*"&amp;MID(F$4,8,50)&amp;"*",F$4&amp;" – *")))</f>
        <v>3</v>
      </c>
      <c r="G25" s="7">
        <f>IF(G$4="HĐTN",COUNTIF('[1]03_TKB_LOP'!$B$246:$G$253,"HĐTN*")+COUNTIF('[1]03_TKB_LOP'!$B$246:$G$253,"Chào cờ/HĐTN*"),COUNTIF('[1]03_TKB_LOP'!$B$246:$G$253,IF(LEFT(G$4,5)="NHÓM:","NHÓM:*"&amp;MID(G$4,8,50)&amp;"*",G$4&amp;" – *")))</f>
        <v>0</v>
      </c>
      <c r="H25" s="7">
        <f>IF(H$4="HĐTN",COUNTIF('[1]03_TKB_LOP'!$B$246:$G$253,"HĐTN*")+COUNTIF('[1]03_TKB_LOP'!$B$246:$G$253,"Chào cờ/HĐTN*"),COUNTIF('[1]03_TKB_LOP'!$B$246:$G$253,IF(LEFT(H$4,5)="NHÓM:","NHÓM:*"&amp;MID(H$4,8,50)&amp;"*",H$4&amp;" – *")))</f>
        <v>2</v>
      </c>
      <c r="I25" s="7">
        <f>IF(I$4="HĐTN",COUNTIF('[1]03_TKB_LOP'!$B$246:$G$253,"HĐTN*")+COUNTIF('[1]03_TKB_LOP'!$B$246:$G$253,"Chào cờ/HĐTN*"),COUNTIF('[1]03_TKB_LOP'!$B$246:$G$253,IF(LEFT(I$4,5)="NHÓM:","NHÓM:*"&amp;MID(I$4,8,50)&amp;"*",I$4&amp;" – *")))</f>
        <v>0</v>
      </c>
      <c r="J25" s="7">
        <f>IF(J$4="HĐTN",COUNTIF('[1]03_TKB_LOP'!$B$246:$G$253,"HĐTN*")+COUNTIF('[1]03_TKB_LOP'!$B$246:$G$253,"Chào cờ/HĐTN*"),COUNTIF('[1]03_TKB_LOP'!$B$246:$G$253,IF(LEFT(J$4,5)="NHÓM:","NHÓM:*"&amp;MID(J$4,8,50)&amp;"*",J$4&amp;" – *")))</f>
        <v>2</v>
      </c>
      <c r="K25" s="7">
        <f>IF(K$4="HĐTN",COUNTIF('[1]03_TKB_LOP'!$B$246:$G$253,"HĐTN*")+COUNTIF('[1]03_TKB_LOP'!$B$246:$G$253,"Chào cờ/HĐTN*"),COUNTIF('[1]03_TKB_LOP'!$B$246:$G$253,IF(LEFT(K$4,5)="NHÓM:","NHÓM:*"&amp;MID(K$4,8,50)&amp;"*",K$4&amp;" – *")))</f>
        <v>2</v>
      </c>
      <c r="L25" s="7">
        <f>IF(L$4="HĐTN",COUNTIF('[1]03_TKB_LOP'!$B$246:$G$253,"HĐTN*")+COUNTIF('[1]03_TKB_LOP'!$B$246:$G$253,"Chào cờ/HĐTN*"),COUNTIF('[1]03_TKB_LOP'!$B$246:$G$253,IF(LEFT(L$4,5)="NHÓM:","NHÓM:*"&amp;MID(L$4,8,50)&amp;"*",L$4&amp;" – *")))</f>
        <v>2</v>
      </c>
      <c r="M25" s="7">
        <f>IF(M$4="HĐTN",COUNTIF('[1]03_TKB_LOP'!$B$246:$G$253,"HĐTN*")+COUNTIF('[1]03_TKB_LOP'!$B$246:$G$253,"Chào cờ/HĐTN*"),COUNTIF('[1]03_TKB_LOP'!$B$246:$G$253,IF(LEFT(M$4,5)="NHÓM:","NHÓM:*"&amp;MID(M$4,8,50)&amp;"*",M$4&amp;" – *")))</f>
        <v>2</v>
      </c>
      <c r="N25" s="7">
        <f>IF(N$4="HĐTN",COUNTIF('[1]03_TKB_LOP'!$B$246:$G$253,"HĐTN*")+COUNTIF('[1]03_TKB_LOP'!$B$246:$G$253,"Chào cờ/HĐTN*"),COUNTIF('[1]03_TKB_LOP'!$B$246:$G$253,IF(LEFT(N$4,5)="NHÓM:","NHÓM:*"&amp;MID(N$4,8,50)&amp;"*",N$4&amp;" – *")))</f>
        <v>0</v>
      </c>
      <c r="O25" s="7">
        <f>IF(O$4="HĐTN",COUNTIF('[1]03_TKB_LOP'!$B$246:$G$253,"HĐTN*")+COUNTIF('[1]03_TKB_LOP'!$B$246:$G$253,"Chào cờ/HĐTN*"),COUNTIF('[1]03_TKB_LOP'!$B$246:$G$253,IF(LEFT(O$4,5)="NHÓM:","NHÓM:*"&amp;MID(O$4,8,50)&amp;"*",O$4&amp;" – *")))</f>
        <v>1</v>
      </c>
      <c r="P25" s="7">
        <f>IF(P$4="HĐTN",COUNTIF('[1]03_TKB_LOP'!$B$246:$G$253,"HĐTN*")+COUNTIF('[1]03_TKB_LOP'!$B$246:$G$253,"Chào cờ/HĐTN*"),COUNTIF('[1]03_TKB_LOP'!$B$246:$G$253,IF(LEFT(P$4,5)="NHÓM:","NHÓM:*"&amp;MID(P$4,8,50)&amp;"*",P$4&amp;" – *")))</f>
        <v>1</v>
      </c>
      <c r="Q25" s="7">
        <f>IF(Q$4="HĐTN",COUNTIF('[1]03_TKB_LOP'!$B$246:$G$253,"HĐTN*")+COUNTIF('[1]03_TKB_LOP'!$B$246:$G$253,"Chào cờ/HĐTN*"),COUNTIF('[1]03_TKB_LOP'!$B$246:$G$253,IF(LEFT(Q$4,5)="NHÓM:","NHÓM:*"&amp;MID(Q$4,8,50)&amp;"*",Q$4&amp;" – *")))</f>
        <v>1</v>
      </c>
      <c r="R25" s="7">
        <f>IF(R$4="HĐTN",COUNTIF('[1]03_TKB_LOP'!$B$246:$G$253,"HĐTN*")+COUNTIF('[1]03_TKB_LOP'!$B$246:$G$253,"Chào cờ/HĐTN*"),COUNTIF('[1]03_TKB_LOP'!$B$246:$G$253,IF(LEFT(R$4,5)="NHÓM:","NHÓM:*"&amp;MID(R$4,8,50)&amp;"*",R$4&amp;" – *")))</f>
        <v>1</v>
      </c>
      <c r="S25" s="7">
        <f>IF(S$4="HĐTN",COUNTIF('[1]03_TKB_LOP'!$B$246:$G$253,"HĐTN*")+COUNTIF('[1]03_TKB_LOP'!$B$246:$G$253,"Chào cờ/HĐTN*"),COUNTIF('[1]03_TKB_LOP'!$B$246:$G$253,IF(LEFT(S$4,5)="NHÓM:","NHÓM:*"&amp;MID(S$4,8,50)&amp;"*",S$4&amp;" – *")))</f>
        <v>0</v>
      </c>
      <c r="T25" s="7">
        <f>IF(T$4="HĐTN",COUNTIF('[1]03_TKB_LOP'!$B$246:$G$253,"HĐTN*")+COUNTIF('[1]03_TKB_LOP'!$B$246:$G$253,"Chào cờ/HĐTN*"),COUNTIF('[1]03_TKB_LOP'!$B$246:$G$253,IF(LEFT(T$4,5)="NHÓM:","NHÓM:*"&amp;MID(T$4,8,50)&amp;"*",T$4&amp;" – *")))</f>
        <v>1</v>
      </c>
      <c r="U25" s="7">
        <f>IF(U$4="HĐTN",COUNTIF('[1]03_TKB_LOP'!$B$246:$G$253,"HĐTN*")+COUNTIF('[1]03_TKB_LOP'!$B$246:$G$253,"Chào cờ/HĐTN*"),COUNTIF('[1]03_TKB_LOP'!$B$246:$G$253,IF(LEFT(U$4,5)="NHÓM:","NHÓM:*"&amp;MID(U$4,8,50)&amp;"*",U$4&amp;" – *")))</f>
        <v>0</v>
      </c>
      <c r="V25" s="7">
        <f>IF(V$4="HĐTN",COUNTIF('[1]03_TKB_LOP'!$B$246:$G$253,"HĐTN*")+COUNTIF('[1]03_TKB_LOP'!$B$246:$G$253,"Chào cờ/HĐTN*"),COUNTIF('[1]03_TKB_LOP'!$B$246:$G$253,IF(LEFT(V$4,5)="NHÓM:","NHÓM:*"&amp;MID(V$4,8,50)&amp;"*",V$4&amp;" – *")))</f>
        <v>0</v>
      </c>
      <c r="W25" s="7">
        <f>IF(W$4="HĐTN",COUNTIF('[1]03_TKB_LOP'!$B$246:$G$253,"HĐTN*")+COUNTIF('[1]03_TKB_LOP'!$B$246:$G$253,"Chào cờ/HĐTN*"),COUNTIF('[1]03_TKB_LOP'!$B$246:$G$253,IF(LEFT(W$4,5)="NHÓM:","NHÓM:*"&amp;MID(W$4,8,50)&amp;"*",W$4&amp;" – *")))</f>
        <v>0</v>
      </c>
      <c r="X25" s="7">
        <f>IF(X$4="HĐTN",COUNTIF('[1]03_TKB_LOP'!$B$246:$G$253,"HĐTN*")+COUNTIF('[1]03_TKB_LOP'!$B$246:$G$253,"Chào cờ/HĐTN*"),COUNTIF('[1]03_TKB_LOP'!$B$246:$G$253,IF(LEFT(X$4,5)="NHÓM:","NHÓM:*"&amp;MID(X$4,8,50)&amp;"*",X$4&amp;" – *")))</f>
        <v>6</v>
      </c>
      <c r="Y25" s="7">
        <f>IF(Y$4="HĐTN",COUNTIF('[1]03_TKB_LOP'!$B$246:$G$253,"HĐTN*")+COUNTIF('[1]03_TKB_LOP'!$B$246:$G$253,"Chào cờ/HĐTN*"),COUNTIF('[1]03_TKB_LOP'!$B$246:$G$253,IF(LEFT(Y$4,5)="NHÓM:","NHÓM:*"&amp;MID(Y$4,8,50)&amp;"*",Y$4&amp;" – *")))</f>
        <v>2</v>
      </c>
      <c r="Z25" s="7">
        <f>IF(Z$4="HĐTN",COUNTIF('[1]03_TKB_LOP'!$B$246:$G$253,"HĐTN*")+COUNTIF('[1]03_TKB_LOP'!$B$246:$G$253,"Chào cờ/HĐTN*"),COUNTIF('[1]03_TKB_LOP'!$B$246:$G$253,IF(LEFT(Z$4,5)="NHÓM:","NHÓM:*"&amp;MID(Z$4,8,50)&amp;"*",Z$4&amp;" – *")))</f>
        <v>2</v>
      </c>
      <c r="AA25" s="7">
        <f>IF(AA$4="HĐTN",COUNTIF('[1]03_TKB_LOP'!$B$246:$G$253,"HĐTN*")+COUNTIF('[1]03_TKB_LOP'!$B$246:$G$253,"Chào cờ/HĐTN*"),COUNTIF('[1]03_TKB_LOP'!$B$246:$G$253,IF(LEFT(AA$4,5)="NHÓM:","NHÓM:*"&amp;MID(AA$4,8,50)&amp;"*",AA$4&amp;" – *")))</f>
        <v>2</v>
      </c>
      <c r="AB25" s="7">
        <f>IF(AB$4="HĐTN",COUNTIF('[1]03_TKB_LOP'!$B$246:$G$253,"HĐTN*")+COUNTIF('[1]03_TKB_LOP'!$B$246:$G$253,"Chào cờ/HĐTN*"),COUNTIF('[1]03_TKB_LOP'!$B$246:$G$253,IF(LEFT(AB$4,5)="NHÓM:","NHÓM:*"&amp;MID(AB$4,8,50)&amp;"*",AB$4&amp;" – *")))</f>
        <v>0</v>
      </c>
    </row>
    <row r="26" spans="1:28" x14ac:dyDescent="0.2">
      <c r="A26" s="5" t="str">
        <f>TRIM(MID('[1]03_TKB_LOP'!$A$256,4,FIND("|",'[1]03_TKB_LOP'!$A$256)-4))</f>
        <v>11A1</v>
      </c>
      <c r="B26" s="6" t="str">
        <f>TRIM(MID('[1]03_TKB_LOP'!$A$256,FIND("GVCN:",'[1]03_TKB_LOP'!$A$256)+5,FIND("|",'[1]03_TKB_LOP'!$A$256,FIND("GVCN:",'[1]03_TKB_LOP'!$A$256))-FIND("GVCN:",'[1]03_TKB_LOP'!$A$256)-5))</f>
        <v>NGUYỄN PHƯỚC KHÔI</v>
      </c>
      <c r="C26" s="7">
        <f>IF(C$4="HĐTN",COUNTIF('[1]03_TKB_LOP'!$B$258:$G$265,"HĐTN*")+COUNTIF('[1]03_TKB_LOP'!$B$258:$G$265,"Chào cờ/HĐTN*"),COUNTIF('[1]03_TKB_LOP'!$B$258:$G$265,IF(LEFT(C$4,5)="NHÓM:","NHÓM:*"&amp;MID(C$4,8,50)&amp;"*",C$4&amp;" – *")))</f>
        <v>3</v>
      </c>
      <c r="D26" s="7">
        <f>IF(D$4="HĐTN",COUNTIF('[1]03_TKB_LOP'!$B$258:$G$265,"HĐTN*")+COUNTIF('[1]03_TKB_LOP'!$B$258:$G$265,"Chào cờ/HĐTN*"),COUNTIF('[1]03_TKB_LOP'!$B$258:$G$265,IF(LEFT(D$4,5)="NHÓM:","NHÓM:*"&amp;MID(D$4,8,50)&amp;"*",D$4&amp;" – *")))</f>
        <v>3</v>
      </c>
      <c r="E26" s="7">
        <f>IF(E$4="HĐTN",COUNTIF('[1]03_TKB_LOP'!$B$258:$G$265,"HĐTN*")+COUNTIF('[1]03_TKB_LOP'!$B$258:$G$265,"Chào cờ/HĐTN*"),COUNTIF('[1]03_TKB_LOP'!$B$258:$G$265,IF(LEFT(E$4,5)="NHÓM:","NHÓM:*"&amp;MID(E$4,8,50)&amp;"*",E$4&amp;" – *")))</f>
        <v>3</v>
      </c>
      <c r="F26" s="7">
        <f>IF(F$4="HĐTN",COUNTIF('[1]03_TKB_LOP'!$B$258:$G$265,"HĐTN*")+COUNTIF('[1]03_TKB_LOP'!$B$258:$G$265,"Chào cờ/HĐTN*"),COUNTIF('[1]03_TKB_LOP'!$B$258:$G$265,IF(LEFT(F$4,5)="NHÓM:","NHÓM:*"&amp;MID(F$4,8,50)&amp;"*",F$4&amp;" – *")))</f>
        <v>3</v>
      </c>
      <c r="G26" s="7">
        <f>IF(G$4="HĐTN",COUNTIF('[1]03_TKB_LOP'!$B$258:$G$265,"HĐTN*")+COUNTIF('[1]03_TKB_LOP'!$B$258:$G$265,"Chào cờ/HĐTN*"),COUNTIF('[1]03_TKB_LOP'!$B$258:$G$265,IF(LEFT(G$4,5)="NHÓM:","NHÓM:*"&amp;MID(G$4,8,50)&amp;"*",G$4&amp;" – *")))</f>
        <v>2</v>
      </c>
      <c r="H26" s="7">
        <f>IF(H$4="HĐTN",COUNTIF('[1]03_TKB_LOP'!$B$258:$G$265,"HĐTN*")+COUNTIF('[1]03_TKB_LOP'!$B$258:$G$265,"Chào cờ/HĐTN*"),COUNTIF('[1]03_TKB_LOP'!$B$258:$G$265,IF(LEFT(H$4,5)="NHÓM:","NHÓM:*"&amp;MID(H$4,8,50)&amp;"*",H$4&amp;" – *")))</f>
        <v>2</v>
      </c>
      <c r="I26" s="7">
        <f>IF(I$4="HĐTN",COUNTIF('[1]03_TKB_LOP'!$B$258:$G$265,"HĐTN*")+COUNTIF('[1]03_TKB_LOP'!$B$258:$G$265,"Chào cờ/HĐTN*"),COUNTIF('[1]03_TKB_LOP'!$B$258:$G$265,IF(LEFT(I$4,5)="NHÓM:","NHÓM:*"&amp;MID(I$4,8,50)&amp;"*",I$4&amp;" – *")))</f>
        <v>0</v>
      </c>
      <c r="J26" s="7">
        <f>IF(J$4="HĐTN",COUNTIF('[1]03_TKB_LOP'!$B$258:$G$265,"HĐTN*")+COUNTIF('[1]03_TKB_LOP'!$B$258:$G$265,"Chào cờ/HĐTN*"),COUNTIF('[1]03_TKB_LOP'!$B$258:$G$265,IF(LEFT(J$4,5)="NHÓM:","NHÓM:*"&amp;MID(J$4,8,50)&amp;"*",J$4&amp;" – *")))</f>
        <v>1</v>
      </c>
      <c r="K26" s="7">
        <f>IF(K$4="HĐTN",COUNTIF('[1]03_TKB_LOP'!$B$258:$G$265,"HĐTN*")+COUNTIF('[1]03_TKB_LOP'!$B$258:$G$265,"Chào cờ/HĐTN*"),COUNTIF('[1]03_TKB_LOP'!$B$258:$G$265,IF(LEFT(K$4,5)="NHÓM:","NHÓM:*"&amp;MID(K$4,8,50)&amp;"*",K$4&amp;" – *")))</f>
        <v>0</v>
      </c>
      <c r="L26" s="7">
        <f>IF(L$4="HĐTN",COUNTIF('[1]03_TKB_LOP'!$B$258:$G$265,"HĐTN*")+COUNTIF('[1]03_TKB_LOP'!$B$258:$G$265,"Chào cờ/HĐTN*"),COUNTIF('[1]03_TKB_LOP'!$B$258:$G$265,IF(LEFT(L$4,5)="NHÓM:","NHÓM:*"&amp;MID(L$4,8,50)&amp;"*",L$4&amp;" – *")))</f>
        <v>0</v>
      </c>
      <c r="M26" s="7">
        <f>IF(M$4="HĐTN",COUNTIF('[1]03_TKB_LOP'!$B$258:$G$265,"HĐTN*")+COUNTIF('[1]03_TKB_LOP'!$B$258:$G$265,"Chào cờ/HĐTN*"),COUNTIF('[1]03_TKB_LOP'!$B$258:$G$265,IF(LEFT(M$4,5)="NHÓM:","NHÓM:*"&amp;MID(M$4,8,50)&amp;"*",M$4&amp;" – *")))</f>
        <v>2</v>
      </c>
      <c r="N26" s="7">
        <f>IF(N$4="HĐTN",COUNTIF('[1]03_TKB_LOP'!$B$258:$G$265,"HĐTN*")+COUNTIF('[1]03_TKB_LOP'!$B$258:$G$265,"Chào cờ/HĐTN*"),COUNTIF('[1]03_TKB_LOP'!$B$258:$G$265,IF(LEFT(N$4,5)="NHÓM:","NHÓM:*"&amp;MID(N$4,8,50)&amp;"*",N$4&amp;" – *")))</f>
        <v>2</v>
      </c>
      <c r="O26" s="7">
        <f>IF(O$4="HĐTN",COUNTIF('[1]03_TKB_LOP'!$B$258:$G$265,"HĐTN*")+COUNTIF('[1]03_TKB_LOP'!$B$258:$G$265,"Chào cờ/HĐTN*"),COUNTIF('[1]03_TKB_LOP'!$B$258:$G$265,IF(LEFT(O$4,5)="NHÓM:","NHÓM:*"&amp;MID(O$4,8,50)&amp;"*",O$4&amp;" – *")))</f>
        <v>1</v>
      </c>
      <c r="P26" s="7">
        <f>IF(P$4="HĐTN",COUNTIF('[1]03_TKB_LOP'!$B$258:$G$265,"HĐTN*")+COUNTIF('[1]03_TKB_LOP'!$B$258:$G$265,"Chào cờ/HĐTN*"),COUNTIF('[1]03_TKB_LOP'!$B$258:$G$265,IF(LEFT(P$4,5)="NHÓM:","NHÓM:*"&amp;MID(P$4,8,50)&amp;"*",P$4&amp;" – *")))</f>
        <v>1</v>
      </c>
      <c r="Q26" s="7">
        <f>IF(Q$4="HĐTN",COUNTIF('[1]03_TKB_LOP'!$B$258:$G$265,"HĐTN*")+COUNTIF('[1]03_TKB_LOP'!$B$258:$G$265,"Chào cờ/HĐTN*"),COUNTIF('[1]03_TKB_LOP'!$B$258:$G$265,IF(LEFT(Q$4,5)="NHÓM:","NHÓM:*"&amp;MID(Q$4,8,50)&amp;"*",Q$4&amp;" – *")))</f>
        <v>1</v>
      </c>
      <c r="R26" s="7">
        <f>IF(R$4="HĐTN",COUNTIF('[1]03_TKB_LOP'!$B$258:$G$265,"HĐTN*")+COUNTIF('[1]03_TKB_LOP'!$B$258:$G$265,"Chào cờ/HĐTN*"),COUNTIF('[1]03_TKB_LOP'!$B$258:$G$265,IF(LEFT(R$4,5)="NHÓM:","NHÓM:*"&amp;MID(R$4,8,50)&amp;"*",R$4&amp;" – *")))</f>
        <v>0</v>
      </c>
      <c r="S26" s="7">
        <f>IF(S$4="HĐTN",COUNTIF('[1]03_TKB_LOP'!$B$258:$G$265,"HĐTN*")+COUNTIF('[1]03_TKB_LOP'!$B$258:$G$265,"Chào cờ/HĐTN*"),COUNTIF('[1]03_TKB_LOP'!$B$258:$G$265,IF(LEFT(S$4,5)="NHÓM:","NHÓM:*"&amp;MID(S$4,8,50)&amp;"*",S$4&amp;" – *")))</f>
        <v>1</v>
      </c>
      <c r="T26" s="7">
        <f>IF(T$4="HĐTN",COUNTIF('[1]03_TKB_LOP'!$B$258:$G$265,"HĐTN*")+COUNTIF('[1]03_TKB_LOP'!$B$258:$G$265,"Chào cờ/HĐTN*"),COUNTIF('[1]03_TKB_LOP'!$B$258:$G$265,IF(LEFT(T$4,5)="NHÓM:","NHÓM:*"&amp;MID(T$4,8,50)&amp;"*",T$4&amp;" – *")))</f>
        <v>1</v>
      </c>
      <c r="U26" s="7">
        <f>IF(U$4="HĐTN",COUNTIF('[1]03_TKB_LOP'!$B$258:$G$265,"HĐTN*")+COUNTIF('[1]03_TKB_LOP'!$B$258:$G$265,"Chào cờ/HĐTN*"),COUNTIF('[1]03_TKB_LOP'!$B$258:$G$265,IF(LEFT(U$4,5)="NHÓM:","NHÓM:*"&amp;MID(U$4,8,50)&amp;"*",U$4&amp;" – *")))</f>
        <v>0</v>
      </c>
      <c r="V26" s="7">
        <f>IF(V$4="HĐTN",COUNTIF('[1]03_TKB_LOP'!$B$258:$G$265,"HĐTN*")+COUNTIF('[1]03_TKB_LOP'!$B$258:$G$265,"Chào cờ/HĐTN*"),COUNTIF('[1]03_TKB_LOP'!$B$258:$G$265,IF(LEFT(V$4,5)="NHÓM:","NHÓM:*"&amp;MID(V$4,8,50)&amp;"*",V$4&amp;" – *")))</f>
        <v>0</v>
      </c>
      <c r="W26" s="7">
        <f>IF(W$4="HĐTN",COUNTIF('[1]03_TKB_LOP'!$B$258:$G$265,"HĐTN*")+COUNTIF('[1]03_TKB_LOP'!$B$258:$G$265,"Chào cờ/HĐTN*"),COUNTIF('[1]03_TKB_LOP'!$B$258:$G$265,IF(LEFT(W$4,5)="NHÓM:","NHÓM:*"&amp;MID(W$4,8,50)&amp;"*",W$4&amp;" – *")))</f>
        <v>0</v>
      </c>
      <c r="X26" s="7">
        <f>IF(X$4="HĐTN",COUNTIF('[1]03_TKB_LOP'!$B$258:$G$265,"HĐTN*")+COUNTIF('[1]03_TKB_LOP'!$B$258:$G$265,"Chào cờ/HĐTN*"),COUNTIF('[1]03_TKB_LOP'!$B$258:$G$265,IF(LEFT(X$4,5)="NHÓM:","NHÓM:*"&amp;MID(X$4,8,50)&amp;"*",X$4&amp;" – *")))</f>
        <v>6</v>
      </c>
      <c r="Y26" s="7">
        <f>IF(Y$4="HĐTN",COUNTIF('[1]03_TKB_LOP'!$B$258:$G$265,"HĐTN*")+COUNTIF('[1]03_TKB_LOP'!$B$258:$G$265,"Chào cờ/HĐTN*"),COUNTIF('[1]03_TKB_LOP'!$B$258:$G$265,IF(LEFT(Y$4,5)="NHÓM:","NHÓM:*"&amp;MID(Y$4,8,50)&amp;"*",Y$4&amp;" – *")))</f>
        <v>2</v>
      </c>
      <c r="Z26" s="7">
        <f>IF(Z$4="HĐTN",COUNTIF('[1]03_TKB_LOP'!$B$258:$G$265,"HĐTN*")+COUNTIF('[1]03_TKB_LOP'!$B$258:$G$265,"Chào cờ/HĐTN*"),COUNTIF('[1]03_TKB_LOP'!$B$258:$G$265,IF(LEFT(Z$4,5)="NHÓM:","NHÓM:*"&amp;MID(Z$4,8,50)&amp;"*",Z$4&amp;" – *")))</f>
        <v>2</v>
      </c>
      <c r="AA26" s="7">
        <f>IF(AA$4="HĐTN",COUNTIF('[1]03_TKB_LOP'!$B$258:$G$265,"HĐTN*")+COUNTIF('[1]03_TKB_LOP'!$B$258:$G$265,"Chào cờ/HĐTN*"),COUNTIF('[1]03_TKB_LOP'!$B$258:$G$265,IF(LEFT(AA$4,5)="NHÓM:","NHÓM:*"&amp;MID(AA$4,8,50)&amp;"*",AA$4&amp;" – *")))</f>
        <v>2</v>
      </c>
      <c r="AB26" s="7">
        <f>IF(AB$4="HĐTN",COUNTIF('[1]03_TKB_LOP'!$B$258:$G$265,"HĐTN*")+COUNTIF('[1]03_TKB_LOP'!$B$258:$G$265,"Chào cờ/HĐTN*"),COUNTIF('[1]03_TKB_LOP'!$B$258:$G$265,IF(LEFT(AB$4,5)="NHÓM:","NHÓM:*"&amp;MID(AB$4,8,50)&amp;"*",AB$4&amp;" – *")))</f>
        <v>0</v>
      </c>
    </row>
    <row r="27" spans="1:28" x14ac:dyDescent="0.2">
      <c r="A27" s="5" t="str">
        <f>TRIM(MID('[1]03_TKB_LOP'!$A$268,4,FIND("|",'[1]03_TKB_LOP'!$A$268)-4))</f>
        <v>11A2</v>
      </c>
      <c r="B27" s="6" t="str">
        <f>TRIM(MID('[1]03_TKB_LOP'!$A$268,FIND("GVCN:",'[1]03_TKB_LOP'!$A$268)+5,FIND("|",'[1]03_TKB_LOP'!$A$268,FIND("GVCN:",'[1]03_TKB_LOP'!$A$268))-FIND("GVCN:",'[1]03_TKB_LOP'!$A$268)-5))</f>
        <v>NGUYỄN THỊ NGÂN</v>
      </c>
      <c r="C27" s="7">
        <f>IF(C$4="HĐTN",COUNTIF('[1]03_TKB_LOP'!$B$270:$G$277,"HĐTN*")+COUNTIF('[1]03_TKB_LOP'!$B$270:$G$277,"Chào cờ/HĐTN*"),COUNTIF('[1]03_TKB_LOP'!$B$270:$G$277,IF(LEFT(C$4,5)="NHÓM:","NHÓM:*"&amp;MID(C$4,8,50)&amp;"*",C$4&amp;" – *")))</f>
        <v>3</v>
      </c>
      <c r="D27" s="7">
        <f>IF(D$4="HĐTN",COUNTIF('[1]03_TKB_LOP'!$B$270:$G$277,"HĐTN*")+COUNTIF('[1]03_TKB_LOP'!$B$270:$G$277,"Chào cờ/HĐTN*"),COUNTIF('[1]03_TKB_LOP'!$B$270:$G$277,IF(LEFT(D$4,5)="NHÓM:","NHÓM:*"&amp;MID(D$4,8,50)&amp;"*",D$4&amp;" – *")))</f>
        <v>3</v>
      </c>
      <c r="E27" s="7">
        <f>IF(E$4="HĐTN",COUNTIF('[1]03_TKB_LOP'!$B$270:$G$277,"HĐTN*")+COUNTIF('[1]03_TKB_LOP'!$B$270:$G$277,"Chào cờ/HĐTN*"),COUNTIF('[1]03_TKB_LOP'!$B$270:$G$277,IF(LEFT(E$4,5)="NHÓM:","NHÓM:*"&amp;MID(E$4,8,50)&amp;"*",E$4&amp;" – *")))</f>
        <v>3</v>
      </c>
      <c r="F27" s="7">
        <f>IF(F$4="HĐTN",COUNTIF('[1]03_TKB_LOP'!$B$270:$G$277,"HĐTN*")+COUNTIF('[1]03_TKB_LOP'!$B$270:$G$277,"Chào cờ/HĐTN*"),COUNTIF('[1]03_TKB_LOP'!$B$270:$G$277,IF(LEFT(F$4,5)="NHÓM:","NHÓM:*"&amp;MID(F$4,8,50)&amp;"*",F$4&amp;" – *")))</f>
        <v>3</v>
      </c>
      <c r="G27" s="7">
        <f>IF(G$4="HĐTN",COUNTIF('[1]03_TKB_LOP'!$B$270:$G$277,"HĐTN*")+COUNTIF('[1]03_TKB_LOP'!$B$270:$G$277,"Chào cờ/HĐTN*"),COUNTIF('[1]03_TKB_LOP'!$B$270:$G$277,IF(LEFT(G$4,5)="NHÓM:","NHÓM:*"&amp;MID(G$4,8,50)&amp;"*",G$4&amp;" – *")))</f>
        <v>0</v>
      </c>
      <c r="H27" s="7">
        <f>IF(H$4="HĐTN",COUNTIF('[1]03_TKB_LOP'!$B$270:$G$277,"HĐTN*")+COUNTIF('[1]03_TKB_LOP'!$B$270:$G$277,"Chào cờ/HĐTN*"),COUNTIF('[1]03_TKB_LOP'!$B$270:$G$277,IF(LEFT(H$4,5)="NHÓM:","NHÓM:*"&amp;MID(H$4,8,50)&amp;"*",H$4&amp;" – *")))</f>
        <v>0</v>
      </c>
      <c r="I27" s="7">
        <f>IF(I$4="HĐTN",COUNTIF('[1]03_TKB_LOP'!$B$270:$G$277,"HĐTN*")+COUNTIF('[1]03_TKB_LOP'!$B$270:$G$277,"Chào cờ/HĐTN*"),COUNTIF('[1]03_TKB_LOP'!$B$270:$G$277,IF(LEFT(I$4,5)="NHÓM:","NHÓM:*"&amp;MID(I$4,8,50)&amp;"*",I$4&amp;" – *")))</f>
        <v>0</v>
      </c>
      <c r="J27" s="7">
        <f>IF(J$4="HĐTN",COUNTIF('[1]03_TKB_LOP'!$B$270:$G$277,"HĐTN*")+COUNTIF('[1]03_TKB_LOP'!$B$270:$G$277,"Chào cờ/HĐTN*"),COUNTIF('[1]03_TKB_LOP'!$B$270:$G$277,IF(LEFT(J$4,5)="NHÓM:","NHÓM:*"&amp;MID(J$4,8,50)&amp;"*",J$4&amp;" – *")))</f>
        <v>1</v>
      </c>
      <c r="K27" s="7">
        <f>IF(K$4="HĐTN",COUNTIF('[1]03_TKB_LOP'!$B$270:$G$277,"HĐTN*")+COUNTIF('[1]03_TKB_LOP'!$B$270:$G$277,"Chào cờ/HĐTN*"),COUNTIF('[1]03_TKB_LOP'!$B$270:$G$277,IF(LEFT(K$4,5)="NHÓM:","NHÓM:*"&amp;MID(K$4,8,50)&amp;"*",K$4&amp;" – *")))</f>
        <v>2</v>
      </c>
      <c r="L27" s="7">
        <f>IF(L$4="HĐTN",COUNTIF('[1]03_TKB_LOP'!$B$270:$G$277,"HĐTN*")+COUNTIF('[1]03_TKB_LOP'!$B$270:$G$277,"Chào cờ/HĐTN*"),COUNTIF('[1]03_TKB_LOP'!$B$270:$G$277,IF(LEFT(L$4,5)="NHÓM:","NHÓM:*"&amp;MID(L$4,8,50)&amp;"*",L$4&amp;" – *")))</f>
        <v>2</v>
      </c>
      <c r="M27" s="7">
        <f>IF(M$4="HĐTN",COUNTIF('[1]03_TKB_LOP'!$B$270:$G$277,"HĐTN*")+COUNTIF('[1]03_TKB_LOP'!$B$270:$G$277,"Chào cờ/HĐTN*"),COUNTIF('[1]03_TKB_LOP'!$B$270:$G$277,IF(LEFT(M$4,5)="NHÓM:","NHÓM:*"&amp;MID(M$4,8,50)&amp;"*",M$4&amp;" – *")))</f>
        <v>2</v>
      </c>
      <c r="N27" s="7">
        <f>IF(N$4="HĐTN",COUNTIF('[1]03_TKB_LOP'!$B$270:$G$277,"HĐTN*")+COUNTIF('[1]03_TKB_LOP'!$B$270:$G$277,"Chào cờ/HĐTN*"),COUNTIF('[1]03_TKB_LOP'!$B$270:$G$277,IF(LEFT(N$4,5)="NHÓM:","NHÓM:*"&amp;MID(N$4,8,50)&amp;"*",N$4&amp;" – *")))</f>
        <v>2</v>
      </c>
      <c r="O27" s="7">
        <f>IF(O$4="HĐTN",COUNTIF('[1]03_TKB_LOP'!$B$270:$G$277,"HĐTN*")+COUNTIF('[1]03_TKB_LOP'!$B$270:$G$277,"Chào cờ/HĐTN*"),COUNTIF('[1]03_TKB_LOP'!$B$270:$G$277,IF(LEFT(O$4,5)="NHÓM:","NHÓM:*"&amp;MID(O$4,8,50)&amp;"*",O$4&amp;" – *")))</f>
        <v>1</v>
      </c>
      <c r="P27" s="7">
        <f>IF(P$4="HĐTN",COUNTIF('[1]03_TKB_LOP'!$B$270:$G$277,"HĐTN*")+COUNTIF('[1]03_TKB_LOP'!$B$270:$G$277,"Chào cờ/HĐTN*"),COUNTIF('[1]03_TKB_LOP'!$B$270:$G$277,IF(LEFT(P$4,5)="NHÓM:","NHÓM:*"&amp;MID(P$4,8,50)&amp;"*",P$4&amp;" – *")))</f>
        <v>1</v>
      </c>
      <c r="Q27" s="7">
        <f>IF(Q$4="HĐTN",COUNTIF('[1]03_TKB_LOP'!$B$270:$G$277,"HĐTN*")+COUNTIF('[1]03_TKB_LOP'!$B$270:$G$277,"Chào cờ/HĐTN*"),COUNTIF('[1]03_TKB_LOP'!$B$270:$G$277,IF(LEFT(Q$4,5)="NHÓM:","NHÓM:*"&amp;MID(Q$4,8,50)&amp;"*",Q$4&amp;" – *")))</f>
        <v>0</v>
      </c>
      <c r="R27" s="7">
        <f>IF(R$4="HĐTN",COUNTIF('[1]03_TKB_LOP'!$B$270:$G$277,"HĐTN*")+COUNTIF('[1]03_TKB_LOP'!$B$270:$G$277,"Chào cờ/HĐTN*"),COUNTIF('[1]03_TKB_LOP'!$B$270:$G$277,IF(LEFT(R$4,5)="NHÓM:","NHÓM:*"&amp;MID(R$4,8,50)&amp;"*",R$4&amp;" – *")))</f>
        <v>1</v>
      </c>
      <c r="S27" s="7">
        <f>IF(S$4="HĐTN",COUNTIF('[1]03_TKB_LOP'!$B$270:$G$277,"HĐTN*")+COUNTIF('[1]03_TKB_LOP'!$B$270:$G$277,"Chào cờ/HĐTN*"),COUNTIF('[1]03_TKB_LOP'!$B$270:$G$277,IF(LEFT(S$4,5)="NHÓM:","NHÓM:*"&amp;MID(S$4,8,50)&amp;"*",S$4&amp;" – *")))</f>
        <v>0</v>
      </c>
      <c r="T27" s="7">
        <f>IF(T$4="HĐTN",COUNTIF('[1]03_TKB_LOP'!$B$270:$G$277,"HĐTN*")+COUNTIF('[1]03_TKB_LOP'!$B$270:$G$277,"Chào cờ/HĐTN*"),COUNTIF('[1]03_TKB_LOP'!$B$270:$G$277,IF(LEFT(T$4,5)="NHÓM:","NHÓM:*"&amp;MID(T$4,8,50)&amp;"*",T$4&amp;" – *")))</f>
        <v>0</v>
      </c>
      <c r="U27" s="7">
        <f>IF(U$4="HĐTN",COUNTIF('[1]03_TKB_LOP'!$B$270:$G$277,"HĐTN*")+COUNTIF('[1]03_TKB_LOP'!$B$270:$G$277,"Chào cờ/HĐTN*"),COUNTIF('[1]03_TKB_LOP'!$B$270:$G$277,IF(LEFT(U$4,5)="NHÓM:","NHÓM:*"&amp;MID(U$4,8,50)&amp;"*",U$4&amp;" – *")))</f>
        <v>0</v>
      </c>
      <c r="V27" s="7">
        <f>IF(V$4="HĐTN",COUNTIF('[1]03_TKB_LOP'!$B$270:$G$277,"HĐTN*")+COUNTIF('[1]03_TKB_LOP'!$B$270:$G$277,"Chào cờ/HĐTN*"),COUNTIF('[1]03_TKB_LOP'!$B$270:$G$277,IF(LEFT(V$4,5)="NHÓM:","NHÓM:*"&amp;MID(V$4,8,50)&amp;"*",V$4&amp;" – *")))</f>
        <v>1</v>
      </c>
      <c r="W27" s="7">
        <f>IF(W$4="HĐTN",COUNTIF('[1]03_TKB_LOP'!$B$270:$G$277,"HĐTN*")+COUNTIF('[1]03_TKB_LOP'!$B$270:$G$277,"Chào cờ/HĐTN*"),COUNTIF('[1]03_TKB_LOP'!$B$270:$G$277,IF(LEFT(W$4,5)="NHÓM:","NHÓM:*"&amp;MID(W$4,8,50)&amp;"*",W$4&amp;" – *")))</f>
        <v>1</v>
      </c>
      <c r="X27" s="7">
        <f>IF(X$4="HĐTN",COUNTIF('[1]03_TKB_LOP'!$B$270:$G$277,"HĐTN*")+COUNTIF('[1]03_TKB_LOP'!$B$270:$G$277,"Chào cờ/HĐTN*"),COUNTIF('[1]03_TKB_LOP'!$B$270:$G$277,IF(LEFT(X$4,5)="NHÓM:","NHÓM:*"&amp;MID(X$4,8,50)&amp;"*",X$4&amp;" – *")))</f>
        <v>6</v>
      </c>
      <c r="Y27" s="7">
        <f>IF(Y$4="HĐTN",COUNTIF('[1]03_TKB_LOP'!$B$270:$G$277,"HĐTN*")+COUNTIF('[1]03_TKB_LOP'!$B$270:$G$277,"Chào cờ/HĐTN*"),COUNTIF('[1]03_TKB_LOP'!$B$270:$G$277,IF(LEFT(Y$4,5)="NHÓM:","NHÓM:*"&amp;MID(Y$4,8,50)&amp;"*",Y$4&amp;" – *")))</f>
        <v>2</v>
      </c>
      <c r="Z27" s="7">
        <f>IF(Z$4="HĐTN",COUNTIF('[1]03_TKB_LOP'!$B$270:$G$277,"HĐTN*")+COUNTIF('[1]03_TKB_LOP'!$B$270:$G$277,"Chào cờ/HĐTN*"),COUNTIF('[1]03_TKB_LOP'!$B$270:$G$277,IF(LEFT(Z$4,5)="NHÓM:","NHÓM:*"&amp;MID(Z$4,8,50)&amp;"*",Z$4&amp;" – *")))</f>
        <v>2</v>
      </c>
      <c r="AA27" s="7">
        <f>IF(AA$4="HĐTN",COUNTIF('[1]03_TKB_LOP'!$B$270:$G$277,"HĐTN*")+COUNTIF('[1]03_TKB_LOP'!$B$270:$G$277,"Chào cờ/HĐTN*"),COUNTIF('[1]03_TKB_LOP'!$B$270:$G$277,IF(LEFT(AA$4,5)="NHÓM:","NHÓM:*"&amp;MID(AA$4,8,50)&amp;"*",AA$4&amp;" – *")))</f>
        <v>2</v>
      </c>
      <c r="AB27" s="7">
        <f>IF(AB$4="HĐTN",COUNTIF('[1]03_TKB_LOP'!$B$270:$G$277,"HĐTN*")+COUNTIF('[1]03_TKB_LOP'!$B$270:$G$277,"Chào cờ/HĐTN*"),COUNTIF('[1]03_TKB_LOP'!$B$270:$G$277,IF(LEFT(AB$4,5)="NHÓM:","NHÓM:*"&amp;MID(AB$4,8,50)&amp;"*",AB$4&amp;" – *")))</f>
        <v>0</v>
      </c>
    </row>
    <row r="28" spans="1:28" x14ac:dyDescent="0.2">
      <c r="A28" s="5" t="str">
        <f>TRIM(MID('[1]03_TKB_LOP'!$A$280,4,FIND("|",'[1]03_TKB_LOP'!$A$280)-4))</f>
        <v>11A3</v>
      </c>
      <c r="B28" s="6" t="str">
        <f>TRIM(MID('[1]03_TKB_LOP'!$A$280,FIND("GVCN:",'[1]03_TKB_LOP'!$A$280)+5,FIND("|",'[1]03_TKB_LOP'!$A$280,FIND("GVCN:",'[1]03_TKB_LOP'!$A$280))-FIND("GVCN:",'[1]03_TKB_LOP'!$A$280)-5))</f>
        <v>MÃ THỊ MINH THI</v>
      </c>
      <c r="C28" s="7">
        <f>IF(C$4="HĐTN",COUNTIF('[1]03_TKB_LOP'!$B$282:$G$289,"HĐTN*")+COUNTIF('[1]03_TKB_LOP'!$B$282:$G$289,"Chào cờ/HĐTN*"),COUNTIF('[1]03_TKB_LOP'!$B$282:$G$289,IF(LEFT(C$4,5)="NHÓM:","NHÓM:*"&amp;MID(C$4,8,50)&amp;"*",C$4&amp;" – *")))</f>
        <v>3</v>
      </c>
      <c r="D28" s="7">
        <f>IF(D$4="HĐTN",COUNTIF('[1]03_TKB_LOP'!$B$282:$G$289,"HĐTN*")+COUNTIF('[1]03_TKB_LOP'!$B$282:$G$289,"Chào cờ/HĐTN*"),COUNTIF('[1]03_TKB_LOP'!$B$282:$G$289,IF(LEFT(D$4,5)="NHÓM:","NHÓM:*"&amp;MID(D$4,8,50)&amp;"*",D$4&amp;" – *")))</f>
        <v>3</v>
      </c>
      <c r="E28" s="7">
        <f>IF(E$4="HĐTN",COUNTIF('[1]03_TKB_LOP'!$B$282:$G$289,"HĐTN*")+COUNTIF('[1]03_TKB_LOP'!$B$282:$G$289,"Chào cờ/HĐTN*"),COUNTIF('[1]03_TKB_LOP'!$B$282:$G$289,IF(LEFT(E$4,5)="NHÓM:","NHÓM:*"&amp;MID(E$4,8,50)&amp;"*",E$4&amp;" – *")))</f>
        <v>3</v>
      </c>
      <c r="F28" s="7">
        <f>IF(F$4="HĐTN",COUNTIF('[1]03_TKB_LOP'!$B$282:$G$289,"HĐTN*")+COUNTIF('[1]03_TKB_LOP'!$B$282:$G$289,"Chào cờ/HĐTN*"),COUNTIF('[1]03_TKB_LOP'!$B$282:$G$289,IF(LEFT(F$4,5)="NHÓM:","NHÓM:*"&amp;MID(F$4,8,50)&amp;"*",F$4&amp;" – *")))</f>
        <v>3</v>
      </c>
      <c r="G28" s="7">
        <f>IF(G$4="HĐTN",COUNTIF('[1]03_TKB_LOP'!$B$282:$G$289,"HĐTN*")+COUNTIF('[1]03_TKB_LOP'!$B$282:$G$289,"Chào cờ/HĐTN*"),COUNTIF('[1]03_TKB_LOP'!$B$282:$G$289,IF(LEFT(G$4,5)="NHÓM:","NHÓM:*"&amp;MID(G$4,8,50)&amp;"*",G$4&amp;" – *")))</f>
        <v>2</v>
      </c>
      <c r="H28" s="7">
        <f>IF(H$4="HĐTN",COUNTIF('[1]03_TKB_LOP'!$B$282:$G$289,"HĐTN*")+COUNTIF('[1]03_TKB_LOP'!$B$282:$G$289,"Chào cờ/HĐTN*"),COUNTIF('[1]03_TKB_LOP'!$B$282:$G$289,IF(LEFT(H$4,5)="NHÓM:","NHÓM:*"&amp;MID(H$4,8,50)&amp;"*",H$4&amp;" – *")))</f>
        <v>2</v>
      </c>
      <c r="I28" s="7">
        <f>IF(I$4="HĐTN",COUNTIF('[1]03_TKB_LOP'!$B$282:$G$289,"HĐTN*")+COUNTIF('[1]03_TKB_LOP'!$B$282:$G$289,"Chào cờ/HĐTN*"),COUNTIF('[1]03_TKB_LOP'!$B$282:$G$289,IF(LEFT(I$4,5)="NHÓM:","NHÓM:*"&amp;MID(I$4,8,50)&amp;"*",I$4&amp;" – *")))</f>
        <v>2</v>
      </c>
      <c r="J28" s="7">
        <f>IF(J$4="HĐTN",COUNTIF('[1]03_TKB_LOP'!$B$282:$G$289,"HĐTN*")+COUNTIF('[1]03_TKB_LOP'!$B$282:$G$289,"Chào cờ/HĐTN*"),COUNTIF('[1]03_TKB_LOP'!$B$282:$G$289,IF(LEFT(J$4,5)="NHÓM:","NHÓM:*"&amp;MID(J$4,8,50)&amp;"*",J$4&amp;" – *")))</f>
        <v>1</v>
      </c>
      <c r="K28" s="7">
        <f>IF(K$4="HĐTN",COUNTIF('[1]03_TKB_LOP'!$B$282:$G$289,"HĐTN*")+COUNTIF('[1]03_TKB_LOP'!$B$282:$G$289,"Chào cờ/HĐTN*"),COUNTIF('[1]03_TKB_LOP'!$B$282:$G$289,IF(LEFT(K$4,5)="NHÓM:","NHÓM:*"&amp;MID(K$4,8,50)&amp;"*",K$4&amp;" – *")))</f>
        <v>0</v>
      </c>
      <c r="L28" s="7">
        <f>IF(L$4="HĐTN",COUNTIF('[1]03_TKB_LOP'!$B$282:$G$289,"HĐTN*")+COUNTIF('[1]03_TKB_LOP'!$B$282:$G$289,"Chào cờ/HĐTN*"),COUNTIF('[1]03_TKB_LOP'!$B$282:$G$289,IF(LEFT(L$4,5)="NHÓM:","NHÓM:*"&amp;MID(L$4,8,50)&amp;"*",L$4&amp;" – *")))</f>
        <v>2</v>
      </c>
      <c r="M28" s="7">
        <f>IF(M$4="HĐTN",COUNTIF('[1]03_TKB_LOP'!$B$282:$G$289,"HĐTN*")+COUNTIF('[1]03_TKB_LOP'!$B$282:$G$289,"Chào cờ/HĐTN*"),COUNTIF('[1]03_TKB_LOP'!$B$282:$G$289,IF(LEFT(M$4,5)="NHÓM:","NHÓM:*"&amp;MID(M$4,8,50)&amp;"*",M$4&amp;" – *")))</f>
        <v>0</v>
      </c>
      <c r="N28" s="7">
        <f>IF(N$4="HĐTN",COUNTIF('[1]03_TKB_LOP'!$B$282:$G$289,"HĐTN*")+COUNTIF('[1]03_TKB_LOP'!$B$282:$G$289,"Chào cờ/HĐTN*"),COUNTIF('[1]03_TKB_LOP'!$B$282:$G$289,IF(LEFT(N$4,5)="NHÓM:","NHÓM:*"&amp;MID(N$4,8,50)&amp;"*",N$4&amp;" – *")))</f>
        <v>0</v>
      </c>
      <c r="O28" s="7">
        <f>IF(O$4="HĐTN",COUNTIF('[1]03_TKB_LOP'!$B$282:$G$289,"HĐTN*")+COUNTIF('[1]03_TKB_LOP'!$B$282:$G$289,"Chào cờ/HĐTN*"),COUNTIF('[1]03_TKB_LOP'!$B$282:$G$289,IF(LEFT(O$4,5)="NHÓM:","NHÓM:*"&amp;MID(O$4,8,50)&amp;"*",O$4&amp;" – *")))</f>
        <v>1</v>
      </c>
      <c r="P28" s="7">
        <f>IF(P$4="HĐTN",COUNTIF('[1]03_TKB_LOP'!$B$282:$G$289,"HĐTN*")+COUNTIF('[1]03_TKB_LOP'!$B$282:$G$289,"Chào cờ/HĐTN*"),COUNTIF('[1]03_TKB_LOP'!$B$282:$G$289,IF(LEFT(P$4,5)="NHÓM:","NHÓM:*"&amp;MID(P$4,8,50)&amp;"*",P$4&amp;" – *")))</f>
        <v>1</v>
      </c>
      <c r="Q28" s="7">
        <f>IF(Q$4="HĐTN",COUNTIF('[1]03_TKB_LOP'!$B$282:$G$289,"HĐTN*")+COUNTIF('[1]03_TKB_LOP'!$B$282:$G$289,"Chào cờ/HĐTN*"),COUNTIF('[1]03_TKB_LOP'!$B$282:$G$289,IF(LEFT(Q$4,5)="NHÓM:","NHÓM:*"&amp;MID(Q$4,8,50)&amp;"*",Q$4&amp;" – *")))</f>
        <v>1</v>
      </c>
      <c r="R28" s="7">
        <f>IF(R$4="HĐTN",COUNTIF('[1]03_TKB_LOP'!$B$282:$G$289,"HĐTN*")+COUNTIF('[1]03_TKB_LOP'!$B$282:$G$289,"Chào cờ/HĐTN*"),COUNTIF('[1]03_TKB_LOP'!$B$282:$G$289,IF(LEFT(R$4,5)="NHÓM:","NHÓM:*"&amp;MID(R$4,8,50)&amp;"*",R$4&amp;" – *")))</f>
        <v>0</v>
      </c>
      <c r="S28" s="7">
        <f>IF(S$4="HĐTN",COUNTIF('[1]03_TKB_LOP'!$B$282:$G$289,"HĐTN*")+COUNTIF('[1]03_TKB_LOP'!$B$282:$G$289,"Chào cờ/HĐTN*"),COUNTIF('[1]03_TKB_LOP'!$B$282:$G$289,IF(LEFT(S$4,5)="NHÓM:","NHÓM:*"&amp;MID(S$4,8,50)&amp;"*",S$4&amp;" – *")))</f>
        <v>0</v>
      </c>
      <c r="T28" s="7">
        <f>IF(T$4="HĐTN",COUNTIF('[1]03_TKB_LOP'!$B$282:$G$289,"HĐTN*")+COUNTIF('[1]03_TKB_LOP'!$B$282:$G$289,"Chào cờ/HĐTN*"),COUNTIF('[1]03_TKB_LOP'!$B$282:$G$289,IF(LEFT(T$4,5)="NHÓM:","NHÓM:*"&amp;MID(T$4,8,50)&amp;"*",T$4&amp;" – *")))</f>
        <v>1</v>
      </c>
      <c r="U28" s="7">
        <f>IF(U$4="HĐTN",COUNTIF('[1]03_TKB_LOP'!$B$282:$G$289,"HĐTN*")+COUNTIF('[1]03_TKB_LOP'!$B$282:$G$289,"Chào cờ/HĐTN*"),COUNTIF('[1]03_TKB_LOP'!$B$282:$G$289,IF(LEFT(U$4,5)="NHÓM:","NHÓM:*"&amp;MID(U$4,8,50)&amp;"*",U$4&amp;" – *")))</f>
        <v>1</v>
      </c>
      <c r="V28" s="7">
        <f>IF(V$4="HĐTN",COUNTIF('[1]03_TKB_LOP'!$B$282:$G$289,"HĐTN*")+COUNTIF('[1]03_TKB_LOP'!$B$282:$G$289,"Chào cờ/HĐTN*"),COUNTIF('[1]03_TKB_LOP'!$B$282:$G$289,IF(LEFT(V$4,5)="NHÓM:","NHÓM:*"&amp;MID(V$4,8,50)&amp;"*",V$4&amp;" – *")))</f>
        <v>0</v>
      </c>
      <c r="W28" s="7">
        <f>IF(W$4="HĐTN",COUNTIF('[1]03_TKB_LOP'!$B$282:$G$289,"HĐTN*")+COUNTIF('[1]03_TKB_LOP'!$B$282:$G$289,"Chào cờ/HĐTN*"),COUNTIF('[1]03_TKB_LOP'!$B$282:$G$289,IF(LEFT(W$4,5)="NHÓM:","NHÓM:*"&amp;MID(W$4,8,50)&amp;"*",W$4&amp;" – *")))</f>
        <v>0</v>
      </c>
      <c r="X28" s="7">
        <f>IF(X$4="HĐTN",COUNTIF('[1]03_TKB_LOP'!$B$282:$G$289,"HĐTN*")+COUNTIF('[1]03_TKB_LOP'!$B$282:$G$289,"Chào cờ/HĐTN*"),COUNTIF('[1]03_TKB_LOP'!$B$282:$G$289,IF(LEFT(X$4,5)="NHÓM:","NHÓM:*"&amp;MID(X$4,8,50)&amp;"*",X$4&amp;" – *")))</f>
        <v>4</v>
      </c>
      <c r="Y28" s="7">
        <f>IF(Y$4="HĐTN",COUNTIF('[1]03_TKB_LOP'!$B$282:$G$289,"HĐTN*")+COUNTIF('[1]03_TKB_LOP'!$B$282:$G$289,"Chào cờ/HĐTN*"),COUNTIF('[1]03_TKB_LOP'!$B$282:$G$289,IF(LEFT(Y$4,5)="NHÓM:","NHÓM:*"&amp;MID(Y$4,8,50)&amp;"*",Y$4&amp;" – *")))</f>
        <v>2</v>
      </c>
      <c r="Z28" s="7">
        <f>IF(Z$4="HĐTN",COUNTIF('[1]03_TKB_LOP'!$B$282:$G$289,"HĐTN*")+COUNTIF('[1]03_TKB_LOP'!$B$282:$G$289,"Chào cờ/HĐTN*"),COUNTIF('[1]03_TKB_LOP'!$B$282:$G$289,IF(LEFT(Z$4,5)="NHÓM:","NHÓM:*"&amp;MID(Z$4,8,50)&amp;"*",Z$4&amp;" – *")))</f>
        <v>0</v>
      </c>
      <c r="AA28" s="7">
        <f>IF(AA$4="HĐTN",COUNTIF('[1]03_TKB_LOP'!$B$282:$G$289,"HĐTN*")+COUNTIF('[1]03_TKB_LOP'!$B$282:$G$289,"Chào cờ/HĐTN*"),COUNTIF('[1]03_TKB_LOP'!$B$282:$G$289,IF(LEFT(AA$4,5)="NHÓM:","NHÓM:*"&amp;MID(AA$4,8,50)&amp;"*",AA$4&amp;" – *")))</f>
        <v>4</v>
      </c>
      <c r="AB28" s="7">
        <f>IF(AB$4="HĐTN",COUNTIF('[1]03_TKB_LOP'!$B$282:$G$289,"HĐTN*")+COUNTIF('[1]03_TKB_LOP'!$B$282:$G$289,"Chào cờ/HĐTN*"),COUNTIF('[1]03_TKB_LOP'!$B$282:$G$289,IF(LEFT(AB$4,5)="NHÓM:","NHÓM:*"&amp;MID(AB$4,8,50)&amp;"*",AB$4&amp;" – *")))</f>
        <v>0</v>
      </c>
    </row>
    <row r="29" spans="1:28" x14ac:dyDescent="0.2">
      <c r="A29" s="5" t="str">
        <f>TRIM(MID('[1]03_TKB_LOP'!$A$292,4,FIND("|",'[1]03_TKB_LOP'!$A$292)-4))</f>
        <v>11A4</v>
      </c>
      <c r="B29" s="6" t="str">
        <f>TRIM(MID('[1]03_TKB_LOP'!$A$292,FIND("GVCN:",'[1]03_TKB_LOP'!$A$292)+5,FIND("|",'[1]03_TKB_LOP'!$A$292,FIND("GVCN:",'[1]03_TKB_LOP'!$A$292))-FIND("GVCN:",'[1]03_TKB_LOP'!$A$292)-5))</f>
        <v>NGUYỄN THỊ DIẾN</v>
      </c>
      <c r="C29" s="7">
        <f>IF(C$4="HĐTN",COUNTIF('[1]03_TKB_LOP'!$B$294:$G$301,"HĐTN*")+COUNTIF('[1]03_TKB_LOP'!$B$294:$G$301,"Chào cờ/HĐTN*"),COUNTIF('[1]03_TKB_LOP'!$B$294:$G$301,IF(LEFT(C$4,5)="NHÓM:","NHÓM:*"&amp;MID(C$4,8,50)&amp;"*",C$4&amp;" – *")))</f>
        <v>3</v>
      </c>
      <c r="D29" s="7">
        <f>IF(D$4="HĐTN",COUNTIF('[1]03_TKB_LOP'!$B$294:$G$301,"HĐTN*")+COUNTIF('[1]03_TKB_LOP'!$B$294:$G$301,"Chào cờ/HĐTN*"),COUNTIF('[1]03_TKB_LOP'!$B$294:$G$301,IF(LEFT(D$4,5)="NHÓM:","NHÓM:*"&amp;MID(D$4,8,50)&amp;"*",D$4&amp;" – *")))</f>
        <v>3</v>
      </c>
      <c r="E29" s="7">
        <f>IF(E$4="HĐTN",COUNTIF('[1]03_TKB_LOP'!$B$294:$G$301,"HĐTN*")+COUNTIF('[1]03_TKB_LOP'!$B$294:$G$301,"Chào cờ/HĐTN*"),COUNTIF('[1]03_TKB_LOP'!$B$294:$G$301,IF(LEFT(E$4,5)="NHÓM:","NHÓM:*"&amp;MID(E$4,8,50)&amp;"*",E$4&amp;" – *")))</f>
        <v>3</v>
      </c>
      <c r="F29" s="7">
        <f>IF(F$4="HĐTN",COUNTIF('[1]03_TKB_LOP'!$B$294:$G$301,"HĐTN*")+COUNTIF('[1]03_TKB_LOP'!$B$294:$G$301,"Chào cờ/HĐTN*"),COUNTIF('[1]03_TKB_LOP'!$B$294:$G$301,IF(LEFT(F$4,5)="NHÓM:","NHÓM:*"&amp;MID(F$4,8,50)&amp;"*",F$4&amp;" – *")))</f>
        <v>3</v>
      </c>
      <c r="G29" s="7">
        <f>IF(G$4="HĐTN",COUNTIF('[1]03_TKB_LOP'!$B$294:$G$301,"HĐTN*")+COUNTIF('[1]03_TKB_LOP'!$B$294:$G$301,"Chào cờ/HĐTN*"),COUNTIF('[1]03_TKB_LOP'!$B$294:$G$301,IF(LEFT(G$4,5)="NHÓM:","NHÓM:*"&amp;MID(G$4,8,50)&amp;"*",G$4&amp;" – *")))</f>
        <v>2</v>
      </c>
      <c r="H29" s="7">
        <f>IF(H$4="HĐTN",COUNTIF('[1]03_TKB_LOP'!$B$294:$G$301,"HĐTN*")+COUNTIF('[1]03_TKB_LOP'!$B$294:$G$301,"Chào cờ/HĐTN*"),COUNTIF('[1]03_TKB_LOP'!$B$294:$G$301,IF(LEFT(H$4,5)="NHÓM:","NHÓM:*"&amp;MID(H$4,8,50)&amp;"*",H$4&amp;" – *")))</f>
        <v>2</v>
      </c>
      <c r="I29" s="7">
        <f>IF(I$4="HĐTN",COUNTIF('[1]03_TKB_LOP'!$B$294:$G$301,"HĐTN*")+COUNTIF('[1]03_TKB_LOP'!$B$294:$G$301,"Chào cờ/HĐTN*"),COUNTIF('[1]03_TKB_LOP'!$B$294:$G$301,IF(LEFT(I$4,5)="NHÓM:","NHÓM:*"&amp;MID(I$4,8,50)&amp;"*",I$4&amp;" – *")))</f>
        <v>2</v>
      </c>
      <c r="J29" s="7">
        <f>IF(J$4="HĐTN",COUNTIF('[1]03_TKB_LOP'!$B$294:$G$301,"HĐTN*")+COUNTIF('[1]03_TKB_LOP'!$B$294:$G$301,"Chào cờ/HĐTN*"),COUNTIF('[1]03_TKB_LOP'!$B$294:$G$301,IF(LEFT(J$4,5)="NHÓM:","NHÓM:*"&amp;MID(J$4,8,50)&amp;"*",J$4&amp;" – *")))</f>
        <v>1</v>
      </c>
      <c r="K29" s="7">
        <f>IF(K$4="HĐTN",COUNTIF('[1]03_TKB_LOP'!$B$294:$G$301,"HĐTN*")+COUNTIF('[1]03_TKB_LOP'!$B$294:$G$301,"Chào cờ/HĐTN*"),COUNTIF('[1]03_TKB_LOP'!$B$294:$G$301,IF(LEFT(K$4,5)="NHÓM:","NHÓM:*"&amp;MID(K$4,8,50)&amp;"*",K$4&amp;" – *")))</f>
        <v>0</v>
      </c>
      <c r="L29" s="7">
        <f>IF(L$4="HĐTN",COUNTIF('[1]03_TKB_LOP'!$B$294:$G$301,"HĐTN*")+COUNTIF('[1]03_TKB_LOP'!$B$294:$G$301,"Chào cờ/HĐTN*"),COUNTIF('[1]03_TKB_LOP'!$B$294:$G$301,IF(LEFT(L$4,5)="NHÓM:","NHÓM:*"&amp;MID(L$4,8,50)&amp;"*",L$4&amp;" – *")))</f>
        <v>2</v>
      </c>
      <c r="M29" s="7">
        <f>IF(M$4="HĐTN",COUNTIF('[1]03_TKB_LOP'!$B$294:$G$301,"HĐTN*")+COUNTIF('[1]03_TKB_LOP'!$B$294:$G$301,"Chào cờ/HĐTN*"),COUNTIF('[1]03_TKB_LOP'!$B$294:$G$301,IF(LEFT(M$4,5)="NHÓM:","NHÓM:*"&amp;MID(M$4,8,50)&amp;"*",M$4&amp;" – *")))</f>
        <v>0</v>
      </c>
      <c r="N29" s="7">
        <f>IF(N$4="HĐTN",COUNTIF('[1]03_TKB_LOP'!$B$294:$G$301,"HĐTN*")+COUNTIF('[1]03_TKB_LOP'!$B$294:$G$301,"Chào cờ/HĐTN*"),COUNTIF('[1]03_TKB_LOP'!$B$294:$G$301,IF(LEFT(N$4,5)="NHÓM:","NHÓM:*"&amp;MID(N$4,8,50)&amp;"*",N$4&amp;" – *")))</f>
        <v>0</v>
      </c>
      <c r="O29" s="7">
        <f>IF(O$4="HĐTN",COUNTIF('[1]03_TKB_LOP'!$B$294:$G$301,"HĐTN*")+COUNTIF('[1]03_TKB_LOP'!$B$294:$G$301,"Chào cờ/HĐTN*"),COUNTIF('[1]03_TKB_LOP'!$B$294:$G$301,IF(LEFT(O$4,5)="NHÓM:","NHÓM:*"&amp;MID(O$4,8,50)&amp;"*",O$4&amp;" – *")))</f>
        <v>1</v>
      </c>
      <c r="P29" s="7">
        <f>IF(P$4="HĐTN",COUNTIF('[1]03_TKB_LOP'!$B$294:$G$301,"HĐTN*")+COUNTIF('[1]03_TKB_LOP'!$B$294:$G$301,"Chào cờ/HĐTN*"),COUNTIF('[1]03_TKB_LOP'!$B$294:$G$301,IF(LEFT(P$4,5)="NHÓM:","NHÓM:*"&amp;MID(P$4,8,50)&amp;"*",P$4&amp;" – *")))</f>
        <v>1</v>
      </c>
      <c r="Q29" s="7">
        <f>IF(Q$4="HĐTN",COUNTIF('[1]03_TKB_LOP'!$B$294:$G$301,"HĐTN*")+COUNTIF('[1]03_TKB_LOP'!$B$294:$G$301,"Chào cờ/HĐTN*"),COUNTIF('[1]03_TKB_LOP'!$B$294:$G$301,IF(LEFT(Q$4,5)="NHÓM:","NHÓM:*"&amp;MID(Q$4,8,50)&amp;"*",Q$4&amp;" – *")))</f>
        <v>1</v>
      </c>
      <c r="R29" s="7">
        <f>IF(R$4="HĐTN",COUNTIF('[1]03_TKB_LOP'!$B$294:$G$301,"HĐTN*")+COUNTIF('[1]03_TKB_LOP'!$B$294:$G$301,"Chào cờ/HĐTN*"),COUNTIF('[1]03_TKB_LOP'!$B$294:$G$301,IF(LEFT(R$4,5)="NHÓM:","NHÓM:*"&amp;MID(R$4,8,50)&amp;"*",R$4&amp;" – *")))</f>
        <v>0</v>
      </c>
      <c r="S29" s="7">
        <f>IF(S$4="HĐTN",COUNTIF('[1]03_TKB_LOP'!$B$294:$G$301,"HĐTN*")+COUNTIF('[1]03_TKB_LOP'!$B$294:$G$301,"Chào cờ/HĐTN*"),COUNTIF('[1]03_TKB_LOP'!$B$294:$G$301,IF(LEFT(S$4,5)="NHÓM:","NHÓM:*"&amp;MID(S$4,8,50)&amp;"*",S$4&amp;" – *")))</f>
        <v>0</v>
      </c>
      <c r="T29" s="7">
        <f>IF(T$4="HĐTN",COUNTIF('[1]03_TKB_LOP'!$B$294:$G$301,"HĐTN*")+COUNTIF('[1]03_TKB_LOP'!$B$294:$G$301,"Chào cờ/HĐTN*"),COUNTIF('[1]03_TKB_LOP'!$B$294:$G$301,IF(LEFT(T$4,5)="NHÓM:","NHÓM:*"&amp;MID(T$4,8,50)&amp;"*",T$4&amp;" – *")))</f>
        <v>1</v>
      </c>
      <c r="U29" s="7">
        <f>IF(U$4="HĐTN",COUNTIF('[1]03_TKB_LOP'!$B$294:$G$301,"HĐTN*")+COUNTIF('[1]03_TKB_LOP'!$B$294:$G$301,"Chào cờ/HĐTN*"),COUNTIF('[1]03_TKB_LOP'!$B$294:$G$301,IF(LEFT(U$4,5)="NHÓM:","NHÓM:*"&amp;MID(U$4,8,50)&amp;"*",U$4&amp;" – *")))</f>
        <v>1</v>
      </c>
      <c r="V29" s="7">
        <f>IF(V$4="HĐTN",COUNTIF('[1]03_TKB_LOP'!$B$294:$G$301,"HĐTN*")+COUNTIF('[1]03_TKB_LOP'!$B$294:$G$301,"Chào cờ/HĐTN*"),COUNTIF('[1]03_TKB_LOP'!$B$294:$G$301,IF(LEFT(V$4,5)="NHÓM:","NHÓM:*"&amp;MID(V$4,8,50)&amp;"*",V$4&amp;" – *")))</f>
        <v>0</v>
      </c>
      <c r="W29" s="7">
        <f>IF(W$4="HĐTN",COUNTIF('[1]03_TKB_LOP'!$B$294:$G$301,"HĐTN*")+COUNTIF('[1]03_TKB_LOP'!$B$294:$G$301,"Chào cờ/HĐTN*"),COUNTIF('[1]03_TKB_LOP'!$B$294:$G$301,IF(LEFT(W$4,5)="NHÓM:","NHÓM:*"&amp;MID(W$4,8,50)&amp;"*",W$4&amp;" – *")))</f>
        <v>0</v>
      </c>
      <c r="X29" s="7">
        <f>IF(X$4="HĐTN",COUNTIF('[1]03_TKB_LOP'!$B$294:$G$301,"HĐTN*")+COUNTIF('[1]03_TKB_LOP'!$B$294:$G$301,"Chào cờ/HĐTN*"),COUNTIF('[1]03_TKB_LOP'!$B$294:$G$301,IF(LEFT(X$4,5)="NHÓM:","NHÓM:*"&amp;MID(X$4,8,50)&amp;"*",X$4&amp;" – *")))</f>
        <v>4</v>
      </c>
      <c r="Y29" s="7">
        <f>IF(Y$4="HĐTN",COUNTIF('[1]03_TKB_LOP'!$B$294:$G$301,"HĐTN*")+COUNTIF('[1]03_TKB_LOP'!$B$294:$G$301,"Chào cờ/HĐTN*"),COUNTIF('[1]03_TKB_LOP'!$B$294:$G$301,IF(LEFT(Y$4,5)="NHÓM:","NHÓM:*"&amp;MID(Y$4,8,50)&amp;"*",Y$4&amp;" – *")))</f>
        <v>2</v>
      </c>
      <c r="Z29" s="7">
        <f>IF(Z$4="HĐTN",COUNTIF('[1]03_TKB_LOP'!$B$294:$G$301,"HĐTN*")+COUNTIF('[1]03_TKB_LOP'!$B$294:$G$301,"Chào cờ/HĐTN*"),COUNTIF('[1]03_TKB_LOP'!$B$294:$G$301,IF(LEFT(Z$4,5)="NHÓM:","NHÓM:*"&amp;MID(Z$4,8,50)&amp;"*",Z$4&amp;" – *")))</f>
        <v>0</v>
      </c>
      <c r="AA29" s="7">
        <f>IF(AA$4="HĐTN",COUNTIF('[1]03_TKB_LOP'!$B$294:$G$301,"HĐTN*")+COUNTIF('[1]03_TKB_LOP'!$B$294:$G$301,"Chào cờ/HĐTN*"),COUNTIF('[1]03_TKB_LOP'!$B$294:$G$301,IF(LEFT(AA$4,5)="NHÓM:","NHÓM:*"&amp;MID(AA$4,8,50)&amp;"*",AA$4&amp;" – *")))</f>
        <v>2</v>
      </c>
      <c r="AB29" s="7">
        <f>IF(AB$4="HĐTN",COUNTIF('[1]03_TKB_LOP'!$B$294:$G$301,"HĐTN*")+COUNTIF('[1]03_TKB_LOP'!$B$294:$G$301,"Chào cờ/HĐTN*"),COUNTIF('[1]03_TKB_LOP'!$B$294:$G$301,IF(LEFT(AB$4,5)="NHÓM:","NHÓM:*"&amp;MID(AB$4,8,50)&amp;"*",AB$4&amp;" – *")))</f>
        <v>0</v>
      </c>
    </row>
    <row r="30" spans="1:28" x14ac:dyDescent="0.2">
      <c r="A30" s="5" t="str">
        <f>TRIM(MID('[1]03_TKB_LOP'!$A$304,4,FIND("|",'[1]03_TKB_LOP'!$A$304)-4))</f>
        <v>11A5</v>
      </c>
      <c r="B30" s="6" t="str">
        <f>TRIM(MID('[1]03_TKB_LOP'!$A$304,FIND("GVCN:",'[1]03_TKB_LOP'!$A$304)+5,FIND("|",'[1]03_TKB_LOP'!$A$304,FIND("GVCN:",'[1]03_TKB_LOP'!$A$304))-FIND("GVCN:",'[1]03_TKB_LOP'!$A$304)-5))</f>
        <v>NGUYỄN DUY HƯNG</v>
      </c>
      <c r="C30" s="7">
        <f>IF(C$4="HĐTN",COUNTIF('[1]03_TKB_LOP'!$B$306:$G$313,"HĐTN*")+COUNTIF('[1]03_TKB_LOP'!$B$306:$G$313,"Chào cờ/HĐTN*"),COUNTIF('[1]03_TKB_LOP'!$B$306:$G$313,IF(LEFT(C$4,5)="NHÓM:","NHÓM:*"&amp;MID(C$4,8,50)&amp;"*",C$4&amp;" – *")))</f>
        <v>3</v>
      </c>
      <c r="D30" s="7">
        <f>IF(D$4="HĐTN",COUNTIF('[1]03_TKB_LOP'!$B$306:$G$313,"HĐTN*")+COUNTIF('[1]03_TKB_LOP'!$B$306:$G$313,"Chào cờ/HĐTN*"),COUNTIF('[1]03_TKB_LOP'!$B$306:$G$313,IF(LEFT(D$4,5)="NHÓM:","NHÓM:*"&amp;MID(D$4,8,50)&amp;"*",D$4&amp;" – *")))</f>
        <v>3</v>
      </c>
      <c r="E30" s="7">
        <f>IF(E$4="HĐTN",COUNTIF('[1]03_TKB_LOP'!$B$306:$G$313,"HĐTN*")+COUNTIF('[1]03_TKB_LOP'!$B$306:$G$313,"Chào cờ/HĐTN*"),COUNTIF('[1]03_TKB_LOP'!$B$306:$G$313,IF(LEFT(E$4,5)="NHÓM:","NHÓM:*"&amp;MID(E$4,8,50)&amp;"*",E$4&amp;" – *")))</f>
        <v>3</v>
      </c>
      <c r="F30" s="7">
        <f>IF(F$4="HĐTN",COUNTIF('[1]03_TKB_LOP'!$B$306:$G$313,"HĐTN*")+COUNTIF('[1]03_TKB_LOP'!$B$306:$G$313,"Chào cờ/HĐTN*"),COUNTIF('[1]03_TKB_LOP'!$B$306:$G$313,IF(LEFT(F$4,5)="NHÓM:","NHÓM:*"&amp;MID(F$4,8,50)&amp;"*",F$4&amp;" – *")))</f>
        <v>3</v>
      </c>
      <c r="G30" s="7">
        <f>IF(G$4="HĐTN",COUNTIF('[1]03_TKB_LOP'!$B$306:$G$313,"HĐTN*")+COUNTIF('[1]03_TKB_LOP'!$B$306:$G$313,"Chào cờ/HĐTN*"),COUNTIF('[1]03_TKB_LOP'!$B$306:$G$313,IF(LEFT(G$4,5)="NHÓM:","NHÓM:*"&amp;MID(G$4,8,50)&amp;"*",G$4&amp;" – *")))</f>
        <v>2</v>
      </c>
      <c r="H30" s="7">
        <f>IF(H$4="HĐTN",COUNTIF('[1]03_TKB_LOP'!$B$306:$G$313,"HĐTN*")+COUNTIF('[1]03_TKB_LOP'!$B$306:$G$313,"Chào cờ/HĐTN*"),COUNTIF('[1]03_TKB_LOP'!$B$306:$G$313,IF(LEFT(H$4,5)="NHÓM:","NHÓM:*"&amp;MID(H$4,8,50)&amp;"*",H$4&amp;" – *")))</f>
        <v>2</v>
      </c>
      <c r="I30" s="7">
        <f>IF(I$4="HĐTN",COUNTIF('[1]03_TKB_LOP'!$B$306:$G$313,"HĐTN*")+COUNTIF('[1]03_TKB_LOP'!$B$306:$G$313,"Chào cờ/HĐTN*"),COUNTIF('[1]03_TKB_LOP'!$B$306:$G$313,IF(LEFT(I$4,5)="NHÓM:","NHÓM:*"&amp;MID(I$4,8,50)&amp;"*",I$4&amp;" – *")))</f>
        <v>0</v>
      </c>
      <c r="J30" s="7">
        <f>IF(J$4="HĐTN",COUNTIF('[1]03_TKB_LOP'!$B$306:$G$313,"HĐTN*")+COUNTIF('[1]03_TKB_LOP'!$B$306:$G$313,"Chào cờ/HĐTN*"),COUNTIF('[1]03_TKB_LOP'!$B$306:$G$313,IF(LEFT(J$4,5)="NHÓM:","NHÓM:*"&amp;MID(J$4,8,50)&amp;"*",J$4&amp;" – *")))</f>
        <v>1</v>
      </c>
      <c r="K30" s="7">
        <f>IF(K$4="HĐTN",COUNTIF('[1]03_TKB_LOP'!$B$306:$G$313,"HĐTN*")+COUNTIF('[1]03_TKB_LOP'!$B$306:$G$313,"Chào cờ/HĐTN*"),COUNTIF('[1]03_TKB_LOP'!$B$306:$G$313,IF(LEFT(K$4,5)="NHÓM:","NHÓM:*"&amp;MID(K$4,8,50)&amp;"*",K$4&amp;" – *")))</f>
        <v>0</v>
      </c>
      <c r="L30" s="7">
        <f>IF(L$4="HĐTN",COUNTIF('[1]03_TKB_LOP'!$B$306:$G$313,"HĐTN*")+COUNTIF('[1]03_TKB_LOP'!$B$306:$G$313,"Chào cờ/HĐTN*"),COUNTIF('[1]03_TKB_LOP'!$B$306:$G$313,IF(LEFT(L$4,5)="NHÓM:","NHÓM:*"&amp;MID(L$4,8,50)&amp;"*",L$4&amp;" – *")))</f>
        <v>2</v>
      </c>
      <c r="M30" s="7">
        <f>IF(M$4="HĐTN",COUNTIF('[1]03_TKB_LOP'!$B$306:$G$313,"HĐTN*")+COUNTIF('[1]03_TKB_LOP'!$B$306:$G$313,"Chào cờ/HĐTN*"),COUNTIF('[1]03_TKB_LOP'!$B$306:$G$313,IF(LEFT(M$4,5)="NHÓM:","NHÓM:*"&amp;MID(M$4,8,50)&amp;"*",M$4&amp;" – *")))</f>
        <v>2</v>
      </c>
      <c r="N30" s="7">
        <f>IF(N$4="HĐTN",COUNTIF('[1]03_TKB_LOP'!$B$306:$G$313,"HĐTN*")+COUNTIF('[1]03_TKB_LOP'!$B$306:$G$313,"Chào cờ/HĐTN*"),COUNTIF('[1]03_TKB_LOP'!$B$306:$G$313,IF(LEFT(N$4,5)="NHÓM:","NHÓM:*"&amp;MID(N$4,8,50)&amp;"*",N$4&amp;" – *")))</f>
        <v>0</v>
      </c>
      <c r="O30" s="7">
        <f>IF(O$4="HĐTN",COUNTIF('[1]03_TKB_LOP'!$B$306:$G$313,"HĐTN*")+COUNTIF('[1]03_TKB_LOP'!$B$306:$G$313,"Chào cờ/HĐTN*"),COUNTIF('[1]03_TKB_LOP'!$B$306:$G$313,IF(LEFT(O$4,5)="NHÓM:","NHÓM:*"&amp;MID(O$4,8,50)&amp;"*",O$4&amp;" – *")))</f>
        <v>1</v>
      </c>
      <c r="P30" s="7">
        <f>IF(P$4="HĐTN",COUNTIF('[1]03_TKB_LOP'!$B$306:$G$313,"HĐTN*")+COUNTIF('[1]03_TKB_LOP'!$B$306:$G$313,"Chào cờ/HĐTN*"),COUNTIF('[1]03_TKB_LOP'!$B$306:$G$313,IF(LEFT(P$4,5)="NHÓM:","NHÓM:*"&amp;MID(P$4,8,50)&amp;"*",P$4&amp;" – *")))</f>
        <v>1</v>
      </c>
      <c r="Q30" s="7">
        <f>IF(Q$4="HĐTN",COUNTIF('[1]03_TKB_LOP'!$B$306:$G$313,"HĐTN*")+COUNTIF('[1]03_TKB_LOP'!$B$306:$G$313,"Chào cờ/HĐTN*"),COUNTIF('[1]03_TKB_LOP'!$B$306:$G$313,IF(LEFT(Q$4,5)="NHÓM:","NHÓM:*"&amp;MID(Q$4,8,50)&amp;"*",Q$4&amp;" – *")))</f>
        <v>1</v>
      </c>
      <c r="R30" s="7">
        <f>IF(R$4="HĐTN",COUNTIF('[1]03_TKB_LOP'!$B$306:$G$313,"HĐTN*")+COUNTIF('[1]03_TKB_LOP'!$B$306:$G$313,"Chào cờ/HĐTN*"),COUNTIF('[1]03_TKB_LOP'!$B$306:$G$313,IF(LEFT(R$4,5)="NHÓM:","NHÓM:*"&amp;MID(R$4,8,50)&amp;"*",R$4&amp;" – *")))</f>
        <v>0</v>
      </c>
      <c r="S30" s="7">
        <f>IF(S$4="HĐTN",COUNTIF('[1]03_TKB_LOP'!$B$306:$G$313,"HĐTN*")+COUNTIF('[1]03_TKB_LOP'!$B$306:$G$313,"Chào cờ/HĐTN*"),COUNTIF('[1]03_TKB_LOP'!$B$306:$G$313,IF(LEFT(S$4,5)="NHÓM:","NHÓM:*"&amp;MID(S$4,8,50)&amp;"*",S$4&amp;" – *")))</f>
        <v>1</v>
      </c>
      <c r="T30" s="7">
        <f>IF(T$4="HĐTN",COUNTIF('[1]03_TKB_LOP'!$B$306:$G$313,"HĐTN*")+COUNTIF('[1]03_TKB_LOP'!$B$306:$G$313,"Chào cờ/HĐTN*"),COUNTIF('[1]03_TKB_LOP'!$B$306:$G$313,IF(LEFT(T$4,5)="NHÓM:","NHÓM:*"&amp;MID(T$4,8,50)&amp;"*",T$4&amp;" – *")))</f>
        <v>1</v>
      </c>
      <c r="U30" s="7">
        <f>IF(U$4="HĐTN",COUNTIF('[1]03_TKB_LOP'!$B$306:$G$313,"HĐTN*")+COUNTIF('[1]03_TKB_LOP'!$B$306:$G$313,"Chào cờ/HĐTN*"),COUNTIF('[1]03_TKB_LOP'!$B$306:$G$313,IF(LEFT(U$4,5)="NHÓM:","NHÓM:*"&amp;MID(U$4,8,50)&amp;"*",U$4&amp;" – *")))</f>
        <v>0</v>
      </c>
      <c r="V30" s="7">
        <f>IF(V$4="HĐTN",COUNTIF('[1]03_TKB_LOP'!$B$306:$G$313,"HĐTN*")+COUNTIF('[1]03_TKB_LOP'!$B$306:$G$313,"Chào cờ/HĐTN*"),COUNTIF('[1]03_TKB_LOP'!$B$306:$G$313,IF(LEFT(V$4,5)="NHÓM:","NHÓM:*"&amp;MID(V$4,8,50)&amp;"*",V$4&amp;" – *")))</f>
        <v>0</v>
      </c>
      <c r="W30" s="7">
        <f>IF(W$4="HĐTN",COUNTIF('[1]03_TKB_LOP'!$B$306:$G$313,"HĐTN*")+COUNTIF('[1]03_TKB_LOP'!$B$306:$G$313,"Chào cờ/HĐTN*"),COUNTIF('[1]03_TKB_LOP'!$B$306:$G$313,IF(LEFT(W$4,5)="NHÓM:","NHÓM:*"&amp;MID(W$4,8,50)&amp;"*",W$4&amp;" – *")))</f>
        <v>0</v>
      </c>
      <c r="X30" s="7">
        <f>IF(X$4="HĐTN",COUNTIF('[1]03_TKB_LOP'!$B$306:$G$313,"HĐTN*")+COUNTIF('[1]03_TKB_LOP'!$B$306:$G$313,"Chào cờ/HĐTN*"),COUNTIF('[1]03_TKB_LOP'!$B$306:$G$313,IF(LEFT(X$4,5)="NHÓM:","NHÓM:*"&amp;MID(X$4,8,50)&amp;"*",X$4&amp;" – *")))</f>
        <v>4</v>
      </c>
      <c r="Y30" s="7">
        <f>IF(Y$4="HĐTN",COUNTIF('[1]03_TKB_LOP'!$B$306:$G$313,"HĐTN*")+COUNTIF('[1]03_TKB_LOP'!$B$306:$G$313,"Chào cờ/HĐTN*"),COUNTIF('[1]03_TKB_LOP'!$B$306:$G$313,IF(LEFT(Y$4,5)="NHÓM:","NHÓM:*"&amp;MID(Y$4,8,50)&amp;"*",Y$4&amp;" – *")))</f>
        <v>4</v>
      </c>
      <c r="Z30" s="7">
        <f>IF(Z$4="HĐTN",COUNTIF('[1]03_TKB_LOP'!$B$306:$G$313,"HĐTN*")+COUNTIF('[1]03_TKB_LOP'!$B$306:$G$313,"Chào cờ/HĐTN*"),COUNTIF('[1]03_TKB_LOP'!$B$306:$G$313,IF(LEFT(Z$4,5)="NHÓM:","NHÓM:*"&amp;MID(Z$4,8,50)&amp;"*",Z$4&amp;" – *")))</f>
        <v>2</v>
      </c>
      <c r="AA30" s="7">
        <f>IF(AA$4="HĐTN",COUNTIF('[1]03_TKB_LOP'!$B$306:$G$313,"HĐTN*")+COUNTIF('[1]03_TKB_LOP'!$B$306:$G$313,"Chào cờ/HĐTN*"),COUNTIF('[1]03_TKB_LOP'!$B$306:$G$313,IF(LEFT(AA$4,5)="NHÓM:","NHÓM:*"&amp;MID(AA$4,8,50)&amp;"*",AA$4&amp;" – *")))</f>
        <v>2</v>
      </c>
      <c r="AB30" s="7">
        <f>IF(AB$4="HĐTN",COUNTIF('[1]03_TKB_LOP'!$B$306:$G$313,"HĐTN*")+COUNTIF('[1]03_TKB_LOP'!$B$306:$G$313,"Chào cờ/HĐTN*"),COUNTIF('[1]03_TKB_LOP'!$B$306:$G$313,IF(LEFT(AB$4,5)="NHÓM:","NHÓM:*"&amp;MID(AB$4,8,50)&amp;"*",AB$4&amp;" – *")))</f>
        <v>0</v>
      </c>
    </row>
    <row r="31" spans="1:28" x14ac:dyDescent="0.2">
      <c r="A31" s="5" t="str">
        <f>TRIM(MID('[1]03_TKB_LOP'!$A$316,4,FIND("|",'[1]03_TKB_LOP'!$A$316)-4))</f>
        <v>11A6</v>
      </c>
      <c r="B31" s="6" t="str">
        <f>TRIM(MID('[1]03_TKB_LOP'!$A$316,FIND("GVCN:",'[1]03_TKB_LOP'!$A$316)+5,FIND("|",'[1]03_TKB_LOP'!$A$316,FIND("GVCN:",'[1]03_TKB_LOP'!$A$316))-FIND("GVCN:",'[1]03_TKB_LOP'!$A$316)-5))</f>
        <v>NGUYỄN VĂN TRỌNG</v>
      </c>
      <c r="C31" s="7">
        <f>IF(C$4="HĐTN",COUNTIF('[1]03_TKB_LOP'!$B$318:$G$325,"HĐTN*")+COUNTIF('[1]03_TKB_LOP'!$B$318:$G$325,"Chào cờ/HĐTN*"),COUNTIF('[1]03_TKB_LOP'!$B$318:$G$325,IF(LEFT(C$4,5)="NHÓM:","NHÓM:*"&amp;MID(C$4,8,50)&amp;"*",C$4&amp;" – *")))</f>
        <v>3</v>
      </c>
      <c r="D31" s="7">
        <f>IF(D$4="HĐTN",COUNTIF('[1]03_TKB_LOP'!$B$318:$G$325,"HĐTN*")+COUNTIF('[1]03_TKB_LOP'!$B$318:$G$325,"Chào cờ/HĐTN*"),COUNTIF('[1]03_TKB_LOP'!$B$318:$G$325,IF(LEFT(D$4,5)="NHÓM:","NHÓM:*"&amp;MID(D$4,8,50)&amp;"*",D$4&amp;" – *")))</f>
        <v>3</v>
      </c>
      <c r="E31" s="7">
        <f>IF(E$4="HĐTN",COUNTIF('[1]03_TKB_LOP'!$B$318:$G$325,"HĐTN*")+COUNTIF('[1]03_TKB_LOP'!$B$318:$G$325,"Chào cờ/HĐTN*"),COUNTIF('[1]03_TKB_LOP'!$B$318:$G$325,IF(LEFT(E$4,5)="NHÓM:","NHÓM:*"&amp;MID(E$4,8,50)&amp;"*",E$4&amp;" – *")))</f>
        <v>3</v>
      </c>
      <c r="F31" s="7">
        <f>IF(F$4="HĐTN",COUNTIF('[1]03_TKB_LOP'!$B$318:$G$325,"HĐTN*")+COUNTIF('[1]03_TKB_LOP'!$B$318:$G$325,"Chào cờ/HĐTN*"),COUNTIF('[1]03_TKB_LOP'!$B$318:$G$325,IF(LEFT(F$4,5)="NHÓM:","NHÓM:*"&amp;MID(F$4,8,50)&amp;"*",F$4&amp;" – *")))</f>
        <v>3</v>
      </c>
      <c r="G31" s="7">
        <f>IF(G$4="HĐTN",COUNTIF('[1]03_TKB_LOP'!$B$318:$G$325,"HĐTN*")+COUNTIF('[1]03_TKB_LOP'!$B$318:$G$325,"Chào cờ/HĐTN*"),COUNTIF('[1]03_TKB_LOP'!$B$318:$G$325,IF(LEFT(G$4,5)="NHÓM:","NHÓM:*"&amp;MID(G$4,8,50)&amp;"*",G$4&amp;" – *")))</f>
        <v>2</v>
      </c>
      <c r="H31" s="7">
        <f>IF(H$4="HĐTN",COUNTIF('[1]03_TKB_LOP'!$B$318:$G$325,"HĐTN*")+COUNTIF('[1]03_TKB_LOP'!$B$318:$G$325,"Chào cờ/HĐTN*"),COUNTIF('[1]03_TKB_LOP'!$B$318:$G$325,IF(LEFT(H$4,5)="NHÓM:","NHÓM:*"&amp;MID(H$4,8,50)&amp;"*",H$4&amp;" – *")))</f>
        <v>2</v>
      </c>
      <c r="I31" s="7">
        <f>IF(I$4="HĐTN",COUNTIF('[1]03_TKB_LOP'!$B$318:$G$325,"HĐTN*")+COUNTIF('[1]03_TKB_LOP'!$B$318:$G$325,"Chào cờ/HĐTN*"),COUNTIF('[1]03_TKB_LOP'!$B$318:$G$325,IF(LEFT(I$4,5)="NHÓM:","NHÓM:*"&amp;MID(I$4,8,50)&amp;"*",I$4&amp;" – *")))</f>
        <v>0</v>
      </c>
      <c r="J31" s="7">
        <f>IF(J$4="HĐTN",COUNTIF('[1]03_TKB_LOP'!$B$318:$G$325,"HĐTN*")+COUNTIF('[1]03_TKB_LOP'!$B$318:$G$325,"Chào cờ/HĐTN*"),COUNTIF('[1]03_TKB_LOP'!$B$318:$G$325,IF(LEFT(J$4,5)="NHÓM:","NHÓM:*"&amp;MID(J$4,8,50)&amp;"*",J$4&amp;" – *")))</f>
        <v>1</v>
      </c>
      <c r="K31" s="7">
        <f>IF(K$4="HĐTN",COUNTIF('[1]03_TKB_LOP'!$B$318:$G$325,"HĐTN*")+COUNTIF('[1]03_TKB_LOP'!$B$318:$G$325,"Chào cờ/HĐTN*"),COUNTIF('[1]03_TKB_LOP'!$B$318:$G$325,IF(LEFT(K$4,5)="NHÓM:","NHÓM:*"&amp;MID(K$4,8,50)&amp;"*",K$4&amp;" – *")))</f>
        <v>0</v>
      </c>
      <c r="L31" s="7">
        <f>IF(L$4="HĐTN",COUNTIF('[1]03_TKB_LOP'!$B$318:$G$325,"HĐTN*")+COUNTIF('[1]03_TKB_LOP'!$B$318:$G$325,"Chào cờ/HĐTN*"),COUNTIF('[1]03_TKB_LOP'!$B$318:$G$325,IF(LEFT(L$4,5)="NHÓM:","NHÓM:*"&amp;MID(L$4,8,50)&amp;"*",L$4&amp;" – *")))</f>
        <v>2</v>
      </c>
      <c r="M31" s="7">
        <f>IF(M$4="HĐTN",COUNTIF('[1]03_TKB_LOP'!$B$318:$G$325,"HĐTN*")+COUNTIF('[1]03_TKB_LOP'!$B$318:$G$325,"Chào cờ/HĐTN*"),COUNTIF('[1]03_TKB_LOP'!$B$318:$G$325,IF(LEFT(M$4,5)="NHÓM:","NHÓM:*"&amp;MID(M$4,8,50)&amp;"*",M$4&amp;" – *")))</f>
        <v>2</v>
      </c>
      <c r="N31" s="7">
        <f>IF(N$4="HĐTN",COUNTIF('[1]03_TKB_LOP'!$B$318:$G$325,"HĐTN*")+COUNTIF('[1]03_TKB_LOP'!$B$318:$G$325,"Chào cờ/HĐTN*"),COUNTIF('[1]03_TKB_LOP'!$B$318:$G$325,IF(LEFT(N$4,5)="NHÓM:","NHÓM:*"&amp;MID(N$4,8,50)&amp;"*",N$4&amp;" – *")))</f>
        <v>0</v>
      </c>
      <c r="O31" s="7">
        <f>IF(O$4="HĐTN",COUNTIF('[1]03_TKB_LOP'!$B$318:$G$325,"HĐTN*")+COUNTIF('[1]03_TKB_LOP'!$B$318:$G$325,"Chào cờ/HĐTN*"),COUNTIF('[1]03_TKB_LOP'!$B$318:$G$325,IF(LEFT(O$4,5)="NHÓM:","NHÓM:*"&amp;MID(O$4,8,50)&amp;"*",O$4&amp;" – *")))</f>
        <v>1</v>
      </c>
      <c r="P31" s="7">
        <f>IF(P$4="HĐTN",COUNTIF('[1]03_TKB_LOP'!$B$318:$G$325,"HĐTN*")+COUNTIF('[1]03_TKB_LOP'!$B$318:$G$325,"Chào cờ/HĐTN*"),COUNTIF('[1]03_TKB_LOP'!$B$318:$G$325,IF(LEFT(P$4,5)="NHÓM:","NHÓM:*"&amp;MID(P$4,8,50)&amp;"*",P$4&amp;" – *")))</f>
        <v>1</v>
      </c>
      <c r="Q31" s="7">
        <f>IF(Q$4="HĐTN",COUNTIF('[1]03_TKB_LOP'!$B$318:$G$325,"HĐTN*")+COUNTIF('[1]03_TKB_LOP'!$B$318:$G$325,"Chào cờ/HĐTN*"),COUNTIF('[1]03_TKB_LOP'!$B$318:$G$325,IF(LEFT(Q$4,5)="NHÓM:","NHÓM:*"&amp;MID(Q$4,8,50)&amp;"*",Q$4&amp;" – *")))</f>
        <v>1</v>
      </c>
      <c r="R31" s="7">
        <f>IF(R$4="HĐTN",COUNTIF('[1]03_TKB_LOP'!$B$318:$G$325,"HĐTN*")+COUNTIF('[1]03_TKB_LOP'!$B$318:$G$325,"Chào cờ/HĐTN*"),COUNTIF('[1]03_TKB_LOP'!$B$318:$G$325,IF(LEFT(R$4,5)="NHÓM:","NHÓM:*"&amp;MID(R$4,8,50)&amp;"*",R$4&amp;" – *")))</f>
        <v>0</v>
      </c>
      <c r="S31" s="7">
        <f>IF(S$4="HĐTN",COUNTIF('[1]03_TKB_LOP'!$B$318:$G$325,"HĐTN*")+COUNTIF('[1]03_TKB_LOP'!$B$318:$G$325,"Chào cờ/HĐTN*"),COUNTIF('[1]03_TKB_LOP'!$B$318:$G$325,IF(LEFT(S$4,5)="NHÓM:","NHÓM:*"&amp;MID(S$4,8,50)&amp;"*",S$4&amp;" – *")))</f>
        <v>1</v>
      </c>
      <c r="T31" s="7">
        <f>IF(T$4="HĐTN",COUNTIF('[1]03_TKB_LOP'!$B$318:$G$325,"HĐTN*")+COUNTIF('[1]03_TKB_LOP'!$B$318:$G$325,"Chào cờ/HĐTN*"),COUNTIF('[1]03_TKB_LOP'!$B$318:$G$325,IF(LEFT(T$4,5)="NHÓM:","NHÓM:*"&amp;MID(T$4,8,50)&amp;"*",T$4&amp;" – *")))</f>
        <v>1</v>
      </c>
      <c r="U31" s="7">
        <f>IF(U$4="HĐTN",COUNTIF('[1]03_TKB_LOP'!$B$318:$G$325,"HĐTN*")+COUNTIF('[1]03_TKB_LOP'!$B$318:$G$325,"Chào cờ/HĐTN*"),COUNTIF('[1]03_TKB_LOP'!$B$318:$G$325,IF(LEFT(U$4,5)="NHÓM:","NHÓM:*"&amp;MID(U$4,8,50)&amp;"*",U$4&amp;" – *")))</f>
        <v>0</v>
      </c>
      <c r="V31" s="7">
        <f>IF(V$4="HĐTN",COUNTIF('[1]03_TKB_LOP'!$B$318:$G$325,"HĐTN*")+COUNTIF('[1]03_TKB_LOP'!$B$318:$G$325,"Chào cờ/HĐTN*"),COUNTIF('[1]03_TKB_LOP'!$B$318:$G$325,IF(LEFT(V$4,5)="NHÓM:","NHÓM:*"&amp;MID(V$4,8,50)&amp;"*",V$4&amp;" – *")))</f>
        <v>0</v>
      </c>
      <c r="W31" s="7">
        <f>IF(W$4="HĐTN",COUNTIF('[1]03_TKB_LOP'!$B$318:$G$325,"HĐTN*")+COUNTIF('[1]03_TKB_LOP'!$B$318:$G$325,"Chào cờ/HĐTN*"),COUNTIF('[1]03_TKB_LOP'!$B$318:$G$325,IF(LEFT(W$4,5)="NHÓM:","NHÓM:*"&amp;MID(W$4,8,50)&amp;"*",W$4&amp;" – *")))</f>
        <v>0</v>
      </c>
      <c r="X31" s="7">
        <f>IF(X$4="HĐTN",COUNTIF('[1]03_TKB_LOP'!$B$318:$G$325,"HĐTN*")+COUNTIF('[1]03_TKB_LOP'!$B$318:$G$325,"Chào cờ/HĐTN*"),COUNTIF('[1]03_TKB_LOP'!$B$318:$G$325,IF(LEFT(X$4,5)="NHÓM:","NHÓM:*"&amp;MID(X$4,8,50)&amp;"*",X$4&amp;" – *")))</f>
        <v>2</v>
      </c>
      <c r="Y31" s="7">
        <f>IF(Y$4="HĐTN",COUNTIF('[1]03_TKB_LOP'!$B$318:$G$325,"HĐTN*")+COUNTIF('[1]03_TKB_LOP'!$B$318:$G$325,"Chào cờ/HĐTN*"),COUNTIF('[1]03_TKB_LOP'!$B$318:$G$325,IF(LEFT(Y$4,5)="NHÓM:","NHÓM:*"&amp;MID(Y$4,8,50)&amp;"*",Y$4&amp;" – *")))</f>
        <v>2</v>
      </c>
      <c r="Z31" s="7">
        <f>IF(Z$4="HĐTN",COUNTIF('[1]03_TKB_LOP'!$B$318:$G$325,"HĐTN*")+COUNTIF('[1]03_TKB_LOP'!$B$318:$G$325,"Chào cờ/HĐTN*"),COUNTIF('[1]03_TKB_LOP'!$B$318:$G$325,IF(LEFT(Z$4,5)="NHÓM:","NHÓM:*"&amp;MID(Z$4,8,50)&amp;"*",Z$4&amp;" – *")))</f>
        <v>0</v>
      </c>
      <c r="AA31" s="7">
        <f>IF(AA$4="HĐTN",COUNTIF('[1]03_TKB_LOP'!$B$318:$G$325,"HĐTN*")+COUNTIF('[1]03_TKB_LOP'!$B$318:$G$325,"Chào cờ/HĐTN*"),COUNTIF('[1]03_TKB_LOP'!$B$318:$G$325,IF(LEFT(AA$4,5)="NHÓM:","NHÓM:*"&amp;MID(AA$4,8,50)&amp;"*",AA$4&amp;" – *")))</f>
        <v>4</v>
      </c>
      <c r="AB31" s="7">
        <f>IF(AB$4="HĐTN",COUNTIF('[1]03_TKB_LOP'!$B$318:$G$325,"HĐTN*")+COUNTIF('[1]03_TKB_LOP'!$B$318:$G$325,"Chào cờ/HĐTN*"),COUNTIF('[1]03_TKB_LOP'!$B$318:$G$325,IF(LEFT(AB$4,5)="NHÓM:","NHÓM:*"&amp;MID(AB$4,8,50)&amp;"*",AB$4&amp;" – *")))</f>
        <v>0</v>
      </c>
    </row>
    <row r="32" spans="1:28" x14ac:dyDescent="0.2">
      <c r="A32" s="5" t="str">
        <f>TRIM(MID('[1]03_TKB_LOP'!$A$328,4,FIND("|",'[1]03_TKB_LOP'!$A$328)-4))</f>
        <v>11A7</v>
      </c>
      <c r="B32" s="6" t="str">
        <f>TRIM(MID('[1]03_TKB_LOP'!$A$328,FIND("GVCN:",'[1]03_TKB_LOP'!$A$328)+5,FIND("|",'[1]03_TKB_LOP'!$A$328,FIND("GVCN:",'[1]03_TKB_LOP'!$A$328))-FIND("GVCN:",'[1]03_TKB_LOP'!$A$328)-5))</f>
        <v>KIM VĨNH ANH KHOA</v>
      </c>
      <c r="C32" s="7">
        <f>IF(C$4="HĐTN",COUNTIF('[1]03_TKB_LOP'!$B$330:$G$337,"HĐTN*")+COUNTIF('[1]03_TKB_LOP'!$B$330:$G$337,"Chào cờ/HĐTN*"),COUNTIF('[1]03_TKB_LOP'!$B$330:$G$337,IF(LEFT(C$4,5)="NHÓM:","NHÓM:*"&amp;MID(C$4,8,50)&amp;"*",C$4&amp;" – *")))</f>
        <v>3</v>
      </c>
      <c r="D32" s="7">
        <f>IF(D$4="HĐTN",COUNTIF('[1]03_TKB_LOP'!$B$330:$G$337,"HĐTN*")+COUNTIF('[1]03_TKB_LOP'!$B$330:$G$337,"Chào cờ/HĐTN*"),COUNTIF('[1]03_TKB_LOP'!$B$330:$G$337,IF(LEFT(D$4,5)="NHÓM:","NHÓM:*"&amp;MID(D$4,8,50)&amp;"*",D$4&amp;" – *")))</f>
        <v>3</v>
      </c>
      <c r="E32" s="7">
        <f>IF(E$4="HĐTN",COUNTIF('[1]03_TKB_LOP'!$B$330:$G$337,"HĐTN*")+COUNTIF('[1]03_TKB_LOP'!$B$330:$G$337,"Chào cờ/HĐTN*"),COUNTIF('[1]03_TKB_LOP'!$B$330:$G$337,IF(LEFT(E$4,5)="NHÓM:","NHÓM:*"&amp;MID(E$4,8,50)&amp;"*",E$4&amp;" – *")))</f>
        <v>3</v>
      </c>
      <c r="F32" s="7">
        <f>IF(F$4="HĐTN",COUNTIF('[1]03_TKB_LOP'!$B$330:$G$337,"HĐTN*")+COUNTIF('[1]03_TKB_LOP'!$B$330:$G$337,"Chào cờ/HĐTN*"),COUNTIF('[1]03_TKB_LOP'!$B$330:$G$337,IF(LEFT(F$4,5)="NHÓM:","NHÓM:*"&amp;MID(F$4,8,50)&amp;"*",F$4&amp;" – *")))</f>
        <v>3</v>
      </c>
      <c r="G32" s="7">
        <f>IF(G$4="HĐTN",COUNTIF('[1]03_TKB_LOP'!$B$330:$G$337,"HĐTN*")+COUNTIF('[1]03_TKB_LOP'!$B$330:$G$337,"Chào cờ/HĐTN*"),COUNTIF('[1]03_TKB_LOP'!$B$330:$G$337,IF(LEFT(G$4,5)="NHÓM:","NHÓM:*"&amp;MID(G$4,8,50)&amp;"*",G$4&amp;" – *")))</f>
        <v>2</v>
      </c>
      <c r="H32" s="7">
        <f>IF(H$4="HĐTN",COUNTIF('[1]03_TKB_LOP'!$B$330:$G$337,"HĐTN*")+COUNTIF('[1]03_TKB_LOP'!$B$330:$G$337,"Chào cờ/HĐTN*"),COUNTIF('[1]03_TKB_LOP'!$B$330:$G$337,IF(LEFT(H$4,5)="NHÓM:","NHÓM:*"&amp;MID(H$4,8,50)&amp;"*",H$4&amp;" – *")))</f>
        <v>2</v>
      </c>
      <c r="I32" s="7">
        <f>IF(I$4="HĐTN",COUNTIF('[1]03_TKB_LOP'!$B$330:$G$337,"HĐTN*")+COUNTIF('[1]03_TKB_LOP'!$B$330:$G$337,"Chào cờ/HĐTN*"),COUNTIF('[1]03_TKB_LOP'!$B$330:$G$337,IF(LEFT(I$4,5)="NHÓM:","NHÓM:*"&amp;MID(I$4,8,50)&amp;"*",I$4&amp;" – *")))</f>
        <v>0</v>
      </c>
      <c r="J32" s="7">
        <f>IF(J$4="HĐTN",COUNTIF('[1]03_TKB_LOP'!$B$330:$G$337,"HĐTN*")+COUNTIF('[1]03_TKB_LOP'!$B$330:$G$337,"Chào cờ/HĐTN*"),COUNTIF('[1]03_TKB_LOP'!$B$330:$G$337,IF(LEFT(J$4,5)="NHÓM:","NHÓM:*"&amp;MID(J$4,8,50)&amp;"*",J$4&amp;" – *")))</f>
        <v>1</v>
      </c>
      <c r="K32" s="7">
        <f>IF(K$4="HĐTN",COUNTIF('[1]03_TKB_LOP'!$B$330:$G$337,"HĐTN*")+COUNTIF('[1]03_TKB_LOP'!$B$330:$G$337,"Chào cờ/HĐTN*"),COUNTIF('[1]03_TKB_LOP'!$B$330:$G$337,IF(LEFT(K$4,5)="NHÓM:","NHÓM:*"&amp;MID(K$4,8,50)&amp;"*",K$4&amp;" – *")))</f>
        <v>0</v>
      </c>
      <c r="L32" s="7">
        <f>IF(L$4="HĐTN",COUNTIF('[1]03_TKB_LOP'!$B$330:$G$337,"HĐTN*")+COUNTIF('[1]03_TKB_LOP'!$B$330:$G$337,"Chào cờ/HĐTN*"),COUNTIF('[1]03_TKB_LOP'!$B$330:$G$337,IF(LEFT(L$4,5)="NHÓM:","NHÓM:*"&amp;MID(L$4,8,50)&amp;"*",L$4&amp;" – *")))</f>
        <v>0</v>
      </c>
      <c r="M32" s="7">
        <f>IF(M$4="HĐTN",COUNTIF('[1]03_TKB_LOP'!$B$330:$G$337,"HĐTN*")+COUNTIF('[1]03_TKB_LOP'!$B$330:$G$337,"Chào cờ/HĐTN*"),COUNTIF('[1]03_TKB_LOP'!$B$330:$G$337,IF(LEFT(M$4,5)="NHÓM:","NHÓM:*"&amp;MID(M$4,8,50)&amp;"*",M$4&amp;" – *")))</f>
        <v>2</v>
      </c>
      <c r="N32" s="7">
        <f>IF(N$4="HĐTN",COUNTIF('[1]03_TKB_LOP'!$B$330:$G$337,"HĐTN*")+COUNTIF('[1]03_TKB_LOP'!$B$330:$G$337,"Chào cờ/HĐTN*"),COUNTIF('[1]03_TKB_LOP'!$B$330:$G$337,IF(LEFT(N$4,5)="NHÓM:","NHÓM:*"&amp;MID(N$4,8,50)&amp;"*",N$4&amp;" – *")))</f>
        <v>2</v>
      </c>
      <c r="O32" s="7">
        <f>IF(O$4="HĐTN",COUNTIF('[1]03_TKB_LOP'!$B$330:$G$337,"HĐTN*")+COUNTIF('[1]03_TKB_LOP'!$B$330:$G$337,"Chào cờ/HĐTN*"),COUNTIF('[1]03_TKB_LOP'!$B$330:$G$337,IF(LEFT(O$4,5)="NHÓM:","NHÓM:*"&amp;MID(O$4,8,50)&amp;"*",O$4&amp;" – *")))</f>
        <v>1</v>
      </c>
      <c r="P32" s="7">
        <f>IF(P$4="HĐTN",COUNTIF('[1]03_TKB_LOP'!$B$330:$G$337,"HĐTN*")+COUNTIF('[1]03_TKB_LOP'!$B$330:$G$337,"Chào cờ/HĐTN*"),COUNTIF('[1]03_TKB_LOP'!$B$330:$G$337,IF(LEFT(P$4,5)="NHÓM:","NHÓM:*"&amp;MID(P$4,8,50)&amp;"*",P$4&amp;" – *")))</f>
        <v>1</v>
      </c>
      <c r="Q32" s="7">
        <f>IF(Q$4="HĐTN",COUNTIF('[1]03_TKB_LOP'!$B$330:$G$337,"HĐTN*")+COUNTIF('[1]03_TKB_LOP'!$B$330:$G$337,"Chào cờ/HĐTN*"),COUNTIF('[1]03_TKB_LOP'!$B$330:$G$337,IF(LEFT(Q$4,5)="NHÓM:","NHÓM:*"&amp;MID(Q$4,8,50)&amp;"*",Q$4&amp;" – *")))</f>
        <v>1</v>
      </c>
      <c r="R32" s="7">
        <f>IF(R$4="HĐTN",COUNTIF('[1]03_TKB_LOP'!$B$330:$G$337,"HĐTN*")+COUNTIF('[1]03_TKB_LOP'!$B$330:$G$337,"Chào cờ/HĐTN*"),COUNTIF('[1]03_TKB_LOP'!$B$330:$G$337,IF(LEFT(R$4,5)="NHÓM:","NHÓM:*"&amp;MID(R$4,8,50)&amp;"*",R$4&amp;" – *")))</f>
        <v>0</v>
      </c>
      <c r="S32" s="7">
        <f>IF(S$4="HĐTN",COUNTIF('[1]03_TKB_LOP'!$B$330:$G$337,"HĐTN*")+COUNTIF('[1]03_TKB_LOP'!$B$330:$G$337,"Chào cờ/HĐTN*"),COUNTIF('[1]03_TKB_LOP'!$B$330:$G$337,IF(LEFT(S$4,5)="NHÓM:","NHÓM:*"&amp;MID(S$4,8,50)&amp;"*",S$4&amp;" – *")))</f>
        <v>1</v>
      </c>
      <c r="T32" s="7">
        <f>IF(T$4="HĐTN",COUNTIF('[1]03_TKB_LOP'!$B$330:$G$337,"HĐTN*")+COUNTIF('[1]03_TKB_LOP'!$B$330:$G$337,"Chào cờ/HĐTN*"),COUNTIF('[1]03_TKB_LOP'!$B$330:$G$337,IF(LEFT(T$4,5)="NHÓM:","NHÓM:*"&amp;MID(T$4,8,50)&amp;"*",T$4&amp;" – *")))</f>
        <v>1</v>
      </c>
      <c r="U32" s="7">
        <f>IF(U$4="HĐTN",COUNTIF('[1]03_TKB_LOP'!$B$330:$G$337,"HĐTN*")+COUNTIF('[1]03_TKB_LOP'!$B$330:$G$337,"Chào cờ/HĐTN*"),COUNTIF('[1]03_TKB_LOP'!$B$330:$G$337,IF(LEFT(U$4,5)="NHÓM:","NHÓM:*"&amp;MID(U$4,8,50)&amp;"*",U$4&amp;" – *")))</f>
        <v>0</v>
      </c>
      <c r="V32" s="7">
        <f>IF(V$4="HĐTN",COUNTIF('[1]03_TKB_LOP'!$B$330:$G$337,"HĐTN*")+COUNTIF('[1]03_TKB_LOP'!$B$330:$G$337,"Chào cờ/HĐTN*"),COUNTIF('[1]03_TKB_LOP'!$B$330:$G$337,IF(LEFT(V$4,5)="NHÓM:","NHÓM:*"&amp;MID(V$4,8,50)&amp;"*",V$4&amp;" – *")))</f>
        <v>0</v>
      </c>
      <c r="W32" s="7">
        <f>IF(W$4="HĐTN",COUNTIF('[1]03_TKB_LOP'!$B$330:$G$337,"HĐTN*")+COUNTIF('[1]03_TKB_LOP'!$B$330:$G$337,"Chào cờ/HĐTN*"),COUNTIF('[1]03_TKB_LOP'!$B$330:$G$337,IF(LEFT(W$4,5)="NHÓM:","NHÓM:*"&amp;MID(W$4,8,50)&amp;"*",W$4&amp;" – *")))</f>
        <v>0</v>
      </c>
      <c r="X32" s="7">
        <f>IF(X$4="HĐTN",COUNTIF('[1]03_TKB_LOP'!$B$330:$G$337,"HĐTN*")+COUNTIF('[1]03_TKB_LOP'!$B$330:$G$337,"Chào cờ/HĐTN*"),COUNTIF('[1]03_TKB_LOP'!$B$330:$G$337,IF(LEFT(X$4,5)="NHÓM:","NHÓM:*"&amp;MID(X$4,8,50)&amp;"*",X$4&amp;" – *")))</f>
        <v>6</v>
      </c>
      <c r="Y32" s="7">
        <f>IF(Y$4="HĐTN",COUNTIF('[1]03_TKB_LOP'!$B$330:$G$337,"HĐTN*")+COUNTIF('[1]03_TKB_LOP'!$B$330:$G$337,"Chào cờ/HĐTN*"),COUNTIF('[1]03_TKB_LOP'!$B$330:$G$337,IF(LEFT(Y$4,5)="NHÓM:","NHÓM:*"&amp;MID(Y$4,8,50)&amp;"*",Y$4&amp;" – *")))</f>
        <v>2</v>
      </c>
      <c r="Z32" s="7">
        <f>IF(Z$4="HĐTN",COUNTIF('[1]03_TKB_LOP'!$B$330:$G$337,"HĐTN*")+COUNTIF('[1]03_TKB_LOP'!$B$330:$G$337,"Chào cờ/HĐTN*"),COUNTIF('[1]03_TKB_LOP'!$B$330:$G$337,IF(LEFT(Z$4,5)="NHÓM:","NHÓM:*"&amp;MID(Z$4,8,50)&amp;"*",Z$4&amp;" – *")))</f>
        <v>2</v>
      </c>
      <c r="AA32" s="7">
        <f>IF(AA$4="HĐTN",COUNTIF('[1]03_TKB_LOP'!$B$330:$G$337,"HĐTN*")+COUNTIF('[1]03_TKB_LOP'!$B$330:$G$337,"Chào cờ/HĐTN*"),COUNTIF('[1]03_TKB_LOP'!$B$330:$G$337,IF(LEFT(AA$4,5)="NHÓM:","NHÓM:*"&amp;MID(AA$4,8,50)&amp;"*",AA$4&amp;" – *")))</f>
        <v>2</v>
      </c>
      <c r="AB32" s="7">
        <f>IF(AB$4="HĐTN",COUNTIF('[1]03_TKB_LOP'!$B$330:$G$337,"HĐTN*")+COUNTIF('[1]03_TKB_LOP'!$B$330:$G$337,"Chào cờ/HĐTN*"),COUNTIF('[1]03_TKB_LOP'!$B$330:$G$337,IF(LEFT(AB$4,5)="NHÓM:","NHÓM:*"&amp;MID(AB$4,8,50)&amp;"*",AB$4&amp;" – *")))</f>
        <v>0</v>
      </c>
    </row>
    <row r="33" spans="1:28" x14ac:dyDescent="0.2">
      <c r="A33" s="5" t="str">
        <f>TRIM(MID('[1]03_TKB_LOP'!$A$340,4,FIND("|",'[1]03_TKB_LOP'!$A$340)-4))</f>
        <v>11A8</v>
      </c>
      <c r="B33" s="6" t="str">
        <f>TRIM(MID('[1]03_TKB_LOP'!$A$340,FIND("GVCN:",'[1]03_TKB_LOP'!$A$340)+5,FIND("|",'[1]03_TKB_LOP'!$A$340,FIND("GVCN:",'[1]03_TKB_LOP'!$A$340))-FIND("GVCN:",'[1]03_TKB_LOP'!$A$340)-5))</f>
        <v>NGUYỄN THỊ NGỌC MINH</v>
      </c>
      <c r="C33" s="7">
        <f>IF(C$4="HĐTN",COUNTIF('[1]03_TKB_LOP'!$B$342:$G$349,"HĐTN*")+COUNTIF('[1]03_TKB_LOP'!$B$342:$G$349,"Chào cờ/HĐTN*"),COUNTIF('[1]03_TKB_LOP'!$B$342:$G$349,IF(LEFT(C$4,5)="NHÓM:","NHÓM:*"&amp;MID(C$4,8,50)&amp;"*",C$4&amp;" – *")))</f>
        <v>3</v>
      </c>
      <c r="D33" s="7">
        <f>IF(D$4="HĐTN",COUNTIF('[1]03_TKB_LOP'!$B$342:$G$349,"HĐTN*")+COUNTIF('[1]03_TKB_LOP'!$B$342:$G$349,"Chào cờ/HĐTN*"),COUNTIF('[1]03_TKB_LOP'!$B$342:$G$349,IF(LEFT(D$4,5)="NHÓM:","NHÓM:*"&amp;MID(D$4,8,50)&amp;"*",D$4&amp;" – *")))</f>
        <v>3</v>
      </c>
      <c r="E33" s="7">
        <f>IF(E$4="HĐTN",COUNTIF('[1]03_TKB_LOP'!$B$342:$G$349,"HĐTN*")+COUNTIF('[1]03_TKB_LOP'!$B$342:$G$349,"Chào cờ/HĐTN*"),COUNTIF('[1]03_TKB_LOP'!$B$342:$G$349,IF(LEFT(E$4,5)="NHÓM:","NHÓM:*"&amp;MID(E$4,8,50)&amp;"*",E$4&amp;" – *")))</f>
        <v>3</v>
      </c>
      <c r="F33" s="7">
        <f>IF(F$4="HĐTN",COUNTIF('[1]03_TKB_LOP'!$B$342:$G$349,"HĐTN*")+COUNTIF('[1]03_TKB_LOP'!$B$342:$G$349,"Chào cờ/HĐTN*"),COUNTIF('[1]03_TKB_LOP'!$B$342:$G$349,IF(LEFT(F$4,5)="NHÓM:","NHÓM:*"&amp;MID(F$4,8,50)&amp;"*",F$4&amp;" – *")))</f>
        <v>3</v>
      </c>
      <c r="G33" s="7">
        <f>IF(G$4="HĐTN",COUNTIF('[1]03_TKB_LOP'!$B$342:$G$349,"HĐTN*")+COUNTIF('[1]03_TKB_LOP'!$B$342:$G$349,"Chào cờ/HĐTN*"),COUNTIF('[1]03_TKB_LOP'!$B$342:$G$349,IF(LEFT(G$4,5)="NHÓM:","NHÓM:*"&amp;MID(G$4,8,50)&amp;"*",G$4&amp;" – *")))</f>
        <v>2</v>
      </c>
      <c r="H33" s="7">
        <f>IF(H$4="HĐTN",COUNTIF('[1]03_TKB_LOP'!$B$342:$G$349,"HĐTN*")+COUNTIF('[1]03_TKB_LOP'!$B$342:$G$349,"Chào cờ/HĐTN*"),COUNTIF('[1]03_TKB_LOP'!$B$342:$G$349,IF(LEFT(H$4,5)="NHÓM:","NHÓM:*"&amp;MID(H$4,8,50)&amp;"*",H$4&amp;" – *")))</f>
        <v>2</v>
      </c>
      <c r="I33" s="7">
        <f>IF(I$4="HĐTN",COUNTIF('[1]03_TKB_LOP'!$B$342:$G$349,"HĐTN*")+COUNTIF('[1]03_TKB_LOP'!$B$342:$G$349,"Chào cờ/HĐTN*"),COUNTIF('[1]03_TKB_LOP'!$B$342:$G$349,IF(LEFT(I$4,5)="NHÓM:","NHÓM:*"&amp;MID(I$4,8,50)&amp;"*",I$4&amp;" – *")))</f>
        <v>0</v>
      </c>
      <c r="J33" s="7">
        <f>IF(J$4="HĐTN",COUNTIF('[1]03_TKB_LOP'!$B$342:$G$349,"HĐTN*")+COUNTIF('[1]03_TKB_LOP'!$B$342:$G$349,"Chào cờ/HĐTN*"),COUNTIF('[1]03_TKB_LOP'!$B$342:$G$349,IF(LEFT(J$4,5)="NHÓM:","NHÓM:*"&amp;MID(J$4,8,50)&amp;"*",J$4&amp;" – *")))</f>
        <v>1</v>
      </c>
      <c r="K33" s="7">
        <f>IF(K$4="HĐTN",COUNTIF('[1]03_TKB_LOP'!$B$342:$G$349,"HĐTN*")+COUNTIF('[1]03_TKB_LOP'!$B$342:$G$349,"Chào cờ/HĐTN*"),COUNTIF('[1]03_TKB_LOP'!$B$342:$G$349,IF(LEFT(K$4,5)="NHÓM:","NHÓM:*"&amp;MID(K$4,8,50)&amp;"*",K$4&amp;" – *")))</f>
        <v>0</v>
      </c>
      <c r="L33" s="7">
        <f>IF(L$4="HĐTN",COUNTIF('[1]03_TKB_LOP'!$B$342:$G$349,"HĐTN*")+COUNTIF('[1]03_TKB_LOP'!$B$342:$G$349,"Chào cờ/HĐTN*"),COUNTIF('[1]03_TKB_LOP'!$B$342:$G$349,IF(LEFT(L$4,5)="NHÓM:","NHÓM:*"&amp;MID(L$4,8,50)&amp;"*",L$4&amp;" – *")))</f>
        <v>0</v>
      </c>
      <c r="M33" s="7">
        <f>IF(M$4="HĐTN",COUNTIF('[1]03_TKB_LOP'!$B$342:$G$349,"HĐTN*")+COUNTIF('[1]03_TKB_LOP'!$B$342:$G$349,"Chào cờ/HĐTN*"),COUNTIF('[1]03_TKB_LOP'!$B$342:$G$349,IF(LEFT(M$4,5)="NHÓM:","NHÓM:*"&amp;MID(M$4,8,50)&amp;"*",M$4&amp;" – *")))</f>
        <v>2</v>
      </c>
      <c r="N33" s="7">
        <f>IF(N$4="HĐTN",COUNTIF('[1]03_TKB_LOP'!$B$342:$G$349,"HĐTN*")+COUNTIF('[1]03_TKB_LOP'!$B$342:$G$349,"Chào cờ/HĐTN*"),COUNTIF('[1]03_TKB_LOP'!$B$342:$G$349,IF(LEFT(N$4,5)="NHÓM:","NHÓM:*"&amp;MID(N$4,8,50)&amp;"*",N$4&amp;" – *")))</f>
        <v>2</v>
      </c>
      <c r="O33" s="7">
        <f>IF(O$4="HĐTN",COUNTIF('[1]03_TKB_LOP'!$B$342:$G$349,"HĐTN*")+COUNTIF('[1]03_TKB_LOP'!$B$342:$G$349,"Chào cờ/HĐTN*"),COUNTIF('[1]03_TKB_LOP'!$B$342:$G$349,IF(LEFT(O$4,5)="NHÓM:","NHÓM:*"&amp;MID(O$4,8,50)&amp;"*",O$4&amp;" – *")))</f>
        <v>1</v>
      </c>
      <c r="P33" s="7">
        <f>IF(P$4="HĐTN",COUNTIF('[1]03_TKB_LOP'!$B$342:$G$349,"HĐTN*")+COUNTIF('[1]03_TKB_LOP'!$B$342:$G$349,"Chào cờ/HĐTN*"),COUNTIF('[1]03_TKB_LOP'!$B$342:$G$349,IF(LEFT(P$4,5)="NHÓM:","NHÓM:*"&amp;MID(P$4,8,50)&amp;"*",P$4&amp;" – *")))</f>
        <v>1</v>
      </c>
      <c r="Q33" s="7">
        <f>IF(Q$4="HĐTN",COUNTIF('[1]03_TKB_LOP'!$B$342:$G$349,"HĐTN*")+COUNTIF('[1]03_TKB_LOP'!$B$342:$G$349,"Chào cờ/HĐTN*"),COUNTIF('[1]03_TKB_LOP'!$B$342:$G$349,IF(LEFT(Q$4,5)="NHÓM:","NHÓM:*"&amp;MID(Q$4,8,50)&amp;"*",Q$4&amp;" – *")))</f>
        <v>1</v>
      </c>
      <c r="R33" s="7">
        <f>IF(R$4="HĐTN",COUNTIF('[1]03_TKB_LOP'!$B$342:$G$349,"HĐTN*")+COUNTIF('[1]03_TKB_LOP'!$B$342:$G$349,"Chào cờ/HĐTN*"),COUNTIF('[1]03_TKB_LOP'!$B$342:$G$349,IF(LEFT(R$4,5)="NHÓM:","NHÓM:*"&amp;MID(R$4,8,50)&amp;"*",R$4&amp;" – *")))</f>
        <v>0</v>
      </c>
      <c r="S33" s="7">
        <f>IF(S$4="HĐTN",COUNTIF('[1]03_TKB_LOP'!$B$342:$G$349,"HĐTN*")+COUNTIF('[1]03_TKB_LOP'!$B$342:$G$349,"Chào cờ/HĐTN*"),COUNTIF('[1]03_TKB_LOP'!$B$342:$G$349,IF(LEFT(S$4,5)="NHÓM:","NHÓM:*"&amp;MID(S$4,8,50)&amp;"*",S$4&amp;" – *")))</f>
        <v>1</v>
      </c>
      <c r="T33" s="7">
        <f>IF(T$4="HĐTN",COUNTIF('[1]03_TKB_LOP'!$B$342:$G$349,"HĐTN*")+COUNTIF('[1]03_TKB_LOP'!$B$342:$G$349,"Chào cờ/HĐTN*"),COUNTIF('[1]03_TKB_LOP'!$B$342:$G$349,IF(LEFT(T$4,5)="NHÓM:","NHÓM:*"&amp;MID(T$4,8,50)&amp;"*",T$4&amp;" – *")))</f>
        <v>1</v>
      </c>
      <c r="U33" s="7">
        <f>IF(U$4="HĐTN",COUNTIF('[1]03_TKB_LOP'!$B$342:$G$349,"HĐTN*")+COUNTIF('[1]03_TKB_LOP'!$B$342:$G$349,"Chào cờ/HĐTN*"),COUNTIF('[1]03_TKB_LOP'!$B$342:$G$349,IF(LEFT(U$4,5)="NHÓM:","NHÓM:*"&amp;MID(U$4,8,50)&amp;"*",U$4&amp;" – *")))</f>
        <v>0</v>
      </c>
      <c r="V33" s="7">
        <f>IF(V$4="HĐTN",COUNTIF('[1]03_TKB_LOP'!$B$342:$G$349,"HĐTN*")+COUNTIF('[1]03_TKB_LOP'!$B$342:$G$349,"Chào cờ/HĐTN*"),COUNTIF('[1]03_TKB_LOP'!$B$342:$G$349,IF(LEFT(V$4,5)="NHÓM:","NHÓM:*"&amp;MID(V$4,8,50)&amp;"*",V$4&amp;" – *")))</f>
        <v>0</v>
      </c>
      <c r="W33" s="7">
        <f>IF(W$4="HĐTN",COUNTIF('[1]03_TKB_LOP'!$B$342:$G$349,"HĐTN*")+COUNTIF('[1]03_TKB_LOP'!$B$342:$G$349,"Chào cờ/HĐTN*"),COUNTIF('[1]03_TKB_LOP'!$B$342:$G$349,IF(LEFT(W$4,5)="NHÓM:","NHÓM:*"&amp;MID(W$4,8,50)&amp;"*",W$4&amp;" – *")))</f>
        <v>0</v>
      </c>
      <c r="X33" s="7">
        <f>IF(X$4="HĐTN",COUNTIF('[1]03_TKB_LOP'!$B$342:$G$349,"HĐTN*")+COUNTIF('[1]03_TKB_LOP'!$B$342:$G$349,"Chào cờ/HĐTN*"),COUNTIF('[1]03_TKB_LOP'!$B$342:$G$349,IF(LEFT(X$4,5)="NHÓM:","NHÓM:*"&amp;MID(X$4,8,50)&amp;"*",X$4&amp;" – *")))</f>
        <v>6</v>
      </c>
      <c r="Y33" s="7">
        <f>IF(Y$4="HĐTN",COUNTIF('[1]03_TKB_LOP'!$B$342:$G$349,"HĐTN*")+COUNTIF('[1]03_TKB_LOP'!$B$342:$G$349,"Chào cờ/HĐTN*"),COUNTIF('[1]03_TKB_LOP'!$B$342:$G$349,IF(LEFT(Y$4,5)="NHÓM:","NHÓM:*"&amp;MID(Y$4,8,50)&amp;"*",Y$4&amp;" – *")))</f>
        <v>2</v>
      </c>
      <c r="Z33" s="7">
        <f>IF(Z$4="HĐTN",COUNTIF('[1]03_TKB_LOP'!$B$342:$G$349,"HĐTN*")+COUNTIF('[1]03_TKB_LOP'!$B$342:$G$349,"Chào cờ/HĐTN*"),COUNTIF('[1]03_TKB_LOP'!$B$342:$G$349,IF(LEFT(Z$4,5)="NHÓM:","NHÓM:*"&amp;MID(Z$4,8,50)&amp;"*",Z$4&amp;" – *")))</f>
        <v>2</v>
      </c>
      <c r="AA33" s="7">
        <f>IF(AA$4="HĐTN",COUNTIF('[1]03_TKB_LOP'!$B$342:$G$349,"HĐTN*")+COUNTIF('[1]03_TKB_LOP'!$B$342:$G$349,"Chào cờ/HĐTN*"),COUNTIF('[1]03_TKB_LOP'!$B$342:$G$349,IF(LEFT(AA$4,5)="NHÓM:","NHÓM:*"&amp;MID(AA$4,8,50)&amp;"*",AA$4&amp;" – *")))</f>
        <v>4</v>
      </c>
      <c r="AB33" s="7">
        <f>IF(AB$4="HĐTN",COUNTIF('[1]03_TKB_LOP'!$B$342:$G$349,"HĐTN*")+COUNTIF('[1]03_TKB_LOP'!$B$342:$G$349,"Chào cờ/HĐTN*"),COUNTIF('[1]03_TKB_LOP'!$B$342:$G$349,IF(LEFT(AB$4,5)="NHÓM:","NHÓM:*"&amp;MID(AB$4,8,50)&amp;"*",AB$4&amp;" – *")))</f>
        <v>0</v>
      </c>
    </row>
    <row r="34" spans="1:28" x14ac:dyDescent="0.2">
      <c r="A34" s="5" t="str">
        <f>TRIM(MID('[1]03_TKB_LOP'!$A$352,4,FIND("|",'[1]03_TKB_LOP'!$A$352)-4))</f>
        <v>11A9</v>
      </c>
      <c r="B34" s="6" t="str">
        <f>TRIM(MID('[1]03_TKB_LOP'!$A$352,FIND("GVCN:",'[1]03_TKB_LOP'!$A$352)+5,FIND("|",'[1]03_TKB_LOP'!$A$352,FIND("GVCN:",'[1]03_TKB_LOP'!$A$352))-FIND("GVCN:",'[1]03_TKB_LOP'!$A$352)-5))</f>
        <v>TRẦN THỊ HẠNH</v>
      </c>
      <c r="C34" s="7">
        <f>IF(C$4="HĐTN",COUNTIF('[1]03_TKB_LOP'!$B$354:$G$361,"HĐTN*")+COUNTIF('[1]03_TKB_LOP'!$B$354:$G$361,"Chào cờ/HĐTN*"),COUNTIF('[1]03_TKB_LOP'!$B$354:$G$361,IF(LEFT(C$4,5)="NHÓM:","NHÓM:*"&amp;MID(C$4,8,50)&amp;"*",C$4&amp;" – *")))</f>
        <v>3</v>
      </c>
      <c r="D34" s="7">
        <f>IF(D$4="HĐTN",COUNTIF('[1]03_TKB_LOP'!$B$354:$G$361,"HĐTN*")+COUNTIF('[1]03_TKB_LOP'!$B$354:$G$361,"Chào cờ/HĐTN*"),COUNTIF('[1]03_TKB_LOP'!$B$354:$G$361,IF(LEFT(D$4,5)="NHÓM:","NHÓM:*"&amp;MID(D$4,8,50)&amp;"*",D$4&amp;" – *")))</f>
        <v>3</v>
      </c>
      <c r="E34" s="7">
        <f>IF(E$4="HĐTN",COUNTIF('[1]03_TKB_LOP'!$B$354:$G$361,"HĐTN*")+COUNTIF('[1]03_TKB_LOP'!$B$354:$G$361,"Chào cờ/HĐTN*"),COUNTIF('[1]03_TKB_LOP'!$B$354:$G$361,IF(LEFT(E$4,5)="NHÓM:","NHÓM:*"&amp;MID(E$4,8,50)&amp;"*",E$4&amp;" – *")))</f>
        <v>3</v>
      </c>
      <c r="F34" s="7">
        <f>IF(F$4="HĐTN",COUNTIF('[1]03_TKB_LOP'!$B$354:$G$361,"HĐTN*")+COUNTIF('[1]03_TKB_LOP'!$B$354:$G$361,"Chào cờ/HĐTN*"),COUNTIF('[1]03_TKB_LOP'!$B$354:$G$361,IF(LEFT(F$4,5)="NHÓM:","NHÓM:*"&amp;MID(F$4,8,50)&amp;"*",F$4&amp;" – *")))</f>
        <v>3</v>
      </c>
      <c r="G34" s="7">
        <f>IF(G$4="HĐTN",COUNTIF('[1]03_TKB_LOP'!$B$354:$G$361,"HĐTN*")+COUNTIF('[1]03_TKB_LOP'!$B$354:$G$361,"Chào cờ/HĐTN*"),COUNTIF('[1]03_TKB_LOP'!$B$354:$G$361,IF(LEFT(G$4,5)="NHÓM:","NHÓM:*"&amp;MID(G$4,8,50)&amp;"*",G$4&amp;" – *")))</f>
        <v>2</v>
      </c>
      <c r="H34" s="7">
        <f>IF(H$4="HĐTN",COUNTIF('[1]03_TKB_LOP'!$B$354:$G$361,"HĐTN*")+COUNTIF('[1]03_TKB_LOP'!$B$354:$G$361,"Chào cờ/HĐTN*"),COUNTIF('[1]03_TKB_LOP'!$B$354:$G$361,IF(LEFT(H$4,5)="NHÓM:","NHÓM:*"&amp;MID(H$4,8,50)&amp;"*",H$4&amp;" – *")))</f>
        <v>0</v>
      </c>
      <c r="I34" s="7">
        <f>IF(I$4="HĐTN",COUNTIF('[1]03_TKB_LOP'!$B$354:$G$361,"HĐTN*")+COUNTIF('[1]03_TKB_LOP'!$B$354:$G$361,"Chào cờ/HĐTN*"),COUNTIF('[1]03_TKB_LOP'!$B$354:$G$361,IF(LEFT(I$4,5)="NHÓM:","NHÓM:*"&amp;MID(I$4,8,50)&amp;"*",I$4&amp;" – *")))</f>
        <v>2</v>
      </c>
      <c r="J34" s="7">
        <f>IF(J$4="HĐTN",COUNTIF('[1]03_TKB_LOP'!$B$354:$G$361,"HĐTN*")+COUNTIF('[1]03_TKB_LOP'!$B$354:$G$361,"Chào cờ/HĐTN*"),COUNTIF('[1]03_TKB_LOP'!$B$354:$G$361,IF(LEFT(J$4,5)="NHÓM:","NHÓM:*"&amp;MID(J$4,8,50)&amp;"*",J$4&amp;" – *")))</f>
        <v>1</v>
      </c>
      <c r="K34" s="7">
        <f>IF(K$4="HĐTN",COUNTIF('[1]03_TKB_LOP'!$B$354:$G$361,"HĐTN*")+COUNTIF('[1]03_TKB_LOP'!$B$354:$G$361,"Chào cờ/HĐTN*"),COUNTIF('[1]03_TKB_LOP'!$B$354:$G$361,IF(LEFT(K$4,5)="NHÓM:","NHÓM:*"&amp;MID(K$4,8,50)&amp;"*",K$4&amp;" – *")))</f>
        <v>2</v>
      </c>
      <c r="L34" s="7">
        <f>IF(L$4="HĐTN",COUNTIF('[1]03_TKB_LOP'!$B$354:$G$361,"HĐTN*")+COUNTIF('[1]03_TKB_LOP'!$B$354:$G$361,"Chào cờ/HĐTN*"),COUNTIF('[1]03_TKB_LOP'!$B$354:$G$361,IF(LEFT(L$4,5)="NHÓM:","NHÓM:*"&amp;MID(L$4,8,50)&amp;"*",L$4&amp;" – *")))</f>
        <v>0</v>
      </c>
      <c r="M34" s="7">
        <f>IF(M$4="HĐTN",COUNTIF('[1]03_TKB_LOP'!$B$354:$G$361,"HĐTN*")+COUNTIF('[1]03_TKB_LOP'!$B$354:$G$361,"Chào cờ/HĐTN*"),COUNTIF('[1]03_TKB_LOP'!$B$354:$G$361,IF(LEFT(M$4,5)="NHÓM:","NHÓM:*"&amp;MID(M$4,8,50)&amp;"*",M$4&amp;" – *")))</f>
        <v>2</v>
      </c>
      <c r="N34" s="7">
        <f>IF(N$4="HĐTN",COUNTIF('[1]03_TKB_LOP'!$B$354:$G$361,"HĐTN*")+COUNTIF('[1]03_TKB_LOP'!$B$354:$G$361,"Chào cờ/HĐTN*"),COUNTIF('[1]03_TKB_LOP'!$B$354:$G$361,IF(LEFT(N$4,5)="NHÓM:","NHÓM:*"&amp;MID(N$4,8,50)&amp;"*",N$4&amp;" – *")))</f>
        <v>0</v>
      </c>
      <c r="O34" s="7">
        <f>IF(O$4="HĐTN",COUNTIF('[1]03_TKB_LOP'!$B$354:$G$361,"HĐTN*")+COUNTIF('[1]03_TKB_LOP'!$B$354:$G$361,"Chào cờ/HĐTN*"),COUNTIF('[1]03_TKB_LOP'!$B$354:$G$361,IF(LEFT(O$4,5)="NHÓM:","NHÓM:*"&amp;MID(O$4,8,50)&amp;"*",O$4&amp;" – *")))</f>
        <v>1</v>
      </c>
      <c r="P34" s="7">
        <f>IF(P$4="HĐTN",COUNTIF('[1]03_TKB_LOP'!$B$354:$G$361,"HĐTN*")+COUNTIF('[1]03_TKB_LOP'!$B$354:$G$361,"Chào cờ/HĐTN*"),COUNTIF('[1]03_TKB_LOP'!$B$354:$G$361,IF(LEFT(P$4,5)="NHÓM:","NHÓM:*"&amp;MID(P$4,8,50)&amp;"*",P$4&amp;" – *")))</f>
        <v>1</v>
      </c>
      <c r="Q34" s="7">
        <f>IF(Q$4="HĐTN",COUNTIF('[1]03_TKB_LOP'!$B$354:$G$361,"HĐTN*")+COUNTIF('[1]03_TKB_LOP'!$B$354:$G$361,"Chào cờ/HĐTN*"),COUNTIF('[1]03_TKB_LOP'!$B$354:$G$361,IF(LEFT(Q$4,5)="NHÓM:","NHÓM:*"&amp;MID(Q$4,8,50)&amp;"*",Q$4&amp;" – *")))</f>
        <v>0</v>
      </c>
      <c r="R34" s="7">
        <f>IF(R$4="HĐTN",COUNTIF('[1]03_TKB_LOP'!$B$354:$G$361,"HĐTN*")+COUNTIF('[1]03_TKB_LOP'!$B$354:$G$361,"Chào cờ/HĐTN*"),COUNTIF('[1]03_TKB_LOP'!$B$354:$G$361,IF(LEFT(R$4,5)="NHÓM:","NHÓM:*"&amp;MID(R$4,8,50)&amp;"*",R$4&amp;" – *")))</f>
        <v>1</v>
      </c>
      <c r="S34" s="7">
        <f>IF(S$4="HĐTN",COUNTIF('[1]03_TKB_LOP'!$B$354:$G$361,"HĐTN*")+COUNTIF('[1]03_TKB_LOP'!$B$354:$G$361,"Chào cờ/HĐTN*"),COUNTIF('[1]03_TKB_LOP'!$B$354:$G$361,IF(LEFT(S$4,5)="NHÓM:","NHÓM:*"&amp;MID(S$4,8,50)&amp;"*",S$4&amp;" – *")))</f>
        <v>0</v>
      </c>
      <c r="T34" s="7">
        <f>IF(T$4="HĐTN",COUNTIF('[1]03_TKB_LOP'!$B$354:$G$361,"HĐTN*")+COUNTIF('[1]03_TKB_LOP'!$B$354:$G$361,"Chào cờ/HĐTN*"),COUNTIF('[1]03_TKB_LOP'!$B$354:$G$361,IF(LEFT(T$4,5)="NHÓM:","NHÓM:*"&amp;MID(T$4,8,50)&amp;"*",T$4&amp;" – *")))</f>
        <v>0</v>
      </c>
      <c r="U34" s="7">
        <f>IF(U$4="HĐTN",COUNTIF('[1]03_TKB_LOP'!$B$354:$G$361,"HĐTN*")+COUNTIF('[1]03_TKB_LOP'!$B$354:$G$361,"Chào cờ/HĐTN*"),COUNTIF('[1]03_TKB_LOP'!$B$354:$G$361,IF(LEFT(U$4,5)="NHÓM:","NHÓM:*"&amp;MID(U$4,8,50)&amp;"*",U$4&amp;" – *")))</f>
        <v>0</v>
      </c>
      <c r="V34" s="7">
        <f>IF(V$4="HĐTN",COUNTIF('[1]03_TKB_LOP'!$B$354:$G$361,"HĐTN*")+COUNTIF('[1]03_TKB_LOP'!$B$354:$G$361,"Chào cờ/HĐTN*"),COUNTIF('[1]03_TKB_LOP'!$B$354:$G$361,IF(LEFT(V$4,5)="NHÓM:","NHÓM:*"&amp;MID(V$4,8,50)&amp;"*",V$4&amp;" – *")))</f>
        <v>1</v>
      </c>
      <c r="W34" s="7">
        <f>IF(W$4="HĐTN",COUNTIF('[1]03_TKB_LOP'!$B$354:$G$361,"HĐTN*")+COUNTIF('[1]03_TKB_LOP'!$B$354:$G$361,"Chào cờ/HĐTN*"),COUNTIF('[1]03_TKB_LOP'!$B$354:$G$361,IF(LEFT(W$4,5)="NHÓM:","NHÓM:*"&amp;MID(W$4,8,50)&amp;"*",W$4&amp;" – *")))</f>
        <v>1</v>
      </c>
      <c r="X34" s="7">
        <f>IF(X$4="HĐTN",COUNTIF('[1]03_TKB_LOP'!$B$354:$G$361,"HĐTN*")+COUNTIF('[1]03_TKB_LOP'!$B$354:$G$361,"Chào cờ/HĐTN*"),COUNTIF('[1]03_TKB_LOP'!$B$354:$G$361,IF(LEFT(X$4,5)="NHÓM:","NHÓM:*"&amp;MID(X$4,8,50)&amp;"*",X$4&amp;" – *")))</f>
        <v>8</v>
      </c>
      <c r="Y34" s="7">
        <f>IF(Y$4="HĐTN",COUNTIF('[1]03_TKB_LOP'!$B$354:$G$361,"HĐTN*")+COUNTIF('[1]03_TKB_LOP'!$B$354:$G$361,"Chào cờ/HĐTN*"),COUNTIF('[1]03_TKB_LOP'!$B$354:$G$361,IF(LEFT(Y$4,5)="NHÓM:","NHÓM:*"&amp;MID(Y$4,8,50)&amp;"*",Y$4&amp;" – *")))</f>
        <v>4</v>
      </c>
      <c r="Z34" s="7">
        <f>IF(Z$4="HĐTN",COUNTIF('[1]03_TKB_LOP'!$B$354:$G$361,"HĐTN*")+COUNTIF('[1]03_TKB_LOP'!$B$354:$G$361,"Chào cờ/HĐTN*"),COUNTIF('[1]03_TKB_LOP'!$B$354:$G$361,IF(LEFT(Z$4,5)="NHÓM:","NHÓM:*"&amp;MID(Z$4,8,50)&amp;"*",Z$4&amp;" – *")))</f>
        <v>0</v>
      </c>
      <c r="AA34" s="7">
        <f>IF(AA$4="HĐTN",COUNTIF('[1]03_TKB_LOP'!$B$354:$G$361,"HĐTN*")+COUNTIF('[1]03_TKB_LOP'!$B$354:$G$361,"Chào cờ/HĐTN*"),COUNTIF('[1]03_TKB_LOP'!$B$354:$G$361,IF(LEFT(AA$4,5)="NHÓM:","NHÓM:*"&amp;MID(AA$4,8,50)&amp;"*",AA$4&amp;" – *")))</f>
        <v>2</v>
      </c>
      <c r="AB34" s="7">
        <f>IF(AB$4="HĐTN",COUNTIF('[1]03_TKB_LOP'!$B$354:$G$361,"HĐTN*")+COUNTIF('[1]03_TKB_LOP'!$B$354:$G$361,"Chào cờ/HĐTN*"),COUNTIF('[1]03_TKB_LOP'!$B$354:$G$361,IF(LEFT(AB$4,5)="NHÓM:","NHÓM:*"&amp;MID(AB$4,8,50)&amp;"*",AB$4&amp;" – *")))</f>
        <v>0</v>
      </c>
    </row>
    <row r="35" spans="1:28" x14ac:dyDescent="0.2">
      <c r="A35" s="5" t="str">
        <f>TRIM(MID('[1]03_TKB_LOP'!$A$364,4,FIND("|",'[1]03_TKB_LOP'!$A$364)-4))</f>
        <v>11A10</v>
      </c>
      <c r="B35" s="6" t="str">
        <f>TRIM(MID('[1]03_TKB_LOP'!$A$364,FIND("GVCN:",'[1]03_TKB_LOP'!$A$364)+5,FIND("|",'[1]03_TKB_LOP'!$A$364,FIND("GVCN:",'[1]03_TKB_LOP'!$A$364))-FIND("GVCN:",'[1]03_TKB_LOP'!$A$364)-5))</f>
        <v>VŨ THANH VÂN</v>
      </c>
      <c r="C35" s="7">
        <f>IF(C$4="HĐTN",COUNTIF('[1]03_TKB_LOP'!$B$366:$G$373,"HĐTN*")+COUNTIF('[1]03_TKB_LOP'!$B$366:$G$373,"Chào cờ/HĐTN*"),COUNTIF('[1]03_TKB_LOP'!$B$366:$G$373,IF(LEFT(C$4,5)="NHÓM:","NHÓM:*"&amp;MID(C$4,8,50)&amp;"*",C$4&amp;" – *")))</f>
        <v>3</v>
      </c>
      <c r="D35" s="7">
        <f>IF(D$4="HĐTN",COUNTIF('[1]03_TKB_LOP'!$B$366:$G$373,"HĐTN*")+COUNTIF('[1]03_TKB_LOP'!$B$366:$G$373,"Chào cờ/HĐTN*"),COUNTIF('[1]03_TKB_LOP'!$B$366:$G$373,IF(LEFT(D$4,5)="NHÓM:","NHÓM:*"&amp;MID(D$4,8,50)&amp;"*",D$4&amp;" – *")))</f>
        <v>3</v>
      </c>
      <c r="E35" s="7">
        <f>IF(E$4="HĐTN",COUNTIF('[1]03_TKB_LOP'!$B$366:$G$373,"HĐTN*")+COUNTIF('[1]03_TKB_LOP'!$B$366:$G$373,"Chào cờ/HĐTN*"),COUNTIF('[1]03_TKB_LOP'!$B$366:$G$373,IF(LEFT(E$4,5)="NHÓM:","NHÓM:*"&amp;MID(E$4,8,50)&amp;"*",E$4&amp;" – *")))</f>
        <v>3</v>
      </c>
      <c r="F35" s="7">
        <f>IF(F$4="HĐTN",COUNTIF('[1]03_TKB_LOP'!$B$366:$G$373,"HĐTN*")+COUNTIF('[1]03_TKB_LOP'!$B$366:$G$373,"Chào cờ/HĐTN*"),COUNTIF('[1]03_TKB_LOP'!$B$366:$G$373,IF(LEFT(F$4,5)="NHÓM:","NHÓM:*"&amp;MID(F$4,8,50)&amp;"*",F$4&amp;" – *")))</f>
        <v>3</v>
      </c>
      <c r="G35" s="7">
        <f>IF(G$4="HĐTN",COUNTIF('[1]03_TKB_LOP'!$B$366:$G$373,"HĐTN*")+COUNTIF('[1]03_TKB_LOP'!$B$366:$G$373,"Chào cờ/HĐTN*"),COUNTIF('[1]03_TKB_LOP'!$B$366:$G$373,IF(LEFT(G$4,5)="NHÓM:","NHÓM:*"&amp;MID(G$4,8,50)&amp;"*",G$4&amp;" – *")))</f>
        <v>2</v>
      </c>
      <c r="H35" s="7">
        <f>IF(H$4="HĐTN",COUNTIF('[1]03_TKB_LOP'!$B$366:$G$373,"HĐTN*")+COUNTIF('[1]03_TKB_LOP'!$B$366:$G$373,"Chào cờ/HĐTN*"),COUNTIF('[1]03_TKB_LOP'!$B$366:$G$373,IF(LEFT(H$4,5)="NHÓM:","NHÓM:*"&amp;MID(H$4,8,50)&amp;"*",H$4&amp;" – *")))</f>
        <v>0</v>
      </c>
      <c r="I35" s="7">
        <f>IF(I$4="HĐTN",COUNTIF('[1]03_TKB_LOP'!$B$366:$G$373,"HĐTN*")+COUNTIF('[1]03_TKB_LOP'!$B$366:$G$373,"Chào cờ/HĐTN*"),COUNTIF('[1]03_TKB_LOP'!$B$366:$G$373,IF(LEFT(I$4,5)="NHÓM:","NHÓM:*"&amp;MID(I$4,8,50)&amp;"*",I$4&amp;" – *")))</f>
        <v>2</v>
      </c>
      <c r="J35" s="7">
        <f>IF(J$4="HĐTN",COUNTIF('[1]03_TKB_LOP'!$B$366:$G$373,"HĐTN*")+COUNTIF('[1]03_TKB_LOP'!$B$366:$G$373,"Chào cờ/HĐTN*"),COUNTIF('[1]03_TKB_LOP'!$B$366:$G$373,IF(LEFT(J$4,5)="NHÓM:","NHÓM:*"&amp;MID(J$4,8,50)&amp;"*",J$4&amp;" – *")))</f>
        <v>1</v>
      </c>
      <c r="K35" s="7">
        <f>IF(K$4="HĐTN",COUNTIF('[1]03_TKB_LOP'!$B$366:$G$373,"HĐTN*")+COUNTIF('[1]03_TKB_LOP'!$B$366:$G$373,"Chào cờ/HĐTN*"),COUNTIF('[1]03_TKB_LOP'!$B$366:$G$373,IF(LEFT(K$4,5)="NHÓM:","NHÓM:*"&amp;MID(K$4,8,50)&amp;"*",K$4&amp;" – *")))</f>
        <v>2</v>
      </c>
      <c r="L35" s="7">
        <f>IF(L$4="HĐTN",COUNTIF('[1]03_TKB_LOP'!$B$366:$G$373,"HĐTN*")+COUNTIF('[1]03_TKB_LOP'!$B$366:$G$373,"Chào cờ/HĐTN*"),COUNTIF('[1]03_TKB_LOP'!$B$366:$G$373,IF(LEFT(L$4,5)="NHÓM:","NHÓM:*"&amp;MID(L$4,8,50)&amp;"*",L$4&amp;" – *")))</f>
        <v>0</v>
      </c>
      <c r="M35" s="7">
        <f>IF(M$4="HĐTN",COUNTIF('[1]03_TKB_LOP'!$B$366:$G$373,"HĐTN*")+COUNTIF('[1]03_TKB_LOP'!$B$366:$G$373,"Chào cờ/HĐTN*"),COUNTIF('[1]03_TKB_LOP'!$B$366:$G$373,IF(LEFT(M$4,5)="NHÓM:","NHÓM:*"&amp;MID(M$4,8,50)&amp;"*",M$4&amp;" – *")))</f>
        <v>2</v>
      </c>
      <c r="N35" s="7">
        <f>IF(N$4="HĐTN",COUNTIF('[1]03_TKB_LOP'!$B$366:$G$373,"HĐTN*")+COUNTIF('[1]03_TKB_LOP'!$B$366:$G$373,"Chào cờ/HĐTN*"),COUNTIF('[1]03_TKB_LOP'!$B$366:$G$373,IF(LEFT(N$4,5)="NHÓM:","NHÓM:*"&amp;MID(N$4,8,50)&amp;"*",N$4&amp;" – *")))</f>
        <v>0</v>
      </c>
      <c r="O35" s="7">
        <f>IF(O$4="HĐTN",COUNTIF('[1]03_TKB_LOP'!$B$366:$G$373,"HĐTN*")+COUNTIF('[1]03_TKB_LOP'!$B$366:$G$373,"Chào cờ/HĐTN*"),COUNTIF('[1]03_TKB_LOP'!$B$366:$G$373,IF(LEFT(O$4,5)="NHÓM:","NHÓM:*"&amp;MID(O$4,8,50)&amp;"*",O$4&amp;" – *")))</f>
        <v>1</v>
      </c>
      <c r="P35" s="7">
        <f>IF(P$4="HĐTN",COUNTIF('[1]03_TKB_LOP'!$B$366:$G$373,"HĐTN*")+COUNTIF('[1]03_TKB_LOP'!$B$366:$G$373,"Chào cờ/HĐTN*"),COUNTIF('[1]03_TKB_LOP'!$B$366:$G$373,IF(LEFT(P$4,5)="NHÓM:","NHÓM:*"&amp;MID(P$4,8,50)&amp;"*",P$4&amp;" – *")))</f>
        <v>1</v>
      </c>
      <c r="Q35" s="7">
        <f>IF(Q$4="HĐTN",COUNTIF('[1]03_TKB_LOP'!$B$366:$G$373,"HĐTN*")+COUNTIF('[1]03_TKB_LOP'!$B$366:$G$373,"Chào cờ/HĐTN*"),COUNTIF('[1]03_TKB_LOP'!$B$366:$G$373,IF(LEFT(Q$4,5)="NHÓM:","NHÓM:*"&amp;MID(Q$4,8,50)&amp;"*",Q$4&amp;" – *")))</f>
        <v>0</v>
      </c>
      <c r="R35" s="7">
        <f>IF(R$4="HĐTN",COUNTIF('[1]03_TKB_LOP'!$B$366:$G$373,"HĐTN*")+COUNTIF('[1]03_TKB_LOP'!$B$366:$G$373,"Chào cờ/HĐTN*"),COUNTIF('[1]03_TKB_LOP'!$B$366:$G$373,IF(LEFT(R$4,5)="NHÓM:","NHÓM:*"&amp;MID(R$4,8,50)&amp;"*",R$4&amp;" – *")))</f>
        <v>1</v>
      </c>
      <c r="S35" s="7">
        <f>IF(S$4="HĐTN",COUNTIF('[1]03_TKB_LOP'!$B$366:$G$373,"HĐTN*")+COUNTIF('[1]03_TKB_LOP'!$B$366:$G$373,"Chào cờ/HĐTN*"),COUNTIF('[1]03_TKB_LOP'!$B$366:$G$373,IF(LEFT(S$4,5)="NHÓM:","NHÓM:*"&amp;MID(S$4,8,50)&amp;"*",S$4&amp;" – *")))</f>
        <v>0</v>
      </c>
      <c r="T35" s="7">
        <f>IF(T$4="HĐTN",COUNTIF('[1]03_TKB_LOP'!$B$366:$G$373,"HĐTN*")+COUNTIF('[1]03_TKB_LOP'!$B$366:$G$373,"Chào cờ/HĐTN*"),COUNTIF('[1]03_TKB_LOP'!$B$366:$G$373,IF(LEFT(T$4,5)="NHÓM:","NHÓM:*"&amp;MID(T$4,8,50)&amp;"*",T$4&amp;" – *")))</f>
        <v>0</v>
      </c>
      <c r="U35" s="7">
        <f>IF(U$4="HĐTN",COUNTIF('[1]03_TKB_LOP'!$B$366:$G$373,"HĐTN*")+COUNTIF('[1]03_TKB_LOP'!$B$366:$G$373,"Chào cờ/HĐTN*"),COUNTIF('[1]03_TKB_LOP'!$B$366:$G$373,IF(LEFT(U$4,5)="NHÓM:","NHÓM:*"&amp;MID(U$4,8,50)&amp;"*",U$4&amp;" – *")))</f>
        <v>0</v>
      </c>
      <c r="V35" s="7">
        <f>IF(V$4="HĐTN",COUNTIF('[1]03_TKB_LOP'!$B$366:$G$373,"HĐTN*")+COUNTIF('[1]03_TKB_LOP'!$B$366:$G$373,"Chào cờ/HĐTN*"),COUNTIF('[1]03_TKB_LOP'!$B$366:$G$373,IF(LEFT(V$4,5)="NHÓM:","NHÓM:*"&amp;MID(V$4,8,50)&amp;"*",V$4&amp;" – *")))</f>
        <v>1</v>
      </c>
      <c r="W35" s="7">
        <f>IF(W$4="HĐTN",COUNTIF('[1]03_TKB_LOP'!$B$366:$G$373,"HĐTN*")+COUNTIF('[1]03_TKB_LOP'!$B$366:$G$373,"Chào cờ/HĐTN*"),COUNTIF('[1]03_TKB_LOP'!$B$366:$G$373,IF(LEFT(W$4,5)="NHÓM:","NHÓM:*"&amp;MID(W$4,8,50)&amp;"*",W$4&amp;" – *")))</f>
        <v>1</v>
      </c>
      <c r="X35" s="7">
        <f>IF(X$4="HĐTN",COUNTIF('[1]03_TKB_LOP'!$B$366:$G$373,"HĐTN*")+COUNTIF('[1]03_TKB_LOP'!$B$366:$G$373,"Chào cờ/HĐTN*"),COUNTIF('[1]03_TKB_LOP'!$B$366:$G$373,IF(LEFT(X$4,5)="NHÓM:","NHÓM:*"&amp;MID(X$4,8,50)&amp;"*",X$4&amp;" – *")))</f>
        <v>4</v>
      </c>
      <c r="Y35" s="7">
        <f>IF(Y$4="HĐTN",COUNTIF('[1]03_TKB_LOP'!$B$366:$G$373,"HĐTN*")+COUNTIF('[1]03_TKB_LOP'!$B$366:$G$373,"Chào cờ/HĐTN*"),COUNTIF('[1]03_TKB_LOP'!$B$366:$G$373,IF(LEFT(Y$4,5)="NHÓM:","NHÓM:*"&amp;MID(Y$4,8,50)&amp;"*",Y$4&amp;" – *")))</f>
        <v>2</v>
      </c>
      <c r="Z35" s="7">
        <f>IF(Z$4="HĐTN",COUNTIF('[1]03_TKB_LOP'!$B$366:$G$373,"HĐTN*")+COUNTIF('[1]03_TKB_LOP'!$B$366:$G$373,"Chào cờ/HĐTN*"),COUNTIF('[1]03_TKB_LOP'!$B$366:$G$373,IF(LEFT(Z$4,5)="NHÓM:","NHÓM:*"&amp;MID(Z$4,8,50)&amp;"*",Z$4&amp;" – *")))</f>
        <v>0</v>
      </c>
      <c r="AA35" s="7">
        <f>IF(AA$4="HĐTN",COUNTIF('[1]03_TKB_LOP'!$B$366:$G$373,"HĐTN*")+COUNTIF('[1]03_TKB_LOP'!$B$366:$G$373,"Chào cờ/HĐTN*"),COUNTIF('[1]03_TKB_LOP'!$B$366:$G$373,IF(LEFT(AA$4,5)="NHÓM:","NHÓM:*"&amp;MID(AA$4,8,50)&amp;"*",AA$4&amp;" – *")))</f>
        <v>2</v>
      </c>
      <c r="AB35" s="7">
        <f>IF(AB$4="HĐTN",COUNTIF('[1]03_TKB_LOP'!$B$366:$G$373,"HĐTN*")+COUNTIF('[1]03_TKB_LOP'!$B$366:$G$373,"Chào cờ/HĐTN*"),COUNTIF('[1]03_TKB_LOP'!$B$366:$G$373,IF(LEFT(AB$4,5)="NHÓM:","NHÓM:*"&amp;MID(AB$4,8,50)&amp;"*",AB$4&amp;" – *")))</f>
        <v>0</v>
      </c>
    </row>
    <row r="36" spans="1:28" x14ac:dyDescent="0.2">
      <c r="A36" s="5" t="str">
        <f>TRIM(MID('[1]03_TKB_LOP'!$A$376,4,FIND("|",'[1]03_TKB_LOP'!$A$376)-4))</f>
        <v>11A11</v>
      </c>
      <c r="B36" s="6" t="str">
        <f>TRIM(MID('[1]03_TKB_LOP'!$A$376,FIND("GVCN:",'[1]03_TKB_LOP'!$A$376)+5,FIND("|",'[1]03_TKB_LOP'!$A$376,FIND("GVCN:",'[1]03_TKB_LOP'!$A$376))-FIND("GVCN:",'[1]03_TKB_LOP'!$A$376)-5))</f>
        <v>NGUYỄN HỒNG GIANG</v>
      </c>
      <c r="C36" s="7">
        <f>IF(C$4="HĐTN",COUNTIF('[1]03_TKB_LOP'!$B$378:$G$385,"HĐTN*")+COUNTIF('[1]03_TKB_LOP'!$B$378:$G$385,"Chào cờ/HĐTN*"),COUNTIF('[1]03_TKB_LOP'!$B$378:$G$385,IF(LEFT(C$4,5)="NHÓM:","NHÓM:*"&amp;MID(C$4,8,50)&amp;"*",C$4&amp;" – *")))</f>
        <v>3</v>
      </c>
      <c r="D36" s="7">
        <f>IF(D$4="HĐTN",COUNTIF('[1]03_TKB_LOP'!$B$378:$G$385,"HĐTN*")+COUNTIF('[1]03_TKB_LOP'!$B$378:$G$385,"Chào cờ/HĐTN*"),COUNTIF('[1]03_TKB_LOP'!$B$378:$G$385,IF(LEFT(D$4,5)="NHÓM:","NHÓM:*"&amp;MID(D$4,8,50)&amp;"*",D$4&amp;" – *")))</f>
        <v>3</v>
      </c>
      <c r="E36" s="7">
        <f>IF(E$4="HĐTN",COUNTIF('[1]03_TKB_LOP'!$B$378:$G$385,"HĐTN*")+COUNTIF('[1]03_TKB_LOP'!$B$378:$G$385,"Chào cờ/HĐTN*"),COUNTIF('[1]03_TKB_LOP'!$B$378:$G$385,IF(LEFT(E$4,5)="NHÓM:","NHÓM:*"&amp;MID(E$4,8,50)&amp;"*",E$4&amp;" – *")))</f>
        <v>3</v>
      </c>
      <c r="F36" s="7">
        <f>IF(F$4="HĐTN",COUNTIF('[1]03_TKB_LOP'!$B$378:$G$385,"HĐTN*")+COUNTIF('[1]03_TKB_LOP'!$B$378:$G$385,"Chào cờ/HĐTN*"),COUNTIF('[1]03_TKB_LOP'!$B$378:$G$385,IF(LEFT(F$4,5)="NHÓM:","NHÓM:*"&amp;MID(F$4,8,50)&amp;"*",F$4&amp;" – *")))</f>
        <v>3</v>
      </c>
      <c r="G36" s="7">
        <f>IF(G$4="HĐTN",COUNTIF('[1]03_TKB_LOP'!$B$378:$G$385,"HĐTN*")+COUNTIF('[1]03_TKB_LOP'!$B$378:$G$385,"Chào cờ/HĐTN*"),COUNTIF('[1]03_TKB_LOP'!$B$378:$G$385,IF(LEFT(G$4,5)="NHÓM:","NHÓM:*"&amp;MID(G$4,8,50)&amp;"*",G$4&amp;" – *")))</f>
        <v>0</v>
      </c>
      <c r="H36" s="7">
        <f>IF(H$4="HĐTN",COUNTIF('[1]03_TKB_LOP'!$B$378:$G$385,"HĐTN*")+COUNTIF('[1]03_TKB_LOP'!$B$378:$G$385,"Chào cờ/HĐTN*"),COUNTIF('[1]03_TKB_LOP'!$B$378:$G$385,IF(LEFT(H$4,5)="NHÓM:","NHÓM:*"&amp;MID(H$4,8,50)&amp;"*",H$4&amp;" – *")))</f>
        <v>0</v>
      </c>
      <c r="I36" s="7">
        <f>IF(I$4="HĐTN",COUNTIF('[1]03_TKB_LOP'!$B$378:$G$385,"HĐTN*")+COUNTIF('[1]03_TKB_LOP'!$B$378:$G$385,"Chào cờ/HĐTN*"),COUNTIF('[1]03_TKB_LOP'!$B$378:$G$385,IF(LEFT(I$4,5)="NHÓM:","NHÓM:*"&amp;MID(I$4,8,50)&amp;"*",I$4&amp;" – *")))</f>
        <v>0</v>
      </c>
      <c r="J36" s="7">
        <f>IF(J$4="HĐTN",COUNTIF('[1]03_TKB_LOP'!$B$378:$G$385,"HĐTN*")+COUNTIF('[1]03_TKB_LOP'!$B$378:$G$385,"Chào cờ/HĐTN*"),COUNTIF('[1]03_TKB_LOP'!$B$378:$G$385,IF(LEFT(J$4,5)="NHÓM:","NHÓM:*"&amp;MID(J$4,8,50)&amp;"*",J$4&amp;" – *")))</f>
        <v>1</v>
      </c>
      <c r="K36" s="7">
        <f>IF(K$4="HĐTN",COUNTIF('[1]03_TKB_LOP'!$B$378:$G$385,"HĐTN*")+COUNTIF('[1]03_TKB_LOP'!$B$378:$G$385,"Chào cờ/HĐTN*"),COUNTIF('[1]03_TKB_LOP'!$B$378:$G$385,IF(LEFT(K$4,5)="NHÓM:","NHÓM:*"&amp;MID(K$4,8,50)&amp;"*",K$4&amp;" – *")))</f>
        <v>2</v>
      </c>
      <c r="L36" s="7">
        <f>IF(L$4="HĐTN",COUNTIF('[1]03_TKB_LOP'!$B$378:$G$385,"HĐTN*")+COUNTIF('[1]03_TKB_LOP'!$B$378:$G$385,"Chào cờ/HĐTN*"),COUNTIF('[1]03_TKB_LOP'!$B$378:$G$385,IF(LEFT(L$4,5)="NHÓM:","NHÓM:*"&amp;MID(L$4,8,50)&amp;"*",L$4&amp;" – *")))</f>
        <v>2</v>
      </c>
      <c r="M36" s="7">
        <f>IF(M$4="HĐTN",COUNTIF('[1]03_TKB_LOP'!$B$378:$G$385,"HĐTN*")+COUNTIF('[1]03_TKB_LOP'!$B$378:$G$385,"Chào cờ/HĐTN*"),COUNTIF('[1]03_TKB_LOP'!$B$378:$G$385,IF(LEFT(M$4,5)="NHÓM:","NHÓM:*"&amp;MID(M$4,8,50)&amp;"*",M$4&amp;" – *")))</f>
        <v>2</v>
      </c>
      <c r="N36" s="7">
        <f>IF(N$4="HĐTN",COUNTIF('[1]03_TKB_LOP'!$B$378:$G$385,"HĐTN*")+COUNTIF('[1]03_TKB_LOP'!$B$378:$G$385,"Chào cờ/HĐTN*"),COUNTIF('[1]03_TKB_LOP'!$B$378:$G$385,IF(LEFT(N$4,5)="NHÓM:","NHÓM:*"&amp;MID(N$4,8,50)&amp;"*",N$4&amp;" – *")))</f>
        <v>2</v>
      </c>
      <c r="O36" s="7">
        <f>IF(O$4="HĐTN",COUNTIF('[1]03_TKB_LOP'!$B$378:$G$385,"HĐTN*")+COUNTIF('[1]03_TKB_LOP'!$B$378:$G$385,"Chào cờ/HĐTN*"),COUNTIF('[1]03_TKB_LOP'!$B$378:$G$385,IF(LEFT(O$4,5)="NHÓM:","NHÓM:*"&amp;MID(O$4,8,50)&amp;"*",O$4&amp;" – *")))</f>
        <v>1</v>
      </c>
      <c r="P36" s="7">
        <f>IF(P$4="HĐTN",COUNTIF('[1]03_TKB_LOP'!$B$378:$G$385,"HĐTN*")+COUNTIF('[1]03_TKB_LOP'!$B$378:$G$385,"Chào cờ/HĐTN*"),COUNTIF('[1]03_TKB_LOP'!$B$378:$G$385,IF(LEFT(P$4,5)="NHÓM:","NHÓM:*"&amp;MID(P$4,8,50)&amp;"*",P$4&amp;" – *")))</f>
        <v>1</v>
      </c>
      <c r="Q36" s="7">
        <f>IF(Q$4="HĐTN",COUNTIF('[1]03_TKB_LOP'!$B$378:$G$385,"HĐTN*")+COUNTIF('[1]03_TKB_LOP'!$B$378:$G$385,"Chào cờ/HĐTN*"),COUNTIF('[1]03_TKB_LOP'!$B$378:$G$385,IF(LEFT(Q$4,5)="NHÓM:","NHÓM:*"&amp;MID(Q$4,8,50)&amp;"*",Q$4&amp;" – *")))</f>
        <v>0</v>
      </c>
      <c r="R36" s="7">
        <f>IF(R$4="HĐTN",COUNTIF('[1]03_TKB_LOP'!$B$378:$G$385,"HĐTN*")+COUNTIF('[1]03_TKB_LOP'!$B$378:$G$385,"Chào cờ/HĐTN*"),COUNTIF('[1]03_TKB_LOP'!$B$378:$G$385,IF(LEFT(R$4,5)="NHÓM:","NHÓM:*"&amp;MID(R$4,8,50)&amp;"*",R$4&amp;" – *")))</f>
        <v>1</v>
      </c>
      <c r="S36" s="7">
        <f>IF(S$4="HĐTN",COUNTIF('[1]03_TKB_LOP'!$B$378:$G$385,"HĐTN*")+COUNTIF('[1]03_TKB_LOP'!$B$378:$G$385,"Chào cờ/HĐTN*"),COUNTIF('[1]03_TKB_LOP'!$B$378:$G$385,IF(LEFT(S$4,5)="NHÓM:","NHÓM:*"&amp;MID(S$4,8,50)&amp;"*",S$4&amp;" – *")))</f>
        <v>0</v>
      </c>
      <c r="T36" s="7">
        <f>IF(T$4="HĐTN",COUNTIF('[1]03_TKB_LOP'!$B$378:$G$385,"HĐTN*")+COUNTIF('[1]03_TKB_LOP'!$B$378:$G$385,"Chào cờ/HĐTN*"),COUNTIF('[1]03_TKB_LOP'!$B$378:$G$385,IF(LEFT(T$4,5)="NHÓM:","NHÓM:*"&amp;MID(T$4,8,50)&amp;"*",T$4&amp;" – *")))</f>
        <v>0</v>
      </c>
      <c r="U36" s="7">
        <f>IF(U$4="HĐTN",COUNTIF('[1]03_TKB_LOP'!$B$378:$G$385,"HĐTN*")+COUNTIF('[1]03_TKB_LOP'!$B$378:$G$385,"Chào cờ/HĐTN*"),COUNTIF('[1]03_TKB_LOP'!$B$378:$G$385,IF(LEFT(U$4,5)="NHÓM:","NHÓM:*"&amp;MID(U$4,8,50)&amp;"*",U$4&amp;" – *")))</f>
        <v>0</v>
      </c>
      <c r="V36" s="7">
        <f>IF(V$4="HĐTN",COUNTIF('[1]03_TKB_LOP'!$B$378:$G$385,"HĐTN*")+COUNTIF('[1]03_TKB_LOP'!$B$378:$G$385,"Chào cờ/HĐTN*"),COUNTIF('[1]03_TKB_LOP'!$B$378:$G$385,IF(LEFT(V$4,5)="NHÓM:","NHÓM:*"&amp;MID(V$4,8,50)&amp;"*",V$4&amp;" – *")))</f>
        <v>1</v>
      </c>
      <c r="W36" s="7">
        <f>IF(W$4="HĐTN",COUNTIF('[1]03_TKB_LOP'!$B$378:$G$385,"HĐTN*")+COUNTIF('[1]03_TKB_LOP'!$B$378:$G$385,"Chào cờ/HĐTN*"),COUNTIF('[1]03_TKB_LOP'!$B$378:$G$385,IF(LEFT(W$4,5)="NHÓM:","NHÓM:*"&amp;MID(W$4,8,50)&amp;"*",W$4&amp;" – *")))</f>
        <v>1</v>
      </c>
      <c r="X36" s="7">
        <f>IF(X$4="HĐTN",COUNTIF('[1]03_TKB_LOP'!$B$378:$G$385,"HĐTN*")+COUNTIF('[1]03_TKB_LOP'!$B$378:$G$385,"Chào cờ/HĐTN*"),COUNTIF('[1]03_TKB_LOP'!$B$378:$G$385,IF(LEFT(X$4,5)="NHÓM:","NHÓM:*"&amp;MID(X$4,8,50)&amp;"*",X$4&amp;" – *")))</f>
        <v>4</v>
      </c>
      <c r="Y36" s="7">
        <f>IF(Y$4="HĐTN",COUNTIF('[1]03_TKB_LOP'!$B$378:$G$385,"HĐTN*")+COUNTIF('[1]03_TKB_LOP'!$B$378:$G$385,"Chào cờ/HĐTN*"),COUNTIF('[1]03_TKB_LOP'!$B$378:$G$385,IF(LEFT(Y$4,5)="NHÓM:","NHÓM:*"&amp;MID(Y$4,8,50)&amp;"*",Y$4&amp;" – *")))</f>
        <v>2</v>
      </c>
      <c r="Z36" s="7">
        <f>IF(Z$4="HĐTN",COUNTIF('[1]03_TKB_LOP'!$B$378:$G$385,"HĐTN*")+COUNTIF('[1]03_TKB_LOP'!$B$378:$G$385,"Chào cờ/HĐTN*"),COUNTIF('[1]03_TKB_LOP'!$B$378:$G$385,IF(LEFT(Z$4,5)="NHÓM:","NHÓM:*"&amp;MID(Z$4,8,50)&amp;"*",Z$4&amp;" – *")))</f>
        <v>2</v>
      </c>
      <c r="AA36" s="7">
        <f>IF(AA$4="HĐTN",COUNTIF('[1]03_TKB_LOP'!$B$378:$G$385,"HĐTN*")+COUNTIF('[1]03_TKB_LOP'!$B$378:$G$385,"Chào cờ/HĐTN*"),COUNTIF('[1]03_TKB_LOP'!$B$378:$G$385,IF(LEFT(AA$4,5)="NHÓM:","NHÓM:*"&amp;MID(AA$4,8,50)&amp;"*",AA$4&amp;" – *")))</f>
        <v>4</v>
      </c>
      <c r="AB36" s="7">
        <f>IF(AB$4="HĐTN",COUNTIF('[1]03_TKB_LOP'!$B$378:$G$385,"HĐTN*")+COUNTIF('[1]03_TKB_LOP'!$B$378:$G$385,"Chào cờ/HĐTN*"),COUNTIF('[1]03_TKB_LOP'!$B$378:$G$385,IF(LEFT(AB$4,5)="NHÓM:","NHÓM:*"&amp;MID(AB$4,8,50)&amp;"*",AB$4&amp;" – *")))</f>
        <v>0</v>
      </c>
    </row>
    <row r="37" spans="1:28" x14ac:dyDescent="0.2">
      <c r="A37" s="5" t="str">
        <f>TRIM(MID('[1]03_TKB_LOP'!$A$388,4,FIND("|",'[1]03_TKB_LOP'!$A$388)-4))</f>
        <v>11A12</v>
      </c>
      <c r="B37" s="6" t="str">
        <f>TRIM(MID('[1]03_TKB_LOP'!$A$388,FIND("GVCN:",'[1]03_TKB_LOP'!$A$388)+5,FIND("|",'[1]03_TKB_LOP'!$A$388,FIND("GVCN:",'[1]03_TKB_LOP'!$A$388))-FIND("GVCN:",'[1]03_TKB_LOP'!$A$388)-5))</f>
        <v>TRẦN ĐẠI NGHĨA</v>
      </c>
      <c r="C37" s="7">
        <f>IF(C$4="HĐTN",COUNTIF('[1]03_TKB_LOP'!$B$390:$G$397,"HĐTN*")+COUNTIF('[1]03_TKB_LOP'!$B$390:$G$397,"Chào cờ/HĐTN*"),COUNTIF('[1]03_TKB_LOP'!$B$390:$G$397,IF(LEFT(C$4,5)="NHÓM:","NHÓM:*"&amp;MID(C$4,8,50)&amp;"*",C$4&amp;" – *")))</f>
        <v>3</v>
      </c>
      <c r="D37" s="7">
        <f>IF(D$4="HĐTN",COUNTIF('[1]03_TKB_LOP'!$B$390:$G$397,"HĐTN*")+COUNTIF('[1]03_TKB_LOP'!$B$390:$G$397,"Chào cờ/HĐTN*"),COUNTIF('[1]03_TKB_LOP'!$B$390:$G$397,IF(LEFT(D$4,5)="NHÓM:","NHÓM:*"&amp;MID(D$4,8,50)&amp;"*",D$4&amp;" – *")))</f>
        <v>3</v>
      </c>
      <c r="E37" s="7">
        <f>IF(E$4="HĐTN",COUNTIF('[1]03_TKB_LOP'!$B$390:$G$397,"HĐTN*")+COUNTIF('[1]03_TKB_LOP'!$B$390:$G$397,"Chào cờ/HĐTN*"),COUNTIF('[1]03_TKB_LOP'!$B$390:$G$397,IF(LEFT(E$4,5)="NHÓM:","NHÓM:*"&amp;MID(E$4,8,50)&amp;"*",E$4&amp;" – *")))</f>
        <v>3</v>
      </c>
      <c r="F37" s="7">
        <f>IF(F$4="HĐTN",COUNTIF('[1]03_TKB_LOP'!$B$390:$G$397,"HĐTN*")+COUNTIF('[1]03_TKB_LOP'!$B$390:$G$397,"Chào cờ/HĐTN*"),COUNTIF('[1]03_TKB_LOP'!$B$390:$G$397,IF(LEFT(F$4,5)="NHÓM:","NHÓM:*"&amp;MID(F$4,8,50)&amp;"*",F$4&amp;" – *")))</f>
        <v>3</v>
      </c>
      <c r="G37" s="7">
        <f>IF(G$4="HĐTN",COUNTIF('[1]03_TKB_LOP'!$B$390:$G$397,"HĐTN*")+COUNTIF('[1]03_TKB_LOP'!$B$390:$G$397,"Chào cờ/HĐTN*"),COUNTIF('[1]03_TKB_LOP'!$B$390:$G$397,IF(LEFT(G$4,5)="NHÓM:","NHÓM:*"&amp;MID(G$4,8,50)&amp;"*",G$4&amp;" – *")))</f>
        <v>0</v>
      </c>
      <c r="H37" s="7">
        <f>IF(H$4="HĐTN",COUNTIF('[1]03_TKB_LOP'!$B$390:$G$397,"HĐTN*")+COUNTIF('[1]03_TKB_LOP'!$B$390:$G$397,"Chào cờ/HĐTN*"),COUNTIF('[1]03_TKB_LOP'!$B$390:$G$397,IF(LEFT(H$4,5)="NHÓM:","NHÓM:*"&amp;MID(H$4,8,50)&amp;"*",H$4&amp;" – *")))</f>
        <v>0</v>
      </c>
      <c r="I37" s="7">
        <f>IF(I$4="HĐTN",COUNTIF('[1]03_TKB_LOP'!$B$390:$G$397,"HĐTN*")+COUNTIF('[1]03_TKB_LOP'!$B$390:$G$397,"Chào cờ/HĐTN*"),COUNTIF('[1]03_TKB_LOP'!$B$390:$G$397,IF(LEFT(I$4,5)="NHÓM:","NHÓM:*"&amp;MID(I$4,8,50)&amp;"*",I$4&amp;" – *")))</f>
        <v>0</v>
      </c>
      <c r="J37" s="7">
        <f>IF(J$4="HĐTN",COUNTIF('[1]03_TKB_LOP'!$B$390:$G$397,"HĐTN*")+COUNTIF('[1]03_TKB_LOP'!$B$390:$G$397,"Chào cờ/HĐTN*"),COUNTIF('[1]03_TKB_LOP'!$B$390:$G$397,IF(LEFT(J$4,5)="NHÓM:","NHÓM:*"&amp;MID(J$4,8,50)&amp;"*",J$4&amp;" – *")))</f>
        <v>1</v>
      </c>
      <c r="K37" s="7">
        <f>IF(K$4="HĐTN",COUNTIF('[1]03_TKB_LOP'!$B$390:$G$397,"HĐTN*")+COUNTIF('[1]03_TKB_LOP'!$B$390:$G$397,"Chào cờ/HĐTN*"),COUNTIF('[1]03_TKB_LOP'!$B$390:$G$397,IF(LEFT(K$4,5)="NHÓM:","NHÓM:*"&amp;MID(K$4,8,50)&amp;"*",K$4&amp;" – *")))</f>
        <v>2</v>
      </c>
      <c r="L37" s="7">
        <f>IF(L$4="HĐTN",COUNTIF('[1]03_TKB_LOP'!$B$390:$G$397,"HĐTN*")+COUNTIF('[1]03_TKB_LOP'!$B$390:$G$397,"Chào cờ/HĐTN*"),COUNTIF('[1]03_TKB_LOP'!$B$390:$G$397,IF(LEFT(L$4,5)="NHÓM:","NHÓM:*"&amp;MID(L$4,8,50)&amp;"*",L$4&amp;" – *")))</f>
        <v>2</v>
      </c>
      <c r="M37" s="7">
        <f>IF(M$4="HĐTN",COUNTIF('[1]03_TKB_LOP'!$B$390:$G$397,"HĐTN*")+COUNTIF('[1]03_TKB_LOP'!$B$390:$G$397,"Chào cờ/HĐTN*"),COUNTIF('[1]03_TKB_LOP'!$B$390:$G$397,IF(LEFT(M$4,5)="NHÓM:","NHÓM:*"&amp;MID(M$4,8,50)&amp;"*",M$4&amp;" – *")))</f>
        <v>2</v>
      </c>
      <c r="N37" s="7">
        <f>IF(N$4="HĐTN",COUNTIF('[1]03_TKB_LOP'!$B$390:$G$397,"HĐTN*")+COUNTIF('[1]03_TKB_LOP'!$B$390:$G$397,"Chào cờ/HĐTN*"),COUNTIF('[1]03_TKB_LOP'!$B$390:$G$397,IF(LEFT(N$4,5)="NHÓM:","NHÓM:*"&amp;MID(N$4,8,50)&amp;"*",N$4&amp;" – *")))</f>
        <v>2</v>
      </c>
      <c r="O37" s="7">
        <f>IF(O$4="HĐTN",COUNTIF('[1]03_TKB_LOP'!$B$390:$G$397,"HĐTN*")+COUNTIF('[1]03_TKB_LOP'!$B$390:$G$397,"Chào cờ/HĐTN*"),COUNTIF('[1]03_TKB_LOP'!$B$390:$G$397,IF(LEFT(O$4,5)="NHÓM:","NHÓM:*"&amp;MID(O$4,8,50)&amp;"*",O$4&amp;" – *")))</f>
        <v>1</v>
      </c>
      <c r="P37" s="7">
        <f>IF(P$4="HĐTN",COUNTIF('[1]03_TKB_LOP'!$B$390:$G$397,"HĐTN*")+COUNTIF('[1]03_TKB_LOP'!$B$390:$G$397,"Chào cờ/HĐTN*"),COUNTIF('[1]03_TKB_LOP'!$B$390:$G$397,IF(LEFT(P$4,5)="NHÓM:","NHÓM:*"&amp;MID(P$4,8,50)&amp;"*",P$4&amp;" – *")))</f>
        <v>1</v>
      </c>
      <c r="Q37" s="7">
        <f>IF(Q$4="HĐTN",COUNTIF('[1]03_TKB_LOP'!$B$390:$G$397,"HĐTN*")+COUNTIF('[1]03_TKB_LOP'!$B$390:$G$397,"Chào cờ/HĐTN*"),COUNTIF('[1]03_TKB_LOP'!$B$390:$G$397,IF(LEFT(Q$4,5)="NHÓM:","NHÓM:*"&amp;MID(Q$4,8,50)&amp;"*",Q$4&amp;" – *")))</f>
        <v>0</v>
      </c>
      <c r="R37" s="7">
        <f>IF(R$4="HĐTN",COUNTIF('[1]03_TKB_LOP'!$B$390:$G$397,"HĐTN*")+COUNTIF('[1]03_TKB_LOP'!$B$390:$G$397,"Chào cờ/HĐTN*"),COUNTIF('[1]03_TKB_LOP'!$B$390:$G$397,IF(LEFT(R$4,5)="NHÓM:","NHÓM:*"&amp;MID(R$4,8,50)&amp;"*",R$4&amp;" – *")))</f>
        <v>1</v>
      </c>
      <c r="S37" s="7">
        <f>IF(S$4="HĐTN",COUNTIF('[1]03_TKB_LOP'!$B$390:$G$397,"HĐTN*")+COUNTIF('[1]03_TKB_LOP'!$B$390:$G$397,"Chào cờ/HĐTN*"),COUNTIF('[1]03_TKB_LOP'!$B$390:$G$397,IF(LEFT(S$4,5)="NHÓM:","NHÓM:*"&amp;MID(S$4,8,50)&amp;"*",S$4&amp;" – *")))</f>
        <v>0</v>
      </c>
      <c r="T37" s="7">
        <f>IF(T$4="HĐTN",COUNTIF('[1]03_TKB_LOP'!$B$390:$G$397,"HĐTN*")+COUNTIF('[1]03_TKB_LOP'!$B$390:$G$397,"Chào cờ/HĐTN*"),COUNTIF('[1]03_TKB_LOP'!$B$390:$G$397,IF(LEFT(T$4,5)="NHÓM:","NHÓM:*"&amp;MID(T$4,8,50)&amp;"*",T$4&amp;" – *")))</f>
        <v>0</v>
      </c>
      <c r="U37" s="7">
        <f>IF(U$4="HĐTN",COUNTIF('[1]03_TKB_LOP'!$B$390:$G$397,"HĐTN*")+COUNTIF('[1]03_TKB_LOP'!$B$390:$G$397,"Chào cờ/HĐTN*"),COUNTIF('[1]03_TKB_LOP'!$B$390:$G$397,IF(LEFT(U$4,5)="NHÓM:","NHÓM:*"&amp;MID(U$4,8,50)&amp;"*",U$4&amp;" – *")))</f>
        <v>0</v>
      </c>
      <c r="V37" s="7">
        <f>IF(V$4="HĐTN",COUNTIF('[1]03_TKB_LOP'!$B$390:$G$397,"HĐTN*")+COUNTIF('[1]03_TKB_LOP'!$B$390:$G$397,"Chào cờ/HĐTN*"),COUNTIF('[1]03_TKB_LOP'!$B$390:$G$397,IF(LEFT(V$4,5)="NHÓM:","NHÓM:*"&amp;MID(V$4,8,50)&amp;"*",V$4&amp;" – *")))</f>
        <v>1</v>
      </c>
      <c r="W37" s="7">
        <f>IF(W$4="HĐTN",COUNTIF('[1]03_TKB_LOP'!$B$390:$G$397,"HĐTN*")+COUNTIF('[1]03_TKB_LOP'!$B$390:$G$397,"Chào cờ/HĐTN*"),COUNTIF('[1]03_TKB_LOP'!$B$390:$G$397,IF(LEFT(W$4,5)="NHÓM:","NHÓM:*"&amp;MID(W$4,8,50)&amp;"*",W$4&amp;" – *")))</f>
        <v>1</v>
      </c>
      <c r="X37" s="7">
        <f>IF(X$4="HĐTN",COUNTIF('[1]03_TKB_LOP'!$B$390:$G$397,"HĐTN*")+COUNTIF('[1]03_TKB_LOP'!$B$390:$G$397,"Chào cờ/HĐTN*"),COUNTIF('[1]03_TKB_LOP'!$B$390:$G$397,IF(LEFT(X$4,5)="NHÓM:","NHÓM:*"&amp;MID(X$4,8,50)&amp;"*",X$4&amp;" – *")))</f>
        <v>4</v>
      </c>
      <c r="Y37" s="7">
        <f>IF(Y$4="HĐTN",COUNTIF('[1]03_TKB_LOP'!$B$390:$G$397,"HĐTN*")+COUNTIF('[1]03_TKB_LOP'!$B$390:$G$397,"Chào cờ/HĐTN*"),COUNTIF('[1]03_TKB_LOP'!$B$390:$G$397,IF(LEFT(Y$4,5)="NHÓM:","NHÓM:*"&amp;MID(Y$4,8,50)&amp;"*",Y$4&amp;" – *")))</f>
        <v>4</v>
      </c>
      <c r="Z37" s="7">
        <f>IF(Z$4="HĐTN",COUNTIF('[1]03_TKB_LOP'!$B$390:$G$397,"HĐTN*")+COUNTIF('[1]03_TKB_LOP'!$B$390:$G$397,"Chào cờ/HĐTN*"),COUNTIF('[1]03_TKB_LOP'!$B$390:$G$397,IF(LEFT(Z$4,5)="NHÓM:","NHÓM:*"&amp;MID(Z$4,8,50)&amp;"*",Z$4&amp;" – *")))</f>
        <v>2</v>
      </c>
      <c r="AA37" s="7">
        <f>IF(AA$4="HĐTN",COUNTIF('[1]03_TKB_LOP'!$B$390:$G$397,"HĐTN*")+COUNTIF('[1]03_TKB_LOP'!$B$390:$G$397,"Chào cờ/HĐTN*"),COUNTIF('[1]03_TKB_LOP'!$B$390:$G$397,IF(LEFT(AA$4,5)="NHÓM:","NHÓM:*"&amp;MID(AA$4,8,50)&amp;"*",AA$4&amp;" – *")))</f>
        <v>2</v>
      </c>
      <c r="AB37" s="7">
        <f>IF(AB$4="HĐTN",COUNTIF('[1]03_TKB_LOP'!$B$390:$G$397,"HĐTN*")+COUNTIF('[1]03_TKB_LOP'!$B$390:$G$397,"Chào cờ/HĐTN*"),COUNTIF('[1]03_TKB_LOP'!$B$390:$G$397,IF(LEFT(AB$4,5)="NHÓM:","NHÓM:*"&amp;MID(AB$4,8,50)&amp;"*",AB$4&amp;" – *")))</f>
        <v>0</v>
      </c>
    </row>
    <row r="38" spans="1:28" x14ac:dyDescent="0.2">
      <c r="A38" s="5" t="str">
        <f>TRIM(MID('[1]03_TKB_LOP'!$A$400,4,FIND("|",'[1]03_TKB_LOP'!$A$400)-4))</f>
        <v>11A13</v>
      </c>
      <c r="B38" s="6" t="str">
        <f>TRIM(MID('[1]03_TKB_LOP'!$A$400,FIND("GVCN:",'[1]03_TKB_LOP'!$A$400)+5,FIND("|",'[1]03_TKB_LOP'!$A$400,FIND("GVCN:",'[1]03_TKB_LOP'!$A$400))-FIND("GVCN:",'[1]03_TKB_LOP'!$A$400)-5))</f>
        <v>ĐỖ ỨC TUỆ</v>
      </c>
      <c r="C38" s="7">
        <f>IF(C$4="HĐTN",COUNTIF('[1]03_TKB_LOP'!$B$402:$G$409,"HĐTN*")+COUNTIF('[1]03_TKB_LOP'!$B$402:$G$409,"Chào cờ/HĐTN*"),COUNTIF('[1]03_TKB_LOP'!$B$402:$G$409,IF(LEFT(C$4,5)="NHÓM:","NHÓM:*"&amp;MID(C$4,8,50)&amp;"*",C$4&amp;" – *")))</f>
        <v>3</v>
      </c>
      <c r="D38" s="7">
        <f>IF(D$4="HĐTN",COUNTIF('[1]03_TKB_LOP'!$B$402:$G$409,"HĐTN*")+COUNTIF('[1]03_TKB_LOP'!$B$402:$G$409,"Chào cờ/HĐTN*"),COUNTIF('[1]03_TKB_LOP'!$B$402:$G$409,IF(LEFT(D$4,5)="NHÓM:","NHÓM:*"&amp;MID(D$4,8,50)&amp;"*",D$4&amp;" – *")))</f>
        <v>3</v>
      </c>
      <c r="E38" s="7">
        <f>IF(E$4="HĐTN",COUNTIF('[1]03_TKB_LOP'!$B$402:$G$409,"HĐTN*")+COUNTIF('[1]03_TKB_LOP'!$B$402:$G$409,"Chào cờ/HĐTN*"),COUNTIF('[1]03_TKB_LOP'!$B$402:$G$409,IF(LEFT(E$4,5)="NHÓM:","NHÓM:*"&amp;MID(E$4,8,50)&amp;"*",E$4&amp;" – *")))</f>
        <v>3</v>
      </c>
      <c r="F38" s="7">
        <f>IF(F$4="HĐTN",COUNTIF('[1]03_TKB_LOP'!$B$402:$G$409,"HĐTN*")+COUNTIF('[1]03_TKB_LOP'!$B$402:$G$409,"Chào cờ/HĐTN*"),COUNTIF('[1]03_TKB_LOP'!$B$402:$G$409,IF(LEFT(F$4,5)="NHÓM:","NHÓM:*"&amp;MID(F$4,8,50)&amp;"*",F$4&amp;" – *")))</f>
        <v>3</v>
      </c>
      <c r="G38" s="7">
        <f>IF(G$4="HĐTN",COUNTIF('[1]03_TKB_LOP'!$B$402:$G$409,"HĐTN*")+COUNTIF('[1]03_TKB_LOP'!$B$402:$G$409,"Chào cờ/HĐTN*"),COUNTIF('[1]03_TKB_LOP'!$B$402:$G$409,IF(LEFT(G$4,5)="NHÓM:","NHÓM:*"&amp;MID(G$4,8,50)&amp;"*",G$4&amp;" – *")))</f>
        <v>0</v>
      </c>
      <c r="H38" s="7">
        <f>IF(H$4="HĐTN",COUNTIF('[1]03_TKB_LOP'!$B$402:$G$409,"HĐTN*")+COUNTIF('[1]03_TKB_LOP'!$B$402:$G$409,"Chào cờ/HĐTN*"),COUNTIF('[1]03_TKB_LOP'!$B$402:$G$409,IF(LEFT(H$4,5)="NHÓM:","NHÓM:*"&amp;MID(H$4,8,50)&amp;"*",H$4&amp;" – *")))</f>
        <v>0</v>
      </c>
      <c r="I38" s="7">
        <f>IF(I$4="HĐTN",COUNTIF('[1]03_TKB_LOP'!$B$402:$G$409,"HĐTN*")+COUNTIF('[1]03_TKB_LOP'!$B$402:$G$409,"Chào cờ/HĐTN*"),COUNTIF('[1]03_TKB_LOP'!$B$402:$G$409,IF(LEFT(I$4,5)="NHÓM:","NHÓM:*"&amp;MID(I$4,8,50)&amp;"*",I$4&amp;" – *")))</f>
        <v>0</v>
      </c>
      <c r="J38" s="7">
        <f>IF(J$4="HĐTN",COUNTIF('[1]03_TKB_LOP'!$B$402:$G$409,"HĐTN*")+COUNTIF('[1]03_TKB_LOP'!$B$402:$G$409,"Chào cờ/HĐTN*"),COUNTIF('[1]03_TKB_LOP'!$B$402:$G$409,IF(LEFT(J$4,5)="NHÓM:","NHÓM:*"&amp;MID(J$4,8,50)&amp;"*",J$4&amp;" – *")))</f>
        <v>1</v>
      </c>
      <c r="K38" s="7">
        <f>IF(K$4="HĐTN",COUNTIF('[1]03_TKB_LOP'!$B$402:$G$409,"HĐTN*")+COUNTIF('[1]03_TKB_LOP'!$B$402:$G$409,"Chào cờ/HĐTN*"),COUNTIF('[1]03_TKB_LOP'!$B$402:$G$409,IF(LEFT(K$4,5)="NHÓM:","NHÓM:*"&amp;MID(K$4,8,50)&amp;"*",K$4&amp;" – *")))</f>
        <v>2</v>
      </c>
      <c r="L38" s="7">
        <f>IF(L$4="HĐTN",COUNTIF('[1]03_TKB_LOP'!$B$402:$G$409,"HĐTN*")+COUNTIF('[1]03_TKB_LOP'!$B$402:$G$409,"Chào cờ/HĐTN*"),COUNTIF('[1]03_TKB_LOP'!$B$402:$G$409,IF(LEFT(L$4,5)="NHÓM:","NHÓM:*"&amp;MID(L$4,8,50)&amp;"*",L$4&amp;" – *")))</f>
        <v>2</v>
      </c>
      <c r="M38" s="7">
        <f>IF(M$4="HĐTN",COUNTIF('[1]03_TKB_LOP'!$B$402:$G$409,"HĐTN*")+COUNTIF('[1]03_TKB_LOP'!$B$402:$G$409,"Chào cờ/HĐTN*"),COUNTIF('[1]03_TKB_LOP'!$B$402:$G$409,IF(LEFT(M$4,5)="NHÓM:","NHÓM:*"&amp;MID(M$4,8,50)&amp;"*",M$4&amp;" – *")))</f>
        <v>2</v>
      </c>
      <c r="N38" s="7">
        <f>IF(N$4="HĐTN",COUNTIF('[1]03_TKB_LOP'!$B$402:$G$409,"HĐTN*")+COUNTIF('[1]03_TKB_LOP'!$B$402:$G$409,"Chào cờ/HĐTN*"),COUNTIF('[1]03_TKB_LOP'!$B$402:$G$409,IF(LEFT(N$4,5)="NHÓM:","NHÓM:*"&amp;MID(N$4,8,50)&amp;"*",N$4&amp;" – *")))</f>
        <v>2</v>
      </c>
      <c r="O38" s="7">
        <f>IF(O$4="HĐTN",COUNTIF('[1]03_TKB_LOP'!$B$402:$G$409,"HĐTN*")+COUNTIF('[1]03_TKB_LOP'!$B$402:$G$409,"Chào cờ/HĐTN*"),COUNTIF('[1]03_TKB_LOP'!$B$402:$G$409,IF(LEFT(O$4,5)="NHÓM:","NHÓM:*"&amp;MID(O$4,8,50)&amp;"*",O$4&amp;" – *")))</f>
        <v>1</v>
      </c>
      <c r="P38" s="7">
        <f>IF(P$4="HĐTN",COUNTIF('[1]03_TKB_LOP'!$B$402:$G$409,"HĐTN*")+COUNTIF('[1]03_TKB_LOP'!$B$402:$G$409,"Chào cờ/HĐTN*"),COUNTIF('[1]03_TKB_LOP'!$B$402:$G$409,IF(LEFT(P$4,5)="NHÓM:","NHÓM:*"&amp;MID(P$4,8,50)&amp;"*",P$4&amp;" – *")))</f>
        <v>1</v>
      </c>
      <c r="Q38" s="7">
        <f>IF(Q$4="HĐTN",COUNTIF('[1]03_TKB_LOP'!$B$402:$G$409,"HĐTN*")+COUNTIF('[1]03_TKB_LOP'!$B$402:$G$409,"Chào cờ/HĐTN*"),COUNTIF('[1]03_TKB_LOP'!$B$402:$G$409,IF(LEFT(Q$4,5)="NHÓM:","NHÓM:*"&amp;MID(Q$4,8,50)&amp;"*",Q$4&amp;" – *")))</f>
        <v>0</v>
      </c>
      <c r="R38" s="7">
        <f>IF(R$4="HĐTN",COUNTIF('[1]03_TKB_LOP'!$B$402:$G$409,"HĐTN*")+COUNTIF('[1]03_TKB_LOP'!$B$402:$G$409,"Chào cờ/HĐTN*"),COUNTIF('[1]03_TKB_LOP'!$B$402:$G$409,IF(LEFT(R$4,5)="NHÓM:","NHÓM:*"&amp;MID(R$4,8,50)&amp;"*",R$4&amp;" – *")))</f>
        <v>1</v>
      </c>
      <c r="S38" s="7">
        <f>IF(S$4="HĐTN",COUNTIF('[1]03_TKB_LOP'!$B$402:$G$409,"HĐTN*")+COUNTIF('[1]03_TKB_LOP'!$B$402:$G$409,"Chào cờ/HĐTN*"),COUNTIF('[1]03_TKB_LOP'!$B$402:$G$409,IF(LEFT(S$4,5)="NHÓM:","NHÓM:*"&amp;MID(S$4,8,50)&amp;"*",S$4&amp;" – *")))</f>
        <v>0</v>
      </c>
      <c r="T38" s="7">
        <f>IF(T$4="HĐTN",COUNTIF('[1]03_TKB_LOP'!$B$402:$G$409,"HĐTN*")+COUNTIF('[1]03_TKB_LOP'!$B$402:$G$409,"Chào cờ/HĐTN*"),COUNTIF('[1]03_TKB_LOP'!$B$402:$G$409,IF(LEFT(T$4,5)="NHÓM:","NHÓM:*"&amp;MID(T$4,8,50)&amp;"*",T$4&amp;" – *")))</f>
        <v>0</v>
      </c>
      <c r="U38" s="7">
        <f>IF(U$4="HĐTN",COUNTIF('[1]03_TKB_LOP'!$B$402:$G$409,"HĐTN*")+COUNTIF('[1]03_TKB_LOP'!$B$402:$G$409,"Chào cờ/HĐTN*"),COUNTIF('[1]03_TKB_LOP'!$B$402:$G$409,IF(LEFT(U$4,5)="NHÓM:","NHÓM:*"&amp;MID(U$4,8,50)&amp;"*",U$4&amp;" – *")))</f>
        <v>0</v>
      </c>
      <c r="V38" s="7">
        <f>IF(V$4="HĐTN",COUNTIF('[1]03_TKB_LOP'!$B$402:$G$409,"HĐTN*")+COUNTIF('[1]03_TKB_LOP'!$B$402:$G$409,"Chào cờ/HĐTN*"),COUNTIF('[1]03_TKB_LOP'!$B$402:$G$409,IF(LEFT(V$4,5)="NHÓM:","NHÓM:*"&amp;MID(V$4,8,50)&amp;"*",V$4&amp;" – *")))</f>
        <v>1</v>
      </c>
      <c r="W38" s="7">
        <f>IF(W$4="HĐTN",COUNTIF('[1]03_TKB_LOP'!$B$402:$G$409,"HĐTN*")+COUNTIF('[1]03_TKB_LOP'!$B$402:$G$409,"Chào cờ/HĐTN*"),COUNTIF('[1]03_TKB_LOP'!$B$402:$G$409,IF(LEFT(W$4,5)="NHÓM:","NHÓM:*"&amp;MID(W$4,8,50)&amp;"*",W$4&amp;" – *")))</f>
        <v>1</v>
      </c>
      <c r="X38" s="7">
        <f>IF(X$4="HĐTN",COUNTIF('[1]03_TKB_LOP'!$B$402:$G$409,"HĐTN*")+COUNTIF('[1]03_TKB_LOP'!$B$402:$G$409,"Chào cờ/HĐTN*"),COUNTIF('[1]03_TKB_LOP'!$B$402:$G$409,IF(LEFT(X$4,5)="NHÓM:","NHÓM:*"&amp;MID(X$4,8,50)&amp;"*",X$4&amp;" – *")))</f>
        <v>4</v>
      </c>
      <c r="Y38" s="7">
        <f>IF(Y$4="HĐTN",COUNTIF('[1]03_TKB_LOP'!$B$402:$G$409,"HĐTN*")+COUNTIF('[1]03_TKB_LOP'!$B$402:$G$409,"Chào cờ/HĐTN*"),COUNTIF('[1]03_TKB_LOP'!$B$402:$G$409,IF(LEFT(Y$4,5)="NHÓM:","NHÓM:*"&amp;MID(Y$4,8,50)&amp;"*",Y$4&amp;" – *")))</f>
        <v>2</v>
      </c>
      <c r="Z38" s="7">
        <f>IF(Z$4="HĐTN",COUNTIF('[1]03_TKB_LOP'!$B$402:$G$409,"HĐTN*")+COUNTIF('[1]03_TKB_LOP'!$B$402:$G$409,"Chào cờ/HĐTN*"),COUNTIF('[1]03_TKB_LOP'!$B$402:$G$409,IF(LEFT(Z$4,5)="NHÓM:","NHÓM:*"&amp;MID(Z$4,8,50)&amp;"*",Z$4&amp;" – *")))</f>
        <v>2</v>
      </c>
      <c r="AA38" s="7">
        <f>IF(AA$4="HĐTN",COUNTIF('[1]03_TKB_LOP'!$B$402:$G$409,"HĐTN*")+COUNTIF('[1]03_TKB_LOP'!$B$402:$G$409,"Chào cờ/HĐTN*"),COUNTIF('[1]03_TKB_LOP'!$B$402:$G$409,IF(LEFT(AA$4,5)="NHÓM:","NHÓM:*"&amp;MID(AA$4,8,50)&amp;"*",AA$4&amp;" – *")))</f>
        <v>2</v>
      </c>
      <c r="AB38" s="7">
        <f>IF(AB$4="HĐTN",COUNTIF('[1]03_TKB_LOP'!$B$402:$G$409,"HĐTN*")+COUNTIF('[1]03_TKB_LOP'!$B$402:$G$409,"Chào cờ/HĐTN*"),COUNTIF('[1]03_TKB_LOP'!$B$402:$G$409,IF(LEFT(AB$4,5)="NHÓM:","NHÓM:*"&amp;MID(AB$4,8,50)&amp;"*",AB$4&amp;" – *")))</f>
        <v>0</v>
      </c>
    </row>
    <row r="39" spans="1:28" x14ac:dyDescent="0.2">
      <c r="A39" s="5" t="str">
        <f>TRIM(MID('[1]03_TKB_LOP'!$A$412,4,FIND("|",'[1]03_TKB_LOP'!$A$412)-4))</f>
        <v>11A14</v>
      </c>
      <c r="B39" s="6" t="str">
        <f>TRIM(MID('[1]03_TKB_LOP'!$A$412,FIND("GVCN:",'[1]03_TKB_LOP'!$A$412)+5,FIND("|",'[1]03_TKB_LOP'!$A$412,FIND("GVCN:",'[1]03_TKB_LOP'!$A$412))-FIND("GVCN:",'[1]03_TKB_LOP'!$A$412)-5))</f>
        <v>TRẦN THỊ HẰNG</v>
      </c>
      <c r="C39" s="7">
        <f>IF(C$4="HĐTN",COUNTIF('[1]03_TKB_LOP'!$B$414:$G$421,"HĐTN*")+COUNTIF('[1]03_TKB_LOP'!$B$414:$G$421,"Chào cờ/HĐTN*"),COUNTIF('[1]03_TKB_LOP'!$B$414:$G$421,IF(LEFT(C$4,5)="NHÓM:","NHÓM:*"&amp;MID(C$4,8,50)&amp;"*",C$4&amp;" – *")))</f>
        <v>3</v>
      </c>
      <c r="D39" s="7">
        <f>IF(D$4="HĐTN",COUNTIF('[1]03_TKB_LOP'!$B$414:$G$421,"HĐTN*")+COUNTIF('[1]03_TKB_LOP'!$B$414:$G$421,"Chào cờ/HĐTN*"),COUNTIF('[1]03_TKB_LOP'!$B$414:$G$421,IF(LEFT(D$4,5)="NHÓM:","NHÓM:*"&amp;MID(D$4,8,50)&amp;"*",D$4&amp;" – *")))</f>
        <v>3</v>
      </c>
      <c r="E39" s="7">
        <f>IF(E$4="HĐTN",COUNTIF('[1]03_TKB_LOP'!$B$414:$G$421,"HĐTN*")+COUNTIF('[1]03_TKB_LOP'!$B$414:$G$421,"Chào cờ/HĐTN*"),COUNTIF('[1]03_TKB_LOP'!$B$414:$G$421,IF(LEFT(E$4,5)="NHÓM:","NHÓM:*"&amp;MID(E$4,8,50)&amp;"*",E$4&amp;" – *")))</f>
        <v>3</v>
      </c>
      <c r="F39" s="7">
        <f>IF(F$4="HĐTN",COUNTIF('[1]03_TKB_LOP'!$B$414:$G$421,"HĐTN*")+COUNTIF('[1]03_TKB_LOP'!$B$414:$G$421,"Chào cờ/HĐTN*"),COUNTIF('[1]03_TKB_LOP'!$B$414:$G$421,IF(LEFT(F$4,5)="NHÓM:","NHÓM:*"&amp;MID(F$4,8,50)&amp;"*",F$4&amp;" – *")))</f>
        <v>3</v>
      </c>
      <c r="G39" s="7">
        <f>IF(G$4="HĐTN",COUNTIF('[1]03_TKB_LOP'!$B$414:$G$421,"HĐTN*")+COUNTIF('[1]03_TKB_LOP'!$B$414:$G$421,"Chào cờ/HĐTN*"),COUNTIF('[1]03_TKB_LOP'!$B$414:$G$421,IF(LEFT(G$4,5)="NHÓM:","NHÓM:*"&amp;MID(G$4,8,50)&amp;"*",G$4&amp;" – *")))</f>
        <v>0</v>
      </c>
      <c r="H39" s="7">
        <f>IF(H$4="HĐTN",COUNTIF('[1]03_TKB_LOP'!$B$414:$G$421,"HĐTN*")+COUNTIF('[1]03_TKB_LOP'!$B$414:$G$421,"Chào cờ/HĐTN*"),COUNTIF('[1]03_TKB_LOP'!$B$414:$G$421,IF(LEFT(H$4,5)="NHÓM:","NHÓM:*"&amp;MID(H$4,8,50)&amp;"*",H$4&amp;" – *")))</f>
        <v>0</v>
      </c>
      <c r="I39" s="7">
        <f>IF(I$4="HĐTN",COUNTIF('[1]03_TKB_LOP'!$B$414:$G$421,"HĐTN*")+COUNTIF('[1]03_TKB_LOP'!$B$414:$G$421,"Chào cờ/HĐTN*"),COUNTIF('[1]03_TKB_LOP'!$B$414:$G$421,IF(LEFT(I$4,5)="NHÓM:","NHÓM:*"&amp;MID(I$4,8,50)&amp;"*",I$4&amp;" – *")))</f>
        <v>0</v>
      </c>
      <c r="J39" s="7">
        <f>IF(J$4="HĐTN",COUNTIF('[1]03_TKB_LOP'!$B$414:$G$421,"HĐTN*")+COUNTIF('[1]03_TKB_LOP'!$B$414:$G$421,"Chào cờ/HĐTN*"),COUNTIF('[1]03_TKB_LOP'!$B$414:$G$421,IF(LEFT(J$4,5)="NHÓM:","NHÓM:*"&amp;MID(J$4,8,50)&amp;"*",J$4&amp;" – *")))</f>
        <v>1</v>
      </c>
      <c r="K39" s="7">
        <f>IF(K$4="HĐTN",COUNTIF('[1]03_TKB_LOP'!$B$414:$G$421,"HĐTN*")+COUNTIF('[1]03_TKB_LOP'!$B$414:$G$421,"Chào cờ/HĐTN*"),COUNTIF('[1]03_TKB_LOP'!$B$414:$G$421,IF(LEFT(K$4,5)="NHÓM:","NHÓM:*"&amp;MID(K$4,8,50)&amp;"*",K$4&amp;" – *")))</f>
        <v>2</v>
      </c>
      <c r="L39" s="7">
        <f>IF(L$4="HĐTN",COUNTIF('[1]03_TKB_LOP'!$B$414:$G$421,"HĐTN*")+COUNTIF('[1]03_TKB_LOP'!$B$414:$G$421,"Chào cờ/HĐTN*"),COUNTIF('[1]03_TKB_LOP'!$B$414:$G$421,IF(LEFT(L$4,5)="NHÓM:","NHÓM:*"&amp;MID(L$4,8,50)&amp;"*",L$4&amp;" – *")))</f>
        <v>2</v>
      </c>
      <c r="M39" s="7">
        <f>IF(M$4="HĐTN",COUNTIF('[1]03_TKB_LOP'!$B$414:$G$421,"HĐTN*")+COUNTIF('[1]03_TKB_LOP'!$B$414:$G$421,"Chào cờ/HĐTN*"),COUNTIF('[1]03_TKB_LOP'!$B$414:$G$421,IF(LEFT(M$4,5)="NHÓM:","NHÓM:*"&amp;MID(M$4,8,50)&amp;"*",M$4&amp;" – *")))</f>
        <v>2</v>
      </c>
      <c r="N39" s="7">
        <f>IF(N$4="HĐTN",COUNTIF('[1]03_TKB_LOP'!$B$414:$G$421,"HĐTN*")+COUNTIF('[1]03_TKB_LOP'!$B$414:$G$421,"Chào cờ/HĐTN*"),COUNTIF('[1]03_TKB_LOP'!$B$414:$G$421,IF(LEFT(N$4,5)="NHÓM:","NHÓM:*"&amp;MID(N$4,8,50)&amp;"*",N$4&amp;" – *")))</f>
        <v>2</v>
      </c>
      <c r="O39" s="7">
        <f>IF(O$4="HĐTN",COUNTIF('[1]03_TKB_LOP'!$B$414:$G$421,"HĐTN*")+COUNTIF('[1]03_TKB_LOP'!$B$414:$G$421,"Chào cờ/HĐTN*"),COUNTIF('[1]03_TKB_LOP'!$B$414:$G$421,IF(LEFT(O$4,5)="NHÓM:","NHÓM:*"&amp;MID(O$4,8,50)&amp;"*",O$4&amp;" – *")))</f>
        <v>1</v>
      </c>
      <c r="P39" s="7">
        <f>IF(P$4="HĐTN",COUNTIF('[1]03_TKB_LOP'!$B$414:$G$421,"HĐTN*")+COUNTIF('[1]03_TKB_LOP'!$B$414:$G$421,"Chào cờ/HĐTN*"),COUNTIF('[1]03_TKB_LOP'!$B$414:$G$421,IF(LEFT(P$4,5)="NHÓM:","NHÓM:*"&amp;MID(P$4,8,50)&amp;"*",P$4&amp;" – *")))</f>
        <v>1</v>
      </c>
      <c r="Q39" s="7">
        <f>IF(Q$4="HĐTN",COUNTIF('[1]03_TKB_LOP'!$B$414:$G$421,"HĐTN*")+COUNTIF('[1]03_TKB_LOP'!$B$414:$G$421,"Chào cờ/HĐTN*"),COUNTIF('[1]03_TKB_LOP'!$B$414:$G$421,IF(LEFT(Q$4,5)="NHÓM:","NHÓM:*"&amp;MID(Q$4,8,50)&amp;"*",Q$4&amp;" – *")))</f>
        <v>0</v>
      </c>
      <c r="R39" s="7">
        <f>IF(R$4="HĐTN",COUNTIF('[1]03_TKB_LOP'!$B$414:$G$421,"HĐTN*")+COUNTIF('[1]03_TKB_LOP'!$B$414:$G$421,"Chào cờ/HĐTN*"),COUNTIF('[1]03_TKB_LOP'!$B$414:$G$421,IF(LEFT(R$4,5)="NHÓM:","NHÓM:*"&amp;MID(R$4,8,50)&amp;"*",R$4&amp;" – *")))</f>
        <v>1</v>
      </c>
      <c r="S39" s="7">
        <f>IF(S$4="HĐTN",COUNTIF('[1]03_TKB_LOP'!$B$414:$G$421,"HĐTN*")+COUNTIF('[1]03_TKB_LOP'!$B$414:$G$421,"Chào cờ/HĐTN*"),COUNTIF('[1]03_TKB_LOP'!$B$414:$G$421,IF(LEFT(S$4,5)="NHÓM:","NHÓM:*"&amp;MID(S$4,8,50)&amp;"*",S$4&amp;" – *")))</f>
        <v>0</v>
      </c>
      <c r="T39" s="7">
        <f>IF(T$4="HĐTN",COUNTIF('[1]03_TKB_LOP'!$B$414:$G$421,"HĐTN*")+COUNTIF('[1]03_TKB_LOP'!$B$414:$G$421,"Chào cờ/HĐTN*"),COUNTIF('[1]03_TKB_LOP'!$B$414:$G$421,IF(LEFT(T$4,5)="NHÓM:","NHÓM:*"&amp;MID(T$4,8,50)&amp;"*",T$4&amp;" – *")))</f>
        <v>0</v>
      </c>
      <c r="U39" s="7">
        <f>IF(U$4="HĐTN",COUNTIF('[1]03_TKB_LOP'!$B$414:$G$421,"HĐTN*")+COUNTIF('[1]03_TKB_LOP'!$B$414:$G$421,"Chào cờ/HĐTN*"),COUNTIF('[1]03_TKB_LOP'!$B$414:$G$421,IF(LEFT(U$4,5)="NHÓM:","NHÓM:*"&amp;MID(U$4,8,50)&amp;"*",U$4&amp;" – *")))</f>
        <v>0</v>
      </c>
      <c r="V39" s="7">
        <f>IF(V$4="HĐTN",COUNTIF('[1]03_TKB_LOP'!$B$414:$G$421,"HĐTN*")+COUNTIF('[1]03_TKB_LOP'!$B$414:$G$421,"Chào cờ/HĐTN*"),COUNTIF('[1]03_TKB_LOP'!$B$414:$G$421,IF(LEFT(V$4,5)="NHÓM:","NHÓM:*"&amp;MID(V$4,8,50)&amp;"*",V$4&amp;" – *")))</f>
        <v>1</v>
      </c>
      <c r="W39" s="7">
        <f>IF(W$4="HĐTN",COUNTIF('[1]03_TKB_LOP'!$B$414:$G$421,"HĐTN*")+COUNTIF('[1]03_TKB_LOP'!$B$414:$G$421,"Chào cờ/HĐTN*"),COUNTIF('[1]03_TKB_LOP'!$B$414:$G$421,IF(LEFT(W$4,5)="NHÓM:","NHÓM:*"&amp;MID(W$4,8,50)&amp;"*",W$4&amp;" – *")))</f>
        <v>1</v>
      </c>
      <c r="X39" s="7">
        <f>IF(X$4="HĐTN",COUNTIF('[1]03_TKB_LOP'!$B$414:$G$421,"HĐTN*")+COUNTIF('[1]03_TKB_LOP'!$B$414:$G$421,"Chào cờ/HĐTN*"),COUNTIF('[1]03_TKB_LOP'!$B$414:$G$421,IF(LEFT(X$4,5)="NHÓM:","NHÓM:*"&amp;MID(X$4,8,50)&amp;"*",X$4&amp;" – *")))</f>
        <v>4</v>
      </c>
      <c r="Y39" s="7">
        <f>IF(Y$4="HĐTN",COUNTIF('[1]03_TKB_LOP'!$B$414:$G$421,"HĐTN*")+COUNTIF('[1]03_TKB_LOP'!$B$414:$G$421,"Chào cờ/HĐTN*"),COUNTIF('[1]03_TKB_LOP'!$B$414:$G$421,IF(LEFT(Y$4,5)="NHÓM:","NHÓM:*"&amp;MID(Y$4,8,50)&amp;"*",Y$4&amp;" – *")))</f>
        <v>2</v>
      </c>
      <c r="Z39" s="7">
        <f>IF(Z$4="HĐTN",COUNTIF('[1]03_TKB_LOP'!$B$414:$G$421,"HĐTN*")+COUNTIF('[1]03_TKB_LOP'!$B$414:$G$421,"Chào cờ/HĐTN*"),COUNTIF('[1]03_TKB_LOP'!$B$414:$G$421,IF(LEFT(Z$4,5)="NHÓM:","NHÓM:*"&amp;MID(Z$4,8,50)&amp;"*",Z$4&amp;" – *")))</f>
        <v>2</v>
      </c>
      <c r="AA39" s="7">
        <f>IF(AA$4="HĐTN",COUNTIF('[1]03_TKB_LOP'!$B$414:$G$421,"HĐTN*")+COUNTIF('[1]03_TKB_LOP'!$B$414:$G$421,"Chào cờ/HĐTN*"),COUNTIF('[1]03_TKB_LOP'!$B$414:$G$421,IF(LEFT(AA$4,5)="NHÓM:","NHÓM:*"&amp;MID(AA$4,8,50)&amp;"*",AA$4&amp;" – *")))</f>
        <v>2</v>
      </c>
      <c r="AB39" s="7">
        <f>IF(AB$4="HĐTN",COUNTIF('[1]03_TKB_LOP'!$B$414:$G$421,"HĐTN*")+COUNTIF('[1]03_TKB_LOP'!$B$414:$G$421,"Chào cờ/HĐTN*"),COUNTIF('[1]03_TKB_LOP'!$B$414:$G$421,IF(LEFT(AB$4,5)="NHÓM:","NHÓM:*"&amp;MID(AB$4,8,50)&amp;"*",AB$4&amp;" – *")))</f>
        <v>0</v>
      </c>
    </row>
    <row r="40" spans="1:28" x14ac:dyDescent="0.2">
      <c r="A40" s="5" t="str">
        <f>TRIM(MID('[1]03_TKB_LOP'!$A$424,4,FIND("|",'[1]03_TKB_LOP'!$A$424)-4))</f>
        <v>12A1</v>
      </c>
      <c r="B40" s="6" t="str">
        <f>TRIM(MID('[1]03_TKB_LOP'!$A$424,FIND("GVCN:",'[1]03_TKB_LOP'!$A$424)+5,FIND("|",'[1]03_TKB_LOP'!$A$424,FIND("GVCN:",'[1]03_TKB_LOP'!$A$424))-FIND("GVCN:",'[1]03_TKB_LOP'!$A$424)-5))</f>
        <v>TRƯƠNG NGỌC ANH LUÂN</v>
      </c>
      <c r="C40" s="7">
        <f>IF(C$4="HĐTN",COUNTIF('[1]03_TKB_LOP'!$B$426:$G$433,"HĐTN*")+COUNTIF('[1]03_TKB_LOP'!$B$426:$G$433,"Chào cờ/HĐTN*"),COUNTIF('[1]03_TKB_LOP'!$B$426:$G$433,IF(LEFT(C$4,5)="NHÓM:","NHÓM:*"&amp;MID(C$4,8,50)&amp;"*",C$4&amp;" – *")))</f>
        <v>3</v>
      </c>
      <c r="D40" s="7">
        <f>IF(D$4="HĐTN",COUNTIF('[1]03_TKB_LOP'!$B$426:$G$433,"HĐTN*")+COUNTIF('[1]03_TKB_LOP'!$B$426:$G$433,"Chào cờ/HĐTN*"),COUNTIF('[1]03_TKB_LOP'!$B$426:$G$433,IF(LEFT(D$4,5)="NHÓM:","NHÓM:*"&amp;MID(D$4,8,50)&amp;"*",D$4&amp;" – *")))</f>
        <v>5</v>
      </c>
      <c r="E40" s="7">
        <f>IF(E$4="HĐTN",COUNTIF('[1]03_TKB_LOP'!$B$426:$G$433,"HĐTN*")+COUNTIF('[1]03_TKB_LOP'!$B$426:$G$433,"Chào cờ/HĐTN*"),COUNTIF('[1]03_TKB_LOP'!$B$426:$G$433,IF(LEFT(E$4,5)="NHÓM:","NHÓM:*"&amp;MID(E$4,8,50)&amp;"*",E$4&amp;" – *")))</f>
        <v>5</v>
      </c>
      <c r="F40" s="7">
        <f>IF(F$4="HĐTN",COUNTIF('[1]03_TKB_LOP'!$B$426:$G$433,"HĐTN*")+COUNTIF('[1]03_TKB_LOP'!$B$426:$G$433,"Chào cờ/HĐTN*"),COUNTIF('[1]03_TKB_LOP'!$B$426:$G$433,IF(LEFT(F$4,5)="NHÓM:","NHÓM:*"&amp;MID(F$4,8,50)&amp;"*",F$4&amp;" – *")))</f>
        <v>3</v>
      </c>
      <c r="G40" s="7">
        <f>IF(G$4="HĐTN",COUNTIF('[1]03_TKB_LOP'!$B$426:$G$433,"HĐTN*")+COUNTIF('[1]03_TKB_LOP'!$B$426:$G$433,"Chào cờ/HĐTN*"),COUNTIF('[1]03_TKB_LOP'!$B$426:$G$433,IF(LEFT(G$4,5)="NHÓM:","NHÓM:*"&amp;MID(G$4,8,50)&amp;"*",G$4&amp;" – *")))</f>
        <v>2</v>
      </c>
      <c r="H40" s="7">
        <f>IF(H$4="HĐTN",COUNTIF('[1]03_TKB_LOP'!$B$426:$G$433,"HĐTN*")+COUNTIF('[1]03_TKB_LOP'!$B$426:$G$433,"Chào cờ/HĐTN*"),COUNTIF('[1]03_TKB_LOP'!$B$426:$G$433,IF(LEFT(H$4,5)="NHÓM:","NHÓM:*"&amp;MID(H$4,8,50)&amp;"*",H$4&amp;" – *")))</f>
        <v>2</v>
      </c>
      <c r="I40" s="7">
        <f>IF(I$4="HĐTN",COUNTIF('[1]03_TKB_LOP'!$B$426:$G$433,"HĐTN*")+COUNTIF('[1]03_TKB_LOP'!$B$426:$G$433,"Chào cờ/HĐTN*"),COUNTIF('[1]03_TKB_LOP'!$B$426:$G$433,IF(LEFT(I$4,5)="NHÓM:","NHÓM:*"&amp;MID(I$4,8,50)&amp;"*",I$4&amp;" – *")))</f>
        <v>2</v>
      </c>
      <c r="J40" s="7">
        <f>IF(J$4="HĐTN",COUNTIF('[1]03_TKB_LOP'!$B$426:$G$433,"HĐTN*")+COUNTIF('[1]03_TKB_LOP'!$B$426:$G$433,"Chào cờ/HĐTN*"),COUNTIF('[1]03_TKB_LOP'!$B$426:$G$433,IF(LEFT(J$4,5)="NHÓM:","NHÓM:*"&amp;MID(J$4,8,50)&amp;"*",J$4&amp;" – *")))</f>
        <v>2</v>
      </c>
      <c r="K40" s="7">
        <f>IF(K$4="HĐTN",COUNTIF('[1]03_TKB_LOP'!$B$426:$G$433,"HĐTN*")+COUNTIF('[1]03_TKB_LOP'!$B$426:$G$433,"Chào cờ/HĐTN*"),COUNTIF('[1]03_TKB_LOP'!$B$426:$G$433,IF(LEFT(K$4,5)="NHÓM:","NHÓM:*"&amp;MID(K$4,8,50)&amp;"*",K$4&amp;" – *")))</f>
        <v>0</v>
      </c>
      <c r="L40" s="7">
        <f>IF(L$4="HĐTN",COUNTIF('[1]03_TKB_LOP'!$B$426:$G$433,"HĐTN*")+COUNTIF('[1]03_TKB_LOP'!$B$426:$G$433,"Chào cờ/HĐTN*"),COUNTIF('[1]03_TKB_LOP'!$B$426:$G$433,IF(LEFT(L$4,5)="NHÓM:","NHÓM:*"&amp;MID(L$4,8,50)&amp;"*",L$4&amp;" – *")))</f>
        <v>2</v>
      </c>
      <c r="M40" s="7">
        <f>IF(M$4="HĐTN",COUNTIF('[1]03_TKB_LOP'!$B$426:$G$433,"HĐTN*")+COUNTIF('[1]03_TKB_LOP'!$B$426:$G$433,"Chào cờ/HĐTN*"),COUNTIF('[1]03_TKB_LOP'!$B$426:$G$433,IF(LEFT(M$4,5)="NHÓM:","NHÓM:*"&amp;MID(M$4,8,50)&amp;"*",M$4&amp;" – *")))</f>
        <v>0</v>
      </c>
      <c r="N40" s="7">
        <f>IF(N$4="HĐTN",COUNTIF('[1]03_TKB_LOP'!$B$426:$G$433,"HĐTN*")+COUNTIF('[1]03_TKB_LOP'!$B$426:$G$433,"Chào cờ/HĐTN*"),COUNTIF('[1]03_TKB_LOP'!$B$426:$G$433,IF(LEFT(N$4,5)="NHÓM:","NHÓM:*"&amp;MID(N$4,8,50)&amp;"*",N$4&amp;" – *")))</f>
        <v>0</v>
      </c>
      <c r="O40" s="7">
        <f>IF(O$4="HĐTN",COUNTIF('[1]03_TKB_LOP'!$B$426:$G$433,"HĐTN*")+COUNTIF('[1]03_TKB_LOP'!$B$426:$G$433,"Chào cờ/HĐTN*"),COUNTIF('[1]03_TKB_LOP'!$B$426:$G$433,IF(LEFT(O$4,5)="NHÓM:","NHÓM:*"&amp;MID(O$4,8,50)&amp;"*",O$4&amp;" – *")))</f>
        <v>1</v>
      </c>
      <c r="P40" s="7">
        <f>IF(P$4="HĐTN",COUNTIF('[1]03_TKB_LOP'!$B$426:$G$433,"HĐTN*")+COUNTIF('[1]03_TKB_LOP'!$B$426:$G$433,"Chào cờ/HĐTN*"),COUNTIF('[1]03_TKB_LOP'!$B$426:$G$433,IF(LEFT(P$4,5)="NHÓM:","NHÓM:*"&amp;MID(P$4,8,50)&amp;"*",P$4&amp;" – *")))</f>
        <v>1</v>
      </c>
      <c r="Q40" s="7">
        <f>IF(Q$4="HĐTN",COUNTIF('[1]03_TKB_LOP'!$B$426:$G$433,"HĐTN*")+COUNTIF('[1]03_TKB_LOP'!$B$426:$G$433,"Chào cờ/HĐTN*"),COUNTIF('[1]03_TKB_LOP'!$B$426:$G$433,IF(LEFT(Q$4,5)="NHÓM:","NHÓM:*"&amp;MID(Q$4,8,50)&amp;"*",Q$4&amp;" – *")))</f>
        <v>1</v>
      </c>
      <c r="R40" s="7">
        <f>IF(R$4="HĐTN",COUNTIF('[1]03_TKB_LOP'!$B$426:$G$433,"HĐTN*")+COUNTIF('[1]03_TKB_LOP'!$B$426:$G$433,"Chào cờ/HĐTN*"),COUNTIF('[1]03_TKB_LOP'!$B$426:$G$433,IF(LEFT(R$4,5)="NHÓM:","NHÓM:*"&amp;MID(R$4,8,50)&amp;"*",R$4&amp;" – *")))</f>
        <v>0</v>
      </c>
      <c r="S40" s="7">
        <f>IF(S$4="HĐTN",COUNTIF('[1]03_TKB_LOP'!$B$426:$G$433,"HĐTN*")+COUNTIF('[1]03_TKB_LOP'!$B$426:$G$433,"Chào cờ/HĐTN*"),COUNTIF('[1]03_TKB_LOP'!$B$426:$G$433,IF(LEFT(S$4,5)="NHÓM:","NHÓM:*"&amp;MID(S$4,8,50)&amp;"*",S$4&amp;" – *")))</f>
        <v>1</v>
      </c>
      <c r="T40" s="7">
        <f>IF(T$4="HĐTN",COUNTIF('[1]03_TKB_LOP'!$B$426:$G$433,"HĐTN*")+COUNTIF('[1]03_TKB_LOP'!$B$426:$G$433,"Chào cờ/HĐTN*"),COUNTIF('[1]03_TKB_LOP'!$B$426:$G$433,IF(LEFT(T$4,5)="NHÓM:","NHÓM:*"&amp;MID(T$4,8,50)&amp;"*",T$4&amp;" – *")))</f>
        <v>1</v>
      </c>
      <c r="U40" s="7">
        <f>IF(U$4="HĐTN",COUNTIF('[1]03_TKB_LOP'!$B$426:$G$433,"HĐTN*")+COUNTIF('[1]03_TKB_LOP'!$B$426:$G$433,"Chào cờ/HĐTN*"),COUNTIF('[1]03_TKB_LOP'!$B$426:$G$433,IF(LEFT(U$4,5)="NHÓM:","NHÓM:*"&amp;MID(U$4,8,50)&amp;"*",U$4&amp;" – *")))</f>
        <v>0</v>
      </c>
      <c r="V40" s="7">
        <f>IF(V$4="HĐTN",COUNTIF('[1]03_TKB_LOP'!$B$426:$G$433,"HĐTN*")+COUNTIF('[1]03_TKB_LOP'!$B$426:$G$433,"Chào cờ/HĐTN*"),COUNTIF('[1]03_TKB_LOP'!$B$426:$G$433,IF(LEFT(V$4,5)="NHÓM:","NHÓM:*"&amp;MID(V$4,8,50)&amp;"*",V$4&amp;" – *")))</f>
        <v>0</v>
      </c>
      <c r="W40" s="7">
        <f>IF(W$4="HĐTN",COUNTIF('[1]03_TKB_LOP'!$B$426:$G$433,"HĐTN*")+COUNTIF('[1]03_TKB_LOP'!$B$426:$G$433,"Chào cờ/HĐTN*"),COUNTIF('[1]03_TKB_LOP'!$B$426:$G$433,IF(LEFT(W$4,5)="NHÓM:","NHÓM:*"&amp;MID(W$4,8,50)&amp;"*",W$4&amp;" – *")))</f>
        <v>0</v>
      </c>
      <c r="X40" s="7">
        <f>IF(X$4="HĐTN",COUNTIF('[1]03_TKB_LOP'!$B$426:$G$433,"HĐTN*")+COUNTIF('[1]03_TKB_LOP'!$B$426:$G$433,"Chào cờ/HĐTN*"),COUNTIF('[1]03_TKB_LOP'!$B$426:$G$433,IF(LEFT(X$4,5)="NHÓM:","NHÓM:*"&amp;MID(X$4,8,50)&amp;"*",X$4&amp;" – *")))</f>
        <v>8</v>
      </c>
      <c r="Y40" s="7">
        <f>IF(Y$4="HĐTN",COUNTIF('[1]03_TKB_LOP'!$B$426:$G$433,"HĐTN*")+COUNTIF('[1]03_TKB_LOP'!$B$426:$G$433,"Chào cờ/HĐTN*"),COUNTIF('[1]03_TKB_LOP'!$B$426:$G$433,IF(LEFT(Y$4,5)="NHÓM:","NHÓM:*"&amp;MID(Y$4,8,50)&amp;"*",Y$4&amp;" – *")))</f>
        <v>0</v>
      </c>
      <c r="Z40" s="7">
        <f>IF(Z$4="HĐTN",COUNTIF('[1]03_TKB_LOP'!$B$426:$G$433,"HĐTN*")+COUNTIF('[1]03_TKB_LOP'!$B$426:$G$433,"Chào cờ/HĐTN*"),COUNTIF('[1]03_TKB_LOP'!$B$426:$G$433,IF(LEFT(Z$4,5)="NHÓM:","NHÓM:*"&amp;MID(Z$4,8,50)&amp;"*",Z$4&amp;" – *")))</f>
        <v>0</v>
      </c>
      <c r="AA40" s="7">
        <f>IF(AA$4="HĐTN",COUNTIF('[1]03_TKB_LOP'!$B$426:$G$433,"HĐTN*")+COUNTIF('[1]03_TKB_LOP'!$B$426:$G$433,"Chào cờ/HĐTN*"),COUNTIF('[1]03_TKB_LOP'!$B$426:$G$433,IF(LEFT(AA$4,5)="NHÓM:","NHÓM:*"&amp;MID(AA$4,8,50)&amp;"*",AA$4&amp;" – *")))</f>
        <v>0</v>
      </c>
      <c r="AB40" s="7">
        <f>IF(AB$4="HĐTN",COUNTIF('[1]03_TKB_LOP'!$B$426:$G$433,"HĐTN*")+COUNTIF('[1]03_TKB_LOP'!$B$426:$G$433,"Chào cờ/HĐTN*"),COUNTIF('[1]03_TKB_LOP'!$B$426:$G$433,IF(LEFT(AB$4,5)="NHÓM:","NHÓM:*"&amp;MID(AB$4,8,50)&amp;"*",AB$4&amp;" – *")))</f>
        <v>8</v>
      </c>
    </row>
    <row r="41" spans="1:28" x14ac:dyDescent="0.2">
      <c r="A41" s="5" t="str">
        <f>TRIM(MID('[1]03_TKB_LOP'!$A$436,4,FIND("|",'[1]03_TKB_LOP'!$A$436)-4))</f>
        <v>12A2</v>
      </c>
      <c r="B41" s="6" t="str">
        <f>TRIM(MID('[1]03_TKB_LOP'!$A$436,FIND("GVCN:",'[1]03_TKB_LOP'!$A$436)+5,FIND("|",'[1]03_TKB_LOP'!$A$436,FIND("GVCN:",'[1]03_TKB_LOP'!$A$436))-FIND("GVCN:",'[1]03_TKB_LOP'!$A$436)-5))</f>
        <v>TRẦN PHƯƠNG NHƯ</v>
      </c>
      <c r="C41" s="7">
        <f>IF(C$4="HĐTN",COUNTIF('[1]03_TKB_LOP'!$B$438:$G$445,"HĐTN*")+COUNTIF('[1]03_TKB_LOP'!$B$438:$G$445,"Chào cờ/HĐTN*"),COUNTIF('[1]03_TKB_LOP'!$B$438:$G$445,IF(LEFT(C$4,5)="NHÓM:","NHÓM:*"&amp;MID(C$4,8,50)&amp;"*",C$4&amp;" – *")))</f>
        <v>3</v>
      </c>
      <c r="D41" s="7">
        <f>IF(D$4="HĐTN",COUNTIF('[1]03_TKB_LOP'!$B$438:$G$445,"HĐTN*")+COUNTIF('[1]03_TKB_LOP'!$B$438:$G$445,"Chào cờ/HĐTN*"),COUNTIF('[1]03_TKB_LOP'!$B$438:$G$445,IF(LEFT(D$4,5)="NHÓM:","NHÓM:*"&amp;MID(D$4,8,50)&amp;"*",D$4&amp;" – *")))</f>
        <v>5</v>
      </c>
      <c r="E41" s="7">
        <f>IF(E$4="HĐTN",COUNTIF('[1]03_TKB_LOP'!$B$438:$G$445,"HĐTN*")+COUNTIF('[1]03_TKB_LOP'!$B$438:$G$445,"Chào cờ/HĐTN*"),COUNTIF('[1]03_TKB_LOP'!$B$438:$G$445,IF(LEFT(E$4,5)="NHÓM:","NHÓM:*"&amp;MID(E$4,8,50)&amp;"*",E$4&amp;" – *")))</f>
        <v>5</v>
      </c>
      <c r="F41" s="7">
        <f>IF(F$4="HĐTN",COUNTIF('[1]03_TKB_LOP'!$B$438:$G$445,"HĐTN*")+COUNTIF('[1]03_TKB_LOP'!$B$438:$G$445,"Chào cờ/HĐTN*"),COUNTIF('[1]03_TKB_LOP'!$B$438:$G$445,IF(LEFT(F$4,5)="NHÓM:","NHÓM:*"&amp;MID(F$4,8,50)&amp;"*",F$4&amp;" – *")))</f>
        <v>3</v>
      </c>
      <c r="G41" s="7">
        <f>IF(G$4="HĐTN",COUNTIF('[1]03_TKB_LOP'!$B$438:$G$445,"HĐTN*")+COUNTIF('[1]03_TKB_LOP'!$B$438:$G$445,"Chào cờ/HĐTN*"),COUNTIF('[1]03_TKB_LOP'!$B$438:$G$445,IF(LEFT(G$4,5)="NHÓM:","NHÓM:*"&amp;MID(G$4,8,50)&amp;"*",G$4&amp;" – *")))</f>
        <v>2</v>
      </c>
      <c r="H41" s="7">
        <f>IF(H$4="HĐTN",COUNTIF('[1]03_TKB_LOP'!$B$438:$G$445,"HĐTN*")+COUNTIF('[1]03_TKB_LOP'!$B$438:$G$445,"Chào cờ/HĐTN*"),COUNTIF('[1]03_TKB_LOP'!$B$438:$G$445,IF(LEFT(H$4,5)="NHÓM:","NHÓM:*"&amp;MID(H$4,8,50)&amp;"*",H$4&amp;" – *")))</f>
        <v>2</v>
      </c>
      <c r="I41" s="7">
        <f>IF(I$4="HĐTN",COUNTIF('[1]03_TKB_LOP'!$B$438:$G$445,"HĐTN*")+COUNTIF('[1]03_TKB_LOP'!$B$438:$G$445,"Chào cờ/HĐTN*"),COUNTIF('[1]03_TKB_LOP'!$B$438:$G$445,IF(LEFT(I$4,5)="NHÓM:","NHÓM:*"&amp;MID(I$4,8,50)&amp;"*",I$4&amp;" – *")))</f>
        <v>2</v>
      </c>
      <c r="J41" s="7">
        <f>IF(J$4="HĐTN",COUNTIF('[1]03_TKB_LOP'!$B$438:$G$445,"HĐTN*")+COUNTIF('[1]03_TKB_LOP'!$B$438:$G$445,"Chào cờ/HĐTN*"),COUNTIF('[1]03_TKB_LOP'!$B$438:$G$445,IF(LEFT(J$4,5)="NHÓM:","NHÓM:*"&amp;MID(J$4,8,50)&amp;"*",J$4&amp;" – *")))</f>
        <v>2</v>
      </c>
      <c r="K41" s="7">
        <f>IF(K$4="HĐTN",COUNTIF('[1]03_TKB_LOP'!$B$438:$G$445,"HĐTN*")+COUNTIF('[1]03_TKB_LOP'!$B$438:$G$445,"Chào cờ/HĐTN*"),COUNTIF('[1]03_TKB_LOP'!$B$438:$G$445,IF(LEFT(K$4,5)="NHÓM:","NHÓM:*"&amp;MID(K$4,8,50)&amp;"*",K$4&amp;" – *")))</f>
        <v>0</v>
      </c>
      <c r="L41" s="7">
        <f>IF(L$4="HĐTN",COUNTIF('[1]03_TKB_LOP'!$B$438:$G$445,"HĐTN*")+COUNTIF('[1]03_TKB_LOP'!$B$438:$G$445,"Chào cờ/HĐTN*"),COUNTIF('[1]03_TKB_LOP'!$B$438:$G$445,IF(LEFT(L$4,5)="NHÓM:","NHÓM:*"&amp;MID(L$4,8,50)&amp;"*",L$4&amp;" – *")))</f>
        <v>0</v>
      </c>
      <c r="M41" s="7">
        <f>IF(M$4="HĐTN",COUNTIF('[1]03_TKB_LOP'!$B$438:$G$445,"HĐTN*")+COUNTIF('[1]03_TKB_LOP'!$B$438:$G$445,"Chào cờ/HĐTN*"),COUNTIF('[1]03_TKB_LOP'!$B$438:$G$445,IF(LEFT(M$4,5)="NHÓM:","NHÓM:*"&amp;MID(M$4,8,50)&amp;"*",M$4&amp;" – *")))</f>
        <v>2</v>
      </c>
      <c r="N41" s="7">
        <f>IF(N$4="HĐTN",COUNTIF('[1]03_TKB_LOP'!$B$438:$G$445,"HĐTN*")+COUNTIF('[1]03_TKB_LOP'!$B$438:$G$445,"Chào cờ/HĐTN*"),COUNTIF('[1]03_TKB_LOP'!$B$438:$G$445,IF(LEFT(N$4,5)="NHÓM:","NHÓM:*"&amp;MID(N$4,8,50)&amp;"*",N$4&amp;" – *")))</f>
        <v>0</v>
      </c>
      <c r="O41" s="7">
        <f>IF(O$4="HĐTN",COUNTIF('[1]03_TKB_LOP'!$B$438:$G$445,"HĐTN*")+COUNTIF('[1]03_TKB_LOP'!$B$438:$G$445,"Chào cờ/HĐTN*"),COUNTIF('[1]03_TKB_LOP'!$B$438:$G$445,IF(LEFT(O$4,5)="NHÓM:","NHÓM:*"&amp;MID(O$4,8,50)&amp;"*",O$4&amp;" – *")))</f>
        <v>1</v>
      </c>
      <c r="P41" s="7">
        <f>IF(P$4="HĐTN",COUNTIF('[1]03_TKB_LOP'!$B$438:$G$445,"HĐTN*")+COUNTIF('[1]03_TKB_LOP'!$B$438:$G$445,"Chào cờ/HĐTN*"),COUNTIF('[1]03_TKB_LOP'!$B$438:$G$445,IF(LEFT(P$4,5)="NHÓM:","NHÓM:*"&amp;MID(P$4,8,50)&amp;"*",P$4&amp;" – *")))</f>
        <v>1</v>
      </c>
      <c r="Q41" s="7">
        <f>IF(Q$4="HĐTN",COUNTIF('[1]03_TKB_LOP'!$B$438:$G$445,"HĐTN*")+COUNTIF('[1]03_TKB_LOP'!$B$438:$G$445,"Chào cờ/HĐTN*"),COUNTIF('[1]03_TKB_LOP'!$B$438:$G$445,IF(LEFT(Q$4,5)="NHÓM:","NHÓM:*"&amp;MID(Q$4,8,50)&amp;"*",Q$4&amp;" – *")))</f>
        <v>1</v>
      </c>
      <c r="R41" s="7">
        <f>IF(R$4="HĐTN",COUNTIF('[1]03_TKB_LOP'!$B$438:$G$445,"HĐTN*")+COUNTIF('[1]03_TKB_LOP'!$B$438:$G$445,"Chào cờ/HĐTN*"),COUNTIF('[1]03_TKB_LOP'!$B$438:$G$445,IF(LEFT(R$4,5)="NHÓM:","NHÓM:*"&amp;MID(R$4,8,50)&amp;"*",R$4&amp;" – *")))</f>
        <v>0</v>
      </c>
      <c r="S41" s="7">
        <f>IF(S$4="HĐTN",COUNTIF('[1]03_TKB_LOP'!$B$438:$G$445,"HĐTN*")+COUNTIF('[1]03_TKB_LOP'!$B$438:$G$445,"Chào cờ/HĐTN*"),COUNTIF('[1]03_TKB_LOP'!$B$438:$G$445,IF(LEFT(S$4,5)="NHÓM:","NHÓM:*"&amp;MID(S$4,8,50)&amp;"*",S$4&amp;" – *")))</f>
        <v>1</v>
      </c>
      <c r="T41" s="7">
        <f>IF(T$4="HĐTN",COUNTIF('[1]03_TKB_LOP'!$B$438:$G$445,"HĐTN*")+COUNTIF('[1]03_TKB_LOP'!$B$438:$G$445,"Chào cờ/HĐTN*"),COUNTIF('[1]03_TKB_LOP'!$B$438:$G$445,IF(LEFT(T$4,5)="NHÓM:","NHÓM:*"&amp;MID(T$4,8,50)&amp;"*",T$4&amp;" – *")))</f>
        <v>1</v>
      </c>
      <c r="U41" s="7">
        <f>IF(U$4="HĐTN",COUNTIF('[1]03_TKB_LOP'!$B$438:$G$445,"HĐTN*")+COUNTIF('[1]03_TKB_LOP'!$B$438:$G$445,"Chào cờ/HĐTN*"),COUNTIF('[1]03_TKB_LOP'!$B$438:$G$445,IF(LEFT(U$4,5)="NHÓM:","NHÓM:*"&amp;MID(U$4,8,50)&amp;"*",U$4&amp;" – *")))</f>
        <v>0</v>
      </c>
      <c r="V41" s="7">
        <f>IF(V$4="HĐTN",COUNTIF('[1]03_TKB_LOP'!$B$438:$G$445,"HĐTN*")+COUNTIF('[1]03_TKB_LOP'!$B$438:$G$445,"Chào cờ/HĐTN*"),COUNTIF('[1]03_TKB_LOP'!$B$438:$G$445,IF(LEFT(V$4,5)="NHÓM:","NHÓM:*"&amp;MID(V$4,8,50)&amp;"*",V$4&amp;" – *")))</f>
        <v>0</v>
      </c>
      <c r="W41" s="7">
        <f>IF(W$4="HĐTN",COUNTIF('[1]03_TKB_LOP'!$B$438:$G$445,"HĐTN*")+COUNTIF('[1]03_TKB_LOP'!$B$438:$G$445,"Chào cờ/HĐTN*"),COUNTIF('[1]03_TKB_LOP'!$B$438:$G$445,IF(LEFT(W$4,5)="NHÓM:","NHÓM:*"&amp;MID(W$4,8,50)&amp;"*",W$4&amp;" – *")))</f>
        <v>0</v>
      </c>
      <c r="X41" s="7">
        <f>IF(X$4="HĐTN",COUNTIF('[1]03_TKB_LOP'!$B$438:$G$445,"HĐTN*")+COUNTIF('[1]03_TKB_LOP'!$B$438:$G$445,"Chào cờ/HĐTN*"),COUNTIF('[1]03_TKB_LOP'!$B$438:$G$445,IF(LEFT(X$4,5)="NHÓM:","NHÓM:*"&amp;MID(X$4,8,50)&amp;"*",X$4&amp;" – *")))</f>
        <v>8</v>
      </c>
      <c r="Y41" s="7">
        <f>IF(Y$4="HĐTN",COUNTIF('[1]03_TKB_LOP'!$B$438:$G$445,"HĐTN*")+COUNTIF('[1]03_TKB_LOP'!$B$438:$G$445,"Chào cờ/HĐTN*"),COUNTIF('[1]03_TKB_LOP'!$B$438:$G$445,IF(LEFT(Y$4,5)="NHÓM:","NHÓM:*"&amp;MID(Y$4,8,50)&amp;"*",Y$4&amp;" – *")))</f>
        <v>4</v>
      </c>
      <c r="Z41" s="7">
        <f>IF(Z$4="HĐTN",COUNTIF('[1]03_TKB_LOP'!$B$438:$G$445,"HĐTN*")+COUNTIF('[1]03_TKB_LOP'!$B$438:$G$445,"Chào cờ/HĐTN*"),COUNTIF('[1]03_TKB_LOP'!$B$438:$G$445,IF(LEFT(Z$4,5)="NHÓM:","NHÓM:*"&amp;MID(Z$4,8,50)&amp;"*",Z$4&amp;" – *")))</f>
        <v>0</v>
      </c>
      <c r="AA41" s="7">
        <f>IF(AA$4="HĐTN",COUNTIF('[1]03_TKB_LOP'!$B$438:$G$445,"HĐTN*")+COUNTIF('[1]03_TKB_LOP'!$B$438:$G$445,"Chào cờ/HĐTN*"),COUNTIF('[1]03_TKB_LOP'!$B$438:$G$445,IF(LEFT(AA$4,5)="NHÓM:","NHÓM:*"&amp;MID(AA$4,8,50)&amp;"*",AA$4&amp;" – *")))</f>
        <v>0</v>
      </c>
      <c r="AB41" s="7">
        <f>IF(AB$4="HĐTN",COUNTIF('[1]03_TKB_LOP'!$B$438:$G$445,"HĐTN*")+COUNTIF('[1]03_TKB_LOP'!$B$438:$G$445,"Chào cờ/HĐTN*"),COUNTIF('[1]03_TKB_LOP'!$B$438:$G$445,IF(LEFT(AB$4,5)="NHÓM:","NHÓM:*"&amp;MID(AB$4,8,50)&amp;"*",AB$4&amp;" – *")))</f>
        <v>8</v>
      </c>
    </row>
    <row r="42" spans="1:28" x14ac:dyDescent="0.2">
      <c r="A42" s="5" t="str">
        <f>TRIM(MID('[1]03_TKB_LOP'!$A$448,4,FIND("|",'[1]03_TKB_LOP'!$A$448)-4))</f>
        <v>12A3</v>
      </c>
      <c r="B42" s="6" t="str">
        <f>TRIM(MID('[1]03_TKB_LOP'!$A$448,FIND("GVCN:",'[1]03_TKB_LOP'!$A$448)+5,FIND("|",'[1]03_TKB_LOP'!$A$448,FIND("GVCN:",'[1]03_TKB_LOP'!$A$448))-FIND("GVCN:",'[1]03_TKB_LOP'!$A$448)-5))</f>
        <v>TRƯƠNG THÚC QUẢNG</v>
      </c>
      <c r="C42" s="7">
        <f>IF(C$4="HĐTN",COUNTIF('[1]03_TKB_LOP'!$B$450:$G$457,"HĐTN*")+COUNTIF('[1]03_TKB_LOP'!$B$450:$G$457,"Chào cờ/HĐTN*"),COUNTIF('[1]03_TKB_LOP'!$B$450:$G$457,IF(LEFT(C$4,5)="NHÓM:","NHÓM:*"&amp;MID(C$4,8,50)&amp;"*",C$4&amp;" – *")))</f>
        <v>3</v>
      </c>
      <c r="D42" s="7">
        <f>IF(D$4="HĐTN",COUNTIF('[1]03_TKB_LOP'!$B$450:$G$457,"HĐTN*")+COUNTIF('[1]03_TKB_LOP'!$B$450:$G$457,"Chào cờ/HĐTN*"),COUNTIF('[1]03_TKB_LOP'!$B$450:$G$457,IF(LEFT(D$4,5)="NHÓM:","NHÓM:*"&amp;MID(D$4,8,50)&amp;"*",D$4&amp;" – *")))</f>
        <v>5</v>
      </c>
      <c r="E42" s="7">
        <f>IF(E$4="HĐTN",COUNTIF('[1]03_TKB_LOP'!$B$450:$G$457,"HĐTN*")+COUNTIF('[1]03_TKB_LOP'!$B$450:$G$457,"Chào cờ/HĐTN*"),COUNTIF('[1]03_TKB_LOP'!$B$450:$G$457,IF(LEFT(E$4,5)="NHÓM:","NHÓM:*"&amp;MID(E$4,8,50)&amp;"*",E$4&amp;" – *")))</f>
        <v>5</v>
      </c>
      <c r="F42" s="7">
        <f>IF(F$4="HĐTN",COUNTIF('[1]03_TKB_LOP'!$B$450:$G$457,"HĐTN*")+COUNTIF('[1]03_TKB_LOP'!$B$450:$G$457,"Chào cờ/HĐTN*"),COUNTIF('[1]03_TKB_LOP'!$B$450:$G$457,IF(LEFT(F$4,5)="NHÓM:","NHÓM:*"&amp;MID(F$4,8,50)&amp;"*",F$4&amp;" – *")))</f>
        <v>3</v>
      </c>
      <c r="G42" s="7">
        <f>IF(G$4="HĐTN",COUNTIF('[1]03_TKB_LOP'!$B$450:$G$457,"HĐTN*")+COUNTIF('[1]03_TKB_LOP'!$B$450:$G$457,"Chào cờ/HĐTN*"),COUNTIF('[1]03_TKB_LOP'!$B$450:$G$457,IF(LEFT(G$4,5)="NHÓM:","NHÓM:*"&amp;MID(G$4,8,50)&amp;"*",G$4&amp;" – *")))</f>
        <v>2</v>
      </c>
      <c r="H42" s="7">
        <f>IF(H$4="HĐTN",COUNTIF('[1]03_TKB_LOP'!$B$450:$G$457,"HĐTN*")+COUNTIF('[1]03_TKB_LOP'!$B$450:$G$457,"Chào cờ/HĐTN*"),COUNTIF('[1]03_TKB_LOP'!$B$450:$G$457,IF(LEFT(H$4,5)="NHÓM:","NHÓM:*"&amp;MID(H$4,8,50)&amp;"*",H$4&amp;" – *")))</f>
        <v>2</v>
      </c>
      <c r="I42" s="7">
        <f>IF(I$4="HĐTN",COUNTIF('[1]03_TKB_LOP'!$B$450:$G$457,"HĐTN*")+COUNTIF('[1]03_TKB_LOP'!$B$450:$G$457,"Chào cờ/HĐTN*"),COUNTIF('[1]03_TKB_LOP'!$B$450:$G$457,IF(LEFT(I$4,5)="NHÓM:","NHÓM:*"&amp;MID(I$4,8,50)&amp;"*",I$4&amp;" – *")))</f>
        <v>0</v>
      </c>
      <c r="J42" s="7">
        <f>IF(J$4="HĐTN",COUNTIF('[1]03_TKB_LOP'!$B$450:$G$457,"HĐTN*")+COUNTIF('[1]03_TKB_LOP'!$B$450:$G$457,"Chào cờ/HĐTN*"),COUNTIF('[1]03_TKB_LOP'!$B$450:$G$457,IF(LEFT(J$4,5)="NHÓM:","NHÓM:*"&amp;MID(J$4,8,50)&amp;"*",J$4&amp;" – *")))</f>
        <v>2</v>
      </c>
      <c r="K42" s="7">
        <f>IF(K$4="HĐTN",COUNTIF('[1]03_TKB_LOP'!$B$450:$G$457,"HĐTN*")+COUNTIF('[1]03_TKB_LOP'!$B$450:$G$457,"Chào cờ/HĐTN*"),COUNTIF('[1]03_TKB_LOP'!$B$450:$G$457,IF(LEFT(K$4,5)="NHÓM:","NHÓM:*"&amp;MID(K$4,8,50)&amp;"*",K$4&amp;" – *")))</f>
        <v>0</v>
      </c>
      <c r="L42" s="7">
        <f>IF(L$4="HĐTN",COUNTIF('[1]03_TKB_LOP'!$B$450:$G$457,"HĐTN*")+COUNTIF('[1]03_TKB_LOP'!$B$450:$G$457,"Chào cờ/HĐTN*"),COUNTIF('[1]03_TKB_LOP'!$B$450:$G$457,IF(LEFT(L$4,5)="NHÓM:","NHÓM:*"&amp;MID(L$4,8,50)&amp;"*",L$4&amp;" – *")))</f>
        <v>0</v>
      </c>
      <c r="M42" s="7">
        <f>IF(M$4="HĐTN",COUNTIF('[1]03_TKB_LOP'!$B$450:$G$457,"HĐTN*")+COUNTIF('[1]03_TKB_LOP'!$B$450:$G$457,"Chào cờ/HĐTN*"),COUNTIF('[1]03_TKB_LOP'!$B$450:$G$457,IF(LEFT(M$4,5)="NHÓM:","NHÓM:*"&amp;MID(M$4,8,50)&amp;"*",M$4&amp;" – *")))</f>
        <v>2</v>
      </c>
      <c r="N42" s="7">
        <f>IF(N$4="HĐTN",COUNTIF('[1]03_TKB_LOP'!$B$450:$G$457,"HĐTN*")+COUNTIF('[1]03_TKB_LOP'!$B$450:$G$457,"Chào cờ/HĐTN*"),COUNTIF('[1]03_TKB_LOP'!$B$450:$G$457,IF(LEFT(N$4,5)="NHÓM:","NHÓM:*"&amp;MID(N$4,8,50)&amp;"*",N$4&amp;" – *")))</f>
        <v>2</v>
      </c>
      <c r="O42" s="7">
        <f>IF(O$4="HĐTN",COUNTIF('[1]03_TKB_LOP'!$B$450:$G$457,"HĐTN*")+COUNTIF('[1]03_TKB_LOP'!$B$450:$G$457,"Chào cờ/HĐTN*"),COUNTIF('[1]03_TKB_LOP'!$B$450:$G$457,IF(LEFT(O$4,5)="NHÓM:","NHÓM:*"&amp;MID(O$4,8,50)&amp;"*",O$4&amp;" – *")))</f>
        <v>1</v>
      </c>
      <c r="P42" s="7">
        <f>IF(P$4="HĐTN",COUNTIF('[1]03_TKB_LOP'!$B$450:$G$457,"HĐTN*")+COUNTIF('[1]03_TKB_LOP'!$B$450:$G$457,"Chào cờ/HĐTN*"),COUNTIF('[1]03_TKB_LOP'!$B$450:$G$457,IF(LEFT(P$4,5)="NHÓM:","NHÓM:*"&amp;MID(P$4,8,50)&amp;"*",P$4&amp;" – *")))</f>
        <v>1</v>
      </c>
      <c r="Q42" s="7">
        <f>IF(Q$4="HĐTN",COUNTIF('[1]03_TKB_LOP'!$B$450:$G$457,"HĐTN*")+COUNTIF('[1]03_TKB_LOP'!$B$450:$G$457,"Chào cờ/HĐTN*"),COUNTIF('[1]03_TKB_LOP'!$B$450:$G$457,IF(LEFT(Q$4,5)="NHÓM:","NHÓM:*"&amp;MID(Q$4,8,50)&amp;"*",Q$4&amp;" – *")))</f>
        <v>1</v>
      </c>
      <c r="R42" s="7">
        <f>IF(R$4="HĐTN",COUNTIF('[1]03_TKB_LOP'!$B$450:$G$457,"HĐTN*")+COUNTIF('[1]03_TKB_LOP'!$B$450:$G$457,"Chào cờ/HĐTN*"),COUNTIF('[1]03_TKB_LOP'!$B$450:$G$457,IF(LEFT(R$4,5)="NHÓM:","NHÓM:*"&amp;MID(R$4,8,50)&amp;"*",R$4&amp;" – *")))</f>
        <v>0</v>
      </c>
      <c r="S42" s="7">
        <f>IF(S$4="HĐTN",COUNTIF('[1]03_TKB_LOP'!$B$450:$G$457,"HĐTN*")+COUNTIF('[1]03_TKB_LOP'!$B$450:$G$457,"Chào cờ/HĐTN*"),COUNTIF('[1]03_TKB_LOP'!$B$450:$G$457,IF(LEFT(S$4,5)="NHÓM:","NHÓM:*"&amp;MID(S$4,8,50)&amp;"*",S$4&amp;" – *")))</f>
        <v>1</v>
      </c>
      <c r="T42" s="7">
        <f>IF(T$4="HĐTN",COUNTIF('[1]03_TKB_LOP'!$B$450:$G$457,"HĐTN*")+COUNTIF('[1]03_TKB_LOP'!$B$450:$G$457,"Chào cờ/HĐTN*"),COUNTIF('[1]03_TKB_LOP'!$B$450:$G$457,IF(LEFT(T$4,5)="NHÓM:","NHÓM:*"&amp;MID(T$4,8,50)&amp;"*",T$4&amp;" – *")))</f>
        <v>1</v>
      </c>
      <c r="U42" s="7">
        <f>IF(U$4="HĐTN",COUNTIF('[1]03_TKB_LOP'!$B$450:$G$457,"HĐTN*")+COUNTIF('[1]03_TKB_LOP'!$B$450:$G$457,"Chào cờ/HĐTN*"),COUNTIF('[1]03_TKB_LOP'!$B$450:$G$457,IF(LEFT(U$4,5)="NHÓM:","NHÓM:*"&amp;MID(U$4,8,50)&amp;"*",U$4&amp;" – *")))</f>
        <v>0</v>
      </c>
      <c r="V42" s="7">
        <f>IF(V$4="HĐTN",COUNTIF('[1]03_TKB_LOP'!$B$450:$G$457,"HĐTN*")+COUNTIF('[1]03_TKB_LOP'!$B$450:$G$457,"Chào cờ/HĐTN*"),COUNTIF('[1]03_TKB_LOP'!$B$450:$G$457,IF(LEFT(V$4,5)="NHÓM:","NHÓM:*"&amp;MID(V$4,8,50)&amp;"*",V$4&amp;" – *")))</f>
        <v>0</v>
      </c>
      <c r="W42" s="7">
        <f>IF(W$4="HĐTN",COUNTIF('[1]03_TKB_LOP'!$B$450:$G$457,"HĐTN*")+COUNTIF('[1]03_TKB_LOP'!$B$450:$G$457,"Chào cờ/HĐTN*"),COUNTIF('[1]03_TKB_LOP'!$B$450:$G$457,IF(LEFT(W$4,5)="NHÓM:","NHÓM:*"&amp;MID(W$4,8,50)&amp;"*",W$4&amp;" – *")))</f>
        <v>0</v>
      </c>
      <c r="X42" s="7">
        <f>IF(X$4="HĐTN",COUNTIF('[1]03_TKB_LOP'!$B$450:$G$457,"HĐTN*")+COUNTIF('[1]03_TKB_LOP'!$B$450:$G$457,"Chào cờ/HĐTN*"),COUNTIF('[1]03_TKB_LOP'!$B$450:$G$457,IF(LEFT(X$4,5)="NHÓM:","NHÓM:*"&amp;MID(X$4,8,50)&amp;"*",X$4&amp;" – *")))</f>
        <v>8</v>
      </c>
      <c r="Y42" s="7">
        <f>IF(Y$4="HĐTN",COUNTIF('[1]03_TKB_LOP'!$B$450:$G$457,"HĐTN*")+COUNTIF('[1]03_TKB_LOP'!$B$450:$G$457,"Chào cờ/HĐTN*"),COUNTIF('[1]03_TKB_LOP'!$B$450:$G$457,IF(LEFT(Y$4,5)="NHÓM:","NHÓM:*"&amp;MID(Y$4,8,50)&amp;"*",Y$4&amp;" – *")))</f>
        <v>6</v>
      </c>
      <c r="Z42" s="7">
        <f>IF(Z$4="HĐTN",COUNTIF('[1]03_TKB_LOP'!$B$450:$G$457,"HĐTN*")+COUNTIF('[1]03_TKB_LOP'!$B$450:$G$457,"Chào cờ/HĐTN*"),COUNTIF('[1]03_TKB_LOP'!$B$450:$G$457,IF(LEFT(Z$4,5)="NHÓM:","NHÓM:*"&amp;MID(Z$4,8,50)&amp;"*",Z$4&amp;" – *")))</f>
        <v>0</v>
      </c>
      <c r="AA42" s="7">
        <f>IF(AA$4="HĐTN",COUNTIF('[1]03_TKB_LOP'!$B$450:$G$457,"HĐTN*")+COUNTIF('[1]03_TKB_LOP'!$B$450:$G$457,"Chào cờ/HĐTN*"),COUNTIF('[1]03_TKB_LOP'!$B$450:$G$457,IF(LEFT(AA$4,5)="NHÓM:","NHÓM:*"&amp;MID(AA$4,8,50)&amp;"*",AA$4&amp;" – *")))</f>
        <v>0</v>
      </c>
      <c r="AB42" s="7">
        <f>IF(AB$4="HĐTN",COUNTIF('[1]03_TKB_LOP'!$B$450:$G$457,"HĐTN*")+COUNTIF('[1]03_TKB_LOP'!$B$450:$G$457,"Chào cờ/HĐTN*"),COUNTIF('[1]03_TKB_LOP'!$B$450:$G$457,IF(LEFT(AB$4,5)="NHÓM:","NHÓM:*"&amp;MID(AB$4,8,50)&amp;"*",AB$4&amp;" – *")))</f>
        <v>8</v>
      </c>
    </row>
    <row r="43" spans="1:28" x14ac:dyDescent="0.2">
      <c r="A43" s="5" t="str">
        <f>TRIM(MID('[1]03_TKB_LOP'!$A$460,4,FIND("|",'[1]03_TKB_LOP'!$A$460)-4))</f>
        <v>12A4</v>
      </c>
      <c r="B43" s="6" t="str">
        <f>TRIM(MID('[1]03_TKB_LOP'!$A$460,FIND("GVCN:",'[1]03_TKB_LOP'!$A$460)+5,FIND("|",'[1]03_TKB_LOP'!$A$460,FIND("GVCN:",'[1]03_TKB_LOP'!$A$460))-FIND("GVCN:",'[1]03_TKB_LOP'!$A$460)-5))</f>
        <v>HỒ VĂN BÌNH</v>
      </c>
      <c r="C43" s="7">
        <f>IF(C$4="HĐTN",COUNTIF('[1]03_TKB_LOP'!$B$462:$G$469,"HĐTN*")+COUNTIF('[1]03_TKB_LOP'!$B$462:$G$469,"Chào cờ/HĐTN*"),COUNTIF('[1]03_TKB_LOP'!$B$462:$G$469,IF(LEFT(C$4,5)="NHÓM:","NHÓM:*"&amp;MID(C$4,8,50)&amp;"*",C$4&amp;" – *")))</f>
        <v>3</v>
      </c>
      <c r="D43" s="7">
        <f>IF(D$4="HĐTN",COUNTIF('[1]03_TKB_LOP'!$B$462:$G$469,"HĐTN*")+COUNTIF('[1]03_TKB_LOP'!$B$462:$G$469,"Chào cờ/HĐTN*"),COUNTIF('[1]03_TKB_LOP'!$B$462:$G$469,IF(LEFT(D$4,5)="NHÓM:","NHÓM:*"&amp;MID(D$4,8,50)&amp;"*",D$4&amp;" – *")))</f>
        <v>5</v>
      </c>
      <c r="E43" s="7">
        <f>IF(E$4="HĐTN",COUNTIF('[1]03_TKB_LOP'!$B$462:$G$469,"HĐTN*")+COUNTIF('[1]03_TKB_LOP'!$B$462:$G$469,"Chào cờ/HĐTN*"),COUNTIF('[1]03_TKB_LOP'!$B$462:$G$469,IF(LEFT(E$4,5)="NHÓM:","NHÓM:*"&amp;MID(E$4,8,50)&amp;"*",E$4&amp;" – *")))</f>
        <v>5</v>
      </c>
      <c r="F43" s="7">
        <f>IF(F$4="HĐTN",COUNTIF('[1]03_TKB_LOP'!$B$462:$G$469,"HĐTN*")+COUNTIF('[1]03_TKB_LOP'!$B$462:$G$469,"Chào cờ/HĐTN*"),COUNTIF('[1]03_TKB_LOP'!$B$462:$G$469,IF(LEFT(F$4,5)="NHÓM:","NHÓM:*"&amp;MID(F$4,8,50)&amp;"*",F$4&amp;" – *")))</f>
        <v>3</v>
      </c>
      <c r="G43" s="7">
        <f>IF(G$4="HĐTN",COUNTIF('[1]03_TKB_LOP'!$B$462:$G$469,"HĐTN*")+COUNTIF('[1]03_TKB_LOP'!$B$462:$G$469,"Chào cờ/HĐTN*"),COUNTIF('[1]03_TKB_LOP'!$B$462:$G$469,IF(LEFT(G$4,5)="NHÓM:","NHÓM:*"&amp;MID(G$4,8,50)&amp;"*",G$4&amp;" – *")))</f>
        <v>2</v>
      </c>
      <c r="H43" s="7">
        <f>IF(H$4="HĐTN",COUNTIF('[1]03_TKB_LOP'!$B$462:$G$469,"HĐTN*")+COUNTIF('[1]03_TKB_LOP'!$B$462:$G$469,"Chào cờ/HĐTN*"),COUNTIF('[1]03_TKB_LOP'!$B$462:$G$469,IF(LEFT(H$4,5)="NHÓM:","NHÓM:*"&amp;MID(H$4,8,50)&amp;"*",H$4&amp;" – *")))</f>
        <v>2</v>
      </c>
      <c r="I43" s="7">
        <f>IF(I$4="HĐTN",COUNTIF('[1]03_TKB_LOP'!$B$462:$G$469,"HĐTN*")+COUNTIF('[1]03_TKB_LOP'!$B$462:$G$469,"Chào cờ/HĐTN*"),COUNTIF('[1]03_TKB_LOP'!$B$462:$G$469,IF(LEFT(I$4,5)="NHÓM:","NHÓM:*"&amp;MID(I$4,8,50)&amp;"*",I$4&amp;" – *")))</f>
        <v>0</v>
      </c>
      <c r="J43" s="7">
        <f>IF(J$4="HĐTN",COUNTIF('[1]03_TKB_LOP'!$B$462:$G$469,"HĐTN*")+COUNTIF('[1]03_TKB_LOP'!$B$462:$G$469,"Chào cờ/HĐTN*"),COUNTIF('[1]03_TKB_LOP'!$B$462:$G$469,IF(LEFT(J$4,5)="NHÓM:","NHÓM:*"&amp;MID(J$4,8,50)&amp;"*",J$4&amp;" – *")))</f>
        <v>2</v>
      </c>
      <c r="K43" s="7">
        <f>IF(K$4="HĐTN",COUNTIF('[1]03_TKB_LOP'!$B$462:$G$469,"HĐTN*")+COUNTIF('[1]03_TKB_LOP'!$B$462:$G$469,"Chào cờ/HĐTN*"),COUNTIF('[1]03_TKB_LOP'!$B$462:$G$469,IF(LEFT(K$4,5)="NHÓM:","NHÓM:*"&amp;MID(K$4,8,50)&amp;"*",K$4&amp;" – *")))</f>
        <v>0</v>
      </c>
      <c r="L43" s="7">
        <f>IF(L$4="HĐTN",COUNTIF('[1]03_TKB_LOP'!$B$462:$G$469,"HĐTN*")+COUNTIF('[1]03_TKB_LOP'!$B$462:$G$469,"Chào cờ/HĐTN*"),COUNTIF('[1]03_TKB_LOP'!$B$462:$G$469,IF(LEFT(L$4,5)="NHÓM:","NHÓM:*"&amp;MID(L$4,8,50)&amp;"*",L$4&amp;" – *")))</f>
        <v>2</v>
      </c>
      <c r="M43" s="7">
        <f>IF(M$4="HĐTN",COUNTIF('[1]03_TKB_LOP'!$B$462:$G$469,"HĐTN*")+COUNTIF('[1]03_TKB_LOP'!$B$462:$G$469,"Chào cờ/HĐTN*"),COUNTIF('[1]03_TKB_LOP'!$B$462:$G$469,IF(LEFT(M$4,5)="NHÓM:","NHÓM:*"&amp;MID(M$4,8,50)&amp;"*",M$4&amp;" – *")))</f>
        <v>2</v>
      </c>
      <c r="N43" s="7">
        <f>IF(N$4="HĐTN",COUNTIF('[1]03_TKB_LOP'!$B$462:$G$469,"HĐTN*")+COUNTIF('[1]03_TKB_LOP'!$B$462:$G$469,"Chào cờ/HĐTN*"),COUNTIF('[1]03_TKB_LOP'!$B$462:$G$469,IF(LEFT(N$4,5)="NHÓM:","NHÓM:*"&amp;MID(N$4,8,50)&amp;"*",N$4&amp;" – *")))</f>
        <v>0</v>
      </c>
      <c r="O43" s="7">
        <f>IF(O$4="HĐTN",COUNTIF('[1]03_TKB_LOP'!$B$462:$G$469,"HĐTN*")+COUNTIF('[1]03_TKB_LOP'!$B$462:$G$469,"Chào cờ/HĐTN*"),COUNTIF('[1]03_TKB_LOP'!$B$462:$G$469,IF(LEFT(O$4,5)="NHÓM:","NHÓM:*"&amp;MID(O$4,8,50)&amp;"*",O$4&amp;" – *")))</f>
        <v>1</v>
      </c>
      <c r="P43" s="7">
        <f>IF(P$4="HĐTN",COUNTIF('[1]03_TKB_LOP'!$B$462:$G$469,"HĐTN*")+COUNTIF('[1]03_TKB_LOP'!$B$462:$G$469,"Chào cờ/HĐTN*"),COUNTIF('[1]03_TKB_LOP'!$B$462:$G$469,IF(LEFT(P$4,5)="NHÓM:","NHÓM:*"&amp;MID(P$4,8,50)&amp;"*",P$4&amp;" – *")))</f>
        <v>1</v>
      </c>
      <c r="Q43" s="7">
        <f>IF(Q$4="HĐTN",COUNTIF('[1]03_TKB_LOP'!$B$462:$G$469,"HĐTN*")+COUNTIF('[1]03_TKB_LOP'!$B$462:$G$469,"Chào cờ/HĐTN*"),COUNTIF('[1]03_TKB_LOP'!$B$462:$G$469,IF(LEFT(Q$4,5)="NHÓM:","NHÓM:*"&amp;MID(Q$4,8,50)&amp;"*",Q$4&amp;" – *")))</f>
        <v>1</v>
      </c>
      <c r="R43" s="7">
        <f>IF(R$4="HĐTN",COUNTIF('[1]03_TKB_LOP'!$B$462:$G$469,"HĐTN*")+COUNTIF('[1]03_TKB_LOP'!$B$462:$G$469,"Chào cờ/HĐTN*"),COUNTIF('[1]03_TKB_LOP'!$B$462:$G$469,IF(LEFT(R$4,5)="NHÓM:","NHÓM:*"&amp;MID(R$4,8,50)&amp;"*",R$4&amp;" – *")))</f>
        <v>0</v>
      </c>
      <c r="S43" s="7">
        <f>IF(S$4="HĐTN",COUNTIF('[1]03_TKB_LOP'!$B$462:$G$469,"HĐTN*")+COUNTIF('[1]03_TKB_LOP'!$B$462:$G$469,"Chào cờ/HĐTN*"),COUNTIF('[1]03_TKB_LOP'!$B$462:$G$469,IF(LEFT(S$4,5)="NHÓM:","NHÓM:*"&amp;MID(S$4,8,50)&amp;"*",S$4&amp;" – *")))</f>
        <v>1</v>
      </c>
      <c r="T43" s="7">
        <f>IF(T$4="HĐTN",COUNTIF('[1]03_TKB_LOP'!$B$462:$G$469,"HĐTN*")+COUNTIF('[1]03_TKB_LOP'!$B$462:$G$469,"Chào cờ/HĐTN*"),COUNTIF('[1]03_TKB_LOP'!$B$462:$G$469,IF(LEFT(T$4,5)="NHÓM:","NHÓM:*"&amp;MID(T$4,8,50)&amp;"*",T$4&amp;" – *")))</f>
        <v>1</v>
      </c>
      <c r="U43" s="7">
        <f>IF(U$4="HĐTN",COUNTIF('[1]03_TKB_LOP'!$B$462:$G$469,"HĐTN*")+COUNTIF('[1]03_TKB_LOP'!$B$462:$G$469,"Chào cờ/HĐTN*"),COUNTIF('[1]03_TKB_LOP'!$B$462:$G$469,IF(LEFT(U$4,5)="NHÓM:","NHÓM:*"&amp;MID(U$4,8,50)&amp;"*",U$4&amp;" – *")))</f>
        <v>0</v>
      </c>
      <c r="V43" s="7">
        <f>IF(V$4="HĐTN",COUNTIF('[1]03_TKB_LOP'!$B$462:$G$469,"HĐTN*")+COUNTIF('[1]03_TKB_LOP'!$B$462:$G$469,"Chào cờ/HĐTN*"),COUNTIF('[1]03_TKB_LOP'!$B$462:$G$469,IF(LEFT(V$4,5)="NHÓM:","NHÓM:*"&amp;MID(V$4,8,50)&amp;"*",V$4&amp;" – *")))</f>
        <v>0</v>
      </c>
      <c r="W43" s="7">
        <f>IF(W$4="HĐTN",COUNTIF('[1]03_TKB_LOP'!$B$462:$G$469,"HĐTN*")+COUNTIF('[1]03_TKB_LOP'!$B$462:$G$469,"Chào cờ/HĐTN*"),COUNTIF('[1]03_TKB_LOP'!$B$462:$G$469,IF(LEFT(W$4,5)="NHÓM:","NHÓM:*"&amp;MID(W$4,8,50)&amp;"*",W$4&amp;" – *")))</f>
        <v>0</v>
      </c>
      <c r="X43" s="7">
        <f>IF(X$4="HĐTN",COUNTIF('[1]03_TKB_LOP'!$B$462:$G$469,"HĐTN*")+COUNTIF('[1]03_TKB_LOP'!$B$462:$G$469,"Chào cờ/HĐTN*"),COUNTIF('[1]03_TKB_LOP'!$B$462:$G$469,IF(LEFT(X$4,5)="NHÓM:","NHÓM:*"&amp;MID(X$4,8,50)&amp;"*",X$4&amp;" – *")))</f>
        <v>8</v>
      </c>
      <c r="Y43" s="7">
        <f>IF(Y$4="HĐTN",COUNTIF('[1]03_TKB_LOP'!$B$462:$G$469,"HĐTN*")+COUNTIF('[1]03_TKB_LOP'!$B$462:$G$469,"Chào cờ/HĐTN*"),COUNTIF('[1]03_TKB_LOP'!$B$462:$G$469,IF(LEFT(Y$4,5)="NHÓM:","NHÓM:*"&amp;MID(Y$4,8,50)&amp;"*",Y$4&amp;" – *")))</f>
        <v>2</v>
      </c>
      <c r="Z43" s="7">
        <f>IF(Z$4="HĐTN",COUNTIF('[1]03_TKB_LOP'!$B$462:$G$469,"HĐTN*")+COUNTIF('[1]03_TKB_LOP'!$B$462:$G$469,"Chào cờ/HĐTN*"),COUNTIF('[1]03_TKB_LOP'!$B$462:$G$469,IF(LEFT(Z$4,5)="NHÓM:","NHÓM:*"&amp;MID(Z$4,8,50)&amp;"*",Z$4&amp;" – *")))</f>
        <v>0</v>
      </c>
      <c r="AA43" s="7">
        <f>IF(AA$4="HĐTN",COUNTIF('[1]03_TKB_LOP'!$B$462:$G$469,"HĐTN*")+COUNTIF('[1]03_TKB_LOP'!$B$462:$G$469,"Chào cờ/HĐTN*"),COUNTIF('[1]03_TKB_LOP'!$B$462:$G$469,IF(LEFT(AA$4,5)="NHÓM:","NHÓM:*"&amp;MID(AA$4,8,50)&amp;"*",AA$4&amp;" – *")))</f>
        <v>0</v>
      </c>
      <c r="AB43" s="7">
        <f>IF(AB$4="HĐTN",COUNTIF('[1]03_TKB_LOP'!$B$462:$G$469,"HĐTN*")+COUNTIF('[1]03_TKB_LOP'!$B$462:$G$469,"Chào cờ/HĐTN*"),COUNTIF('[1]03_TKB_LOP'!$B$462:$G$469,IF(LEFT(AB$4,5)="NHÓM:","NHÓM:*"&amp;MID(AB$4,8,50)&amp;"*",AB$4&amp;" – *")))</f>
        <v>8</v>
      </c>
    </row>
    <row r="44" spans="1:28" x14ac:dyDescent="0.2">
      <c r="A44" s="5" t="str">
        <f>TRIM(MID('[1]03_TKB_LOP'!$A$472,4,FIND("|",'[1]03_TKB_LOP'!$A$472)-4))</f>
        <v>12A5</v>
      </c>
      <c r="B44" s="6" t="str">
        <f>TRIM(MID('[1]03_TKB_LOP'!$A$472,FIND("GVCN:",'[1]03_TKB_LOP'!$A$472)+5,FIND("|",'[1]03_TKB_LOP'!$A$472,FIND("GVCN:",'[1]03_TKB_LOP'!$A$472))-FIND("GVCN:",'[1]03_TKB_LOP'!$A$472)-5))</f>
        <v>NGUYỄN THỊ THU BA</v>
      </c>
      <c r="C44" s="7">
        <f>IF(C$4="HĐTN",COUNTIF('[1]03_TKB_LOP'!$B$474:$G$481,"HĐTN*")+COUNTIF('[1]03_TKB_LOP'!$B$474:$G$481,"Chào cờ/HĐTN*"),COUNTIF('[1]03_TKB_LOP'!$B$474:$G$481,IF(LEFT(C$4,5)="NHÓM:","NHÓM:*"&amp;MID(C$4,8,50)&amp;"*",C$4&amp;" – *")))</f>
        <v>3</v>
      </c>
      <c r="D44" s="7">
        <f>IF(D$4="HĐTN",COUNTIF('[1]03_TKB_LOP'!$B$474:$G$481,"HĐTN*")+COUNTIF('[1]03_TKB_LOP'!$B$474:$G$481,"Chào cờ/HĐTN*"),COUNTIF('[1]03_TKB_LOP'!$B$474:$G$481,IF(LEFT(D$4,5)="NHÓM:","NHÓM:*"&amp;MID(D$4,8,50)&amp;"*",D$4&amp;" – *")))</f>
        <v>5</v>
      </c>
      <c r="E44" s="7">
        <f>IF(E$4="HĐTN",COUNTIF('[1]03_TKB_LOP'!$B$474:$G$481,"HĐTN*")+COUNTIF('[1]03_TKB_LOP'!$B$474:$G$481,"Chào cờ/HĐTN*"),COUNTIF('[1]03_TKB_LOP'!$B$474:$G$481,IF(LEFT(E$4,5)="NHÓM:","NHÓM:*"&amp;MID(E$4,8,50)&amp;"*",E$4&amp;" – *")))</f>
        <v>5</v>
      </c>
      <c r="F44" s="7">
        <f>IF(F$4="HĐTN",COUNTIF('[1]03_TKB_LOP'!$B$474:$G$481,"HĐTN*")+COUNTIF('[1]03_TKB_LOP'!$B$474:$G$481,"Chào cờ/HĐTN*"),COUNTIF('[1]03_TKB_LOP'!$B$474:$G$481,IF(LEFT(F$4,5)="NHÓM:","NHÓM:*"&amp;MID(F$4,8,50)&amp;"*",F$4&amp;" – *")))</f>
        <v>3</v>
      </c>
      <c r="G44" s="7">
        <f>IF(G$4="HĐTN",COUNTIF('[1]03_TKB_LOP'!$B$474:$G$481,"HĐTN*")+COUNTIF('[1]03_TKB_LOP'!$B$474:$G$481,"Chào cờ/HĐTN*"),COUNTIF('[1]03_TKB_LOP'!$B$474:$G$481,IF(LEFT(G$4,5)="NHÓM:","NHÓM:*"&amp;MID(G$4,8,50)&amp;"*",G$4&amp;" – *")))</f>
        <v>2</v>
      </c>
      <c r="H44" s="7">
        <f>IF(H$4="HĐTN",COUNTIF('[1]03_TKB_LOP'!$B$474:$G$481,"HĐTN*")+COUNTIF('[1]03_TKB_LOP'!$B$474:$G$481,"Chào cờ/HĐTN*"),COUNTIF('[1]03_TKB_LOP'!$B$474:$G$481,IF(LEFT(H$4,5)="NHÓM:","NHÓM:*"&amp;MID(H$4,8,50)&amp;"*",H$4&amp;" – *")))</f>
        <v>2</v>
      </c>
      <c r="I44" s="7">
        <f>IF(I$4="HĐTN",COUNTIF('[1]03_TKB_LOP'!$B$474:$G$481,"HĐTN*")+COUNTIF('[1]03_TKB_LOP'!$B$474:$G$481,"Chào cờ/HĐTN*"),COUNTIF('[1]03_TKB_LOP'!$B$474:$G$481,IF(LEFT(I$4,5)="NHÓM:","NHÓM:*"&amp;MID(I$4,8,50)&amp;"*",I$4&amp;" – *")))</f>
        <v>0</v>
      </c>
      <c r="J44" s="7">
        <f>IF(J$4="HĐTN",COUNTIF('[1]03_TKB_LOP'!$B$474:$G$481,"HĐTN*")+COUNTIF('[1]03_TKB_LOP'!$B$474:$G$481,"Chào cờ/HĐTN*"),COUNTIF('[1]03_TKB_LOP'!$B$474:$G$481,IF(LEFT(J$4,5)="NHÓM:","NHÓM:*"&amp;MID(J$4,8,50)&amp;"*",J$4&amp;" – *")))</f>
        <v>2</v>
      </c>
      <c r="K44" s="7">
        <f>IF(K$4="HĐTN",COUNTIF('[1]03_TKB_LOP'!$B$474:$G$481,"HĐTN*")+COUNTIF('[1]03_TKB_LOP'!$B$474:$G$481,"Chào cờ/HĐTN*"),COUNTIF('[1]03_TKB_LOP'!$B$474:$G$481,IF(LEFT(K$4,5)="NHÓM:","NHÓM:*"&amp;MID(K$4,8,50)&amp;"*",K$4&amp;" – *")))</f>
        <v>2</v>
      </c>
      <c r="L44" s="7">
        <f>IF(L$4="HĐTN",COUNTIF('[1]03_TKB_LOP'!$B$474:$G$481,"HĐTN*")+COUNTIF('[1]03_TKB_LOP'!$B$474:$G$481,"Chào cờ/HĐTN*"),COUNTIF('[1]03_TKB_LOP'!$B$474:$G$481,IF(LEFT(L$4,5)="NHÓM:","NHÓM:*"&amp;MID(L$4,8,50)&amp;"*",L$4&amp;" – *")))</f>
        <v>0</v>
      </c>
      <c r="M44" s="7">
        <f>IF(M$4="HĐTN",COUNTIF('[1]03_TKB_LOP'!$B$474:$G$481,"HĐTN*")+COUNTIF('[1]03_TKB_LOP'!$B$474:$G$481,"Chào cờ/HĐTN*"),COUNTIF('[1]03_TKB_LOP'!$B$474:$G$481,IF(LEFT(M$4,5)="NHÓM:","NHÓM:*"&amp;MID(M$4,8,50)&amp;"*",M$4&amp;" – *")))</f>
        <v>2</v>
      </c>
      <c r="N44" s="7">
        <f>IF(N$4="HĐTN",COUNTIF('[1]03_TKB_LOP'!$B$474:$G$481,"HĐTN*")+COUNTIF('[1]03_TKB_LOP'!$B$474:$G$481,"Chào cờ/HĐTN*"),COUNTIF('[1]03_TKB_LOP'!$B$474:$G$481,IF(LEFT(N$4,5)="NHÓM:","NHÓM:*"&amp;MID(N$4,8,50)&amp;"*",N$4&amp;" – *")))</f>
        <v>0</v>
      </c>
      <c r="O44" s="7">
        <f>IF(O$4="HĐTN",COUNTIF('[1]03_TKB_LOP'!$B$474:$G$481,"HĐTN*")+COUNTIF('[1]03_TKB_LOP'!$B$474:$G$481,"Chào cờ/HĐTN*"),COUNTIF('[1]03_TKB_LOP'!$B$474:$G$481,IF(LEFT(O$4,5)="NHÓM:","NHÓM:*"&amp;MID(O$4,8,50)&amp;"*",O$4&amp;" – *")))</f>
        <v>1</v>
      </c>
      <c r="P44" s="7">
        <f>IF(P$4="HĐTN",COUNTIF('[1]03_TKB_LOP'!$B$474:$G$481,"HĐTN*")+COUNTIF('[1]03_TKB_LOP'!$B$474:$G$481,"Chào cờ/HĐTN*"),COUNTIF('[1]03_TKB_LOP'!$B$474:$G$481,IF(LEFT(P$4,5)="NHÓM:","NHÓM:*"&amp;MID(P$4,8,50)&amp;"*",P$4&amp;" – *")))</f>
        <v>1</v>
      </c>
      <c r="Q44" s="7">
        <f>IF(Q$4="HĐTN",COUNTIF('[1]03_TKB_LOP'!$B$474:$G$481,"HĐTN*")+COUNTIF('[1]03_TKB_LOP'!$B$474:$G$481,"Chào cờ/HĐTN*"),COUNTIF('[1]03_TKB_LOP'!$B$474:$G$481,IF(LEFT(Q$4,5)="NHÓM:","NHÓM:*"&amp;MID(Q$4,8,50)&amp;"*",Q$4&amp;" – *")))</f>
        <v>1</v>
      </c>
      <c r="R44" s="7">
        <f>IF(R$4="HĐTN",COUNTIF('[1]03_TKB_LOP'!$B$474:$G$481,"HĐTN*")+COUNTIF('[1]03_TKB_LOP'!$B$474:$G$481,"Chào cờ/HĐTN*"),COUNTIF('[1]03_TKB_LOP'!$B$474:$G$481,IF(LEFT(R$4,5)="NHÓM:","NHÓM:*"&amp;MID(R$4,8,50)&amp;"*",R$4&amp;" – *")))</f>
        <v>0</v>
      </c>
      <c r="S44" s="7">
        <f>IF(S$4="HĐTN",COUNTIF('[1]03_TKB_LOP'!$B$474:$G$481,"HĐTN*")+COUNTIF('[1]03_TKB_LOP'!$B$474:$G$481,"Chào cờ/HĐTN*"),COUNTIF('[1]03_TKB_LOP'!$B$474:$G$481,IF(LEFT(S$4,5)="NHÓM:","NHÓM:*"&amp;MID(S$4,8,50)&amp;"*",S$4&amp;" – *")))</f>
        <v>1</v>
      </c>
      <c r="T44" s="7">
        <f>IF(T$4="HĐTN",COUNTIF('[1]03_TKB_LOP'!$B$474:$G$481,"HĐTN*")+COUNTIF('[1]03_TKB_LOP'!$B$474:$G$481,"Chào cờ/HĐTN*"),COUNTIF('[1]03_TKB_LOP'!$B$474:$G$481,IF(LEFT(T$4,5)="NHÓM:","NHÓM:*"&amp;MID(T$4,8,50)&amp;"*",T$4&amp;" – *")))</f>
        <v>1</v>
      </c>
      <c r="U44" s="7">
        <f>IF(U$4="HĐTN",COUNTIF('[1]03_TKB_LOP'!$B$474:$G$481,"HĐTN*")+COUNTIF('[1]03_TKB_LOP'!$B$474:$G$481,"Chào cờ/HĐTN*"),COUNTIF('[1]03_TKB_LOP'!$B$474:$G$481,IF(LEFT(U$4,5)="NHÓM:","NHÓM:*"&amp;MID(U$4,8,50)&amp;"*",U$4&amp;" – *")))</f>
        <v>0</v>
      </c>
      <c r="V44" s="7">
        <f>IF(V$4="HĐTN",COUNTIF('[1]03_TKB_LOP'!$B$474:$G$481,"HĐTN*")+COUNTIF('[1]03_TKB_LOP'!$B$474:$G$481,"Chào cờ/HĐTN*"),COUNTIF('[1]03_TKB_LOP'!$B$474:$G$481,IF(LEFT(V$4,5)="NHÓM:","NHÓM:*"&amp;MID(V$4,8,50)&amp;"*",V$4&amp;" – *")))</f>
        <v>0</v>
      </c>
      <c r="W44" s="7">
        <f>IF(W$4="HĐTN",COUNTIF('[1]03_TKB_LOP'!$B$474:$G$481,"HĐTN*")+COUNTIF('[1]03_TKB_LOP'!$B$474:$G$481,"Chào cờ/HĐTN*"),COUNTIF('[1]03_TKB_LOP'!$B$474:$G$481,IF(LEFT(W$4,5)="NHÓM:","NHÓM:*"&amp;MID(W$4,8,50)&amp;"*",W$4&amp;" – *")))</f>
        <v>0</v>
      </c>
      <c r="X44" s="7">
        <f>IF(X$4="HĐTN",COUNTIF('[1]03_TKB_LOP'!$B$474:$G$481,"HĐTN*")+COUNTIF('[1]03_TKB_LOP'!$B$474:$G$481,"Chào cờ/HĐTN*"),COUNTIF('[1]03_TKB_LOP'!$B$474:$G$481,IF(LEFT(X$4,5)="NHÓM:","NHÓM:*"&amp;MID(X$4,8,50)&amp;"*",X$4&amp;" – *")))</f>
        <v>6</v>
      </c>
      <c r="Y44" s="7">
        <f>IF(Y$4="HĐTN",COUNTIF('[1]03_TKB_LOP'!$B$474:$G$481,"HĐTN*")+COUNTIF('[1]03_TKB_LOP'!$B$474:$G$481,"Chào cờ/HĐTN*"),COUNTIF('[1]03_TKB_LOP'!$B$474:$G$481,IF(LEFT(Y$4,5)="NHÓM:","NHÓM:*"&amp;MID(Y$4,8,50)&amp;"*",Y$4&amp;" – *")))</f>
        <v>4</v>
      </c>
      <c r="Z44" s="7">
        <f>IF(Z$4="HĐTN",COUNTIF('[1]03_TKB_LOP'!$B$474:$G$481,"HĐTN*")+COUNTIF('[1]03_TKB_LOP'!$B$474:$G$481,"Chào cờ/HĐTN*"),COUNTIF('[1]03_TKB_LOP'!$B$474:$G$481,IF(LEFT(Z$4,5)="NHÓM:","NHÓM:*"&amp;MID(Z$4,8,50)&amp;"*",Z$4&amp;" – *")))</f>
        <v>0</v>
      </c>
      <c r="AA44" s="7">
        <f>IF(AA$4="HĐTN",COUNTIF('[1]03_TKB_LOP'!$B$474:$G$481,"HĐTN*")+COUNTIF('[1]03_TKB_LOP'!$B$474:$G$481,"Chào cờ/HĐTN*"),COUNTIF('[1]03_TKB_LOP'!$B$474:$G$481,IF(LEFT(AA$4,5)="NHÓM:","NHÓM:*"&amp;MID(AA$4,8,50)&amp;"*",AA$4&amp;" – *")))</f>
        <v>0</v>
      </c>
      <c r="AB44" s="7">
        <f>IF(AB$4="HĐTN",COUNTIF('[1]03_TKB_LOP'!$B$474:$G$481,"HĐTN*")+COUNTIF('[1]03_TKB_LOP'!$B$474:$G$481,"Chào cờ/HĐTN*"),COUNTIF('[1]03_TKB_LOP'!$B$474:$G$481,IF(LEFT(AB$4,5)="NHÓM:","NHÓM:*"&amp;MID(AB$4,8,50)&amp;"*",AB$4&amp;" – *")))</f>
        <v>8</v>
      </c>
    </row>
    <row r="45" spans="1:28" x14ac:dyDescent="0.2">
      <c r="A45" s="5" t="str">
        <f>TRIM(MID('[1]03_TKB_LOP'!$A$484,4,FIND("|",'[1]03_TKB_LOP'!$A$484)-4))</f>
        <v>12A6</v>
      </c>
      <c r="B45" s="6" t="str">
        <f>TRIM(MID('[1]03_TKB_LOP'!$A$484,FIND("GVCN:",'[1]03_TKB_LOP'!$A$484)+5,FIND("|",'[1]03_TKB_LOP'!$A$484,FIND("GVCN:",'[1]03_TKB_LOP'!$A$484))-FIND("GVCN:",'[1]03_TKB_LOP'!$A$484)-5))</f>
        <v>NGUYỄN HỮU BẮC</v>
      </c>
      <c r="C45" s="7">
        <f>IF(C$4="HĐTN",COUNTIF('[1]03_TKB_LOP'!$B$486:$G$493,"HĐTN*")+COUNTIF('[1]03_TKB_LOP'!$B$486:$G$493,"Chào cờ/HĐTN*"),COUNTIF('[1]03_TKB_LOP'!$B$486:$G$493,IF(LEFT(C$4,5)="NHÓM:","NHÓM:*"&amp;MID(C$4,8,50)&amp;"*",C$4&amp;" – *")))</f>
        <v>3</v>
      </c>
      <c r="D45" s="7">
        <f>IF(D$4="HĐTN",COUNTIF('[1]03_TKB_LOP'!$B$486:$G$493,"HĐTN*")+COUNTIF('[1]03_TKB_LOP'!$B$486:$G$493,"Chào cờ/HĐTN*"),COUNTIF('[1]03_TKB_LOP'!$B$486:$G$493,IF(LEFT(D$4,5)="NHÓM:","NHÓM:*"&amp;MID(D$4,8,50)&amp;"*",D$4&amp;" – *")))</f>
        <v>5</v>
      </c>
      <c r="E45" s="7">
        <f>IF(E$4="HĐTN",COUNTIF('[1]03_TKB_LOP'!$B$486:$G$493,"HĐTN*")+COUNTIF('[1]03_TKB_LOP'!$B$486:$G$493,"Chào cờ/HĐTN*"),COUNTIF('[1]03_TKB_LOP'!$B$486:$G$493,IF(LEFT(E$4,5)="NHÓM:","NHÓM:*"&amp;MID(E$4,8,50)&amp;"*",E$4&amp;" – *")))</f>
        <v>5</v>
      </c>
      <c r="F45" s="7">
        <f>IF(F$4="HĐTN",COUNTIF('[1]03_TKB_LOP'!$B$486:$G$493,"HĐTN*")+COUNTIF('[1]03_TKB_LOP'!$B$486:$G$493,"Chào cờ/HĐTN*"),COUNTIF('[1]03_TKB_LOP'!$B$486:$G$493,IF(LEFT(F$4,5)="NHÓM:","NHÓM:*"&amp;MID(F$4,8,50)&amp;"*",F$4&amp;" – *")))</f>
        <v>3</v>
      </c>
      <c r="G45" s="7">
        <f>IF(G$4="HĐTN",COUNTIF('[1]03_TKB_LOP'!$B$486:$G$493,"HĐTN*")+COUNTIF('[1]03_TKB_LOP'!$B$486:$G$493,"Chào cờ/HĐTN*"),COUNTIF('[1]03_TKB_LOP'!$B$486:$G$493,IF(LEFT(G$4,5)="NHÓM:","NHÓM:*"&amp;MID(G$4,8,50)&amp;"*",G$4&amp;" – *")))</f>
        <v>2</v>
      </c>
      <c r="H45" s="7">
        <f>IF(H$4="HĐTN",COUNTIF('[1]03_TKB_LOP'!$B$486:$G$493,"HĐTN*")+COUNTIF('[1]03_TKB_LOP'!$B$486:$G$493,"Chào cờ/HĐTN*"),COUNTIF('[1]03_TKB_LOP'!$B$486:$G$493,IF(LEFT(H$4,5)="NHÓM:","NHÓM:*"&amp;MID(H$4,8,50)&amp;"*",H$4&amp;" – *")))</f>
        <v>0</v>
      </c>
      <c r="I45" s="7">
        <f>IF(I$4="HĐTN",COUNTIF('[1]03_TKB_LOP'!$B$486:$G$493,"HĐTN*")+COUNTIF('[1]03_TKB_LOP'!$B$486:$G$493,"Chào cờ/HĐTN*"),COUNTIF('[1]03_TKB_LOP'!$B$486:$G$493,IF(LEFT(I$4,5)="NHÓM:","NHÓM:*"&amp;MID(I$4,8,50)&amp;"*",I$4&amp;" – *")))</f>
        <v>0</v>
      </c>
      <c r="J45" s="7">
        <f>IF(J$4="HĐTN",COUNTIF('[1]03_TKB_LOP'!$B$486:$G$493,"HĐTN*")+COUNTIF('[1]03_TKB_LOP'!$B$486:$G$493,"Chào cờ/HĐTN*"),COUNTIF('[1]03_TKB_LOP'!$B$486:$G$493,IF(LEFT(J$4,5)="NHÓM:","NHÓM:*"&amp;MID(J$4,8,50)&amp;"*",J$4&amp;" – *")))</f>
        <v>2</v>
      </c>
      <c r="K45" s="7">
        <f>IF(K$4="HĐTN",COUNTIF('[1]03_TKB_LOP'!$B$486:$G$493,"HĐTN*")+COUNTIF('[1]03_TKB_LOP'!$B$486:$G$493,"Chào cờ/HĐTN*"),COUNTIF('[1]03_TKB_LOP'!$B$486:$G$493,IF(LEFT(K$4,5)="NHÓM:","NHÓM:*"&amp;MID(K$4,8,50)&amp;"*",K$4&amp;" – *")))</f>
        <v>2</v>
      </c>
      <c r="L45" s="7">
        <f>IF(L$4="HĐTN",COUNTIF('[1]03_TKB_LOP'!$B$486:$G$493,"HĐTN*")+COUNTIF('[1]03_TKB_LOP'!$B$486:$G$493,"Chào cờ/HĐTN*"),COUNTIF('[1]03_TKB_LOP'!$B$486:$G$493,IF(LEFT(L$4,5)="NHÓM:","NHÓM:*"&amp;MID(L$4,8,50)&amp;"*",L$4&amp;" – *")))</f>
        <v>2</v>
      </c>
      <c r="M45" s="7">
        <f>IF(M$4="HĐTN",COUNTIF('[1]03_TKB_LOP'!$B$486:$G$493,"HĐTN*")+COUNTIF('[1]03_TKB_LOP'!$B$486:$G$493,"Chào cờ/HĐTN*"),COUNTIF('[1]03_TKB_LOP'!$B$486:$G$493,IF(LEFT(M$4,5)="NHÓM:","NHÓM:*"&amp;MID(M$4,8,50)&amp;"*",M$4&amp;" – *")))</f>
        <v>2</v>
      </c>
      <c r="N45" s="7">
        <f>IF(N$4="HĐTN",COUNTIF('[1]03_TKB_LOP'!$B$486:$G$493,"HĐTN*")+COUNTIF('[1]03_TKB_LOP'!$B$486:$G$493,"Chào cờ/HĐTN*"),COUNTIF('[1]03_TKB_LOP'!$B$486:$G$493,IF(LEFT(N$4,5)="NHÓM:","NHÓM:*"&amp;MID(N$4,8,50)&amp;"*",N$4&amp;" – *")))</f>
        <v>0</v>
      </c>
      <c r="O45" s="7">
        <f>IF(O$4="HĐTN",COUNTIF('[1]03_TKB_LOP'!$B$486:$G$493,"HĐTN*")+COUNTIF('[1]03_TKB_LOP'!$B$486:$G$493,"Chào cờ/HĐTN*"),COUNTIF('[1]03_TKB_LOP'!$B$486:$G$493,IF(LEFT(O$4,5)="NHÓM:","NHÓM:*"&amp;MID(O$4,8,50)&amp;"*",O$4&amp;" – *")))</f>
        <v>1</v>
      </c>
      <c r="P45" s="7">
        <f>IF(P$4="HĐTN",COUNTIF('[1]03_TKB_LOP'!$B$486:$G$493,"HĐTN*")+COUNTIF('[1]03_TKB_LOP'!$B$486:$G$493,"Chào cờ/HĐTN*"),COUNTIF('[1]03_TKB_LOP'!$B$486:$G$493,IF(LEFT(P$4,5)="NHÓM:","NHÓM:*"&amp;MID(P$4,8,50)&amp;"*",P$4&amp;" – *")))</f>
        <v>1</v>
      </c>
      <c r="Q45" s="7">
        <f>IF(Q$4="HĐTN",COUNTIF('[1]03_TKB_LOP'!$B$486:$G$493,"HĐTN*")+COUNTIF('[1]03_TKB_LOP'!$B$486:$G$493,"Chào cờ/HĐTN*"),COUNTIF('[1]03_TKB_LOP'!$B$486:$G$493,IF(LEFT(Q$4,5)="NHÓM:","NHÓM:*"&amp;MID(Q$4,8,50)&amp;"*",Q$4&amp;" – *")))</f>
        <v>1</v>
      </c>
      <c r="R45" s="7">
        <f>IF(R$4="HĐTN",COUNTIF('[1]03_TKB_LOP'!$B$486:$G$493,"HĐTN*")+COUNTIF('[1]03_TKB_LOP'!$B$486:$G$493,"Chào cờ/HĐTN*"),COUNTIF('[1]03_TKB_LOP'!$B$486:$G$493,IF(LEFT(R$4,5)="NHÓM:","NHÓM:*"&amp;MID(R$4,8,50)&amp;"*",R$4&amp;" – *")))</f>
        <v>1</v>
      </c>
      <c r="S45" s="7">
        <f>IF(S$4="HĐTN",COUNTIF('[1]03_TKB_LOP'!$B$486:$G$493,"HĐTN*")+COUNTIF('[1]03_TKB_LOP'!$B$486:$G$493,"Chào cờ/HĐTN*"),COUNTIF('[1]03_TKB_LOP'!$B$486:$G$493,IF(LEFT(S$4,5)="NHÓM:","NHÓM:*"&amp;MID(S$4,8,50)&amp;"*",S$4&amp;" – *")))</f>
        <v>1</v>
      </c>
      <c r="T45" s="7">
        <f>IF(T$4="HĐTN",COUNTIF('[1]03_TKB_LOP'!$B$486:$G$493,"HĐTN*")+COUNTIF('[1]03_TKB_LOP'!$B$486:$G$493,"Chào cờ/HĐTN*"),COUNTIF('[1]03_TKB_LOP'!$B$486:$G$493,IF(LEFT(T$4,5)="NHÓM:","NHÓM:*"&amp;MID(T$4,8,50)&amp;"*",T$4&amp;" – *")))</f>
        <v>0</v>
      </c>
      <c r="U45" s="7">
        <f>IF(U$4="HĐTN",COUNTIF('[1]03_TKB_LOP'!$B$486:$G$493,"HĐTN*")+COUNTIF('[1]03_TKB_LOP'!$B$486:$G$493,"Chào cờ/HĐTN*"),COUNTIF('[1]03_TKB_LOP'!$B$486:$G$493,IF(LEFT(U$4,5)="NHÓM:","NHÓM:*"&amp;MID(U$4,8,50)&amp;"*",U$4&amp;" – *")))</f>
        <v>0</v>
      </c>
      <c r="V45" s="7">
        <f>IF(V$4="HĐTN",COUNTIF('[1]03_TKB_LOP'!$B$486:$G$493,"HĐTN*")+COUNTIF('[1]03_TKB_LOP'!$B$486:$G$493,"Chào cờ/HĐTN*"),COUNTIF('[1]03_TKB_LOP'!$B$486:$G$493,IF(LEFT(V$4,5)="NHÓM:","NHÓM:*"&amp;MID(V$4,8,50)&amp;"*",V$4&amp;" – *")))</f>
        <v>0</v>
      </c>
      <c r="W45" s="7">
        <f>IF(W$4="HĐTN",COUNTIF('[1]03_TKB_LOP'!$B$486:$G$493,"HĐTN*")+COUNTIF('[1]03_TKB_LOP'!$B$486:$G$493,"Chào cờ/HĐTN*"),COUNTIF('[1]03_TKB_LOP'!$B$486:$G$493,IF(LEFT(W$4,5)="NHÓM:","NHÓM:*"&amp;MID(W$4,8,50)&amp;"*",W$4&amp;" – *")))</f>
        <v>0</v>
      </c>
      <c r="X45" s="7">
        <f>IF(X$4="HĐTN",COUNTIF('[1]03_TKB_LOP'!$B$486:$G$493,"HĐTN*")+COUNTIF('[1]03_TKB_LOP'!$B$486:$G$493,"Chào cờ/HĐTN*"),COUNTIF('[1]03_TKB_LOP'!$B$486:$G$493,IF(LEFT(X$4,5)="NHÓM:","NHÓM:*"&amp;MID(X$4,8,50)&amp;"*",X$4&amp;" – *")))</f>
        <v>6</v>
      </c>
      <c r="Y45" s="7">
        <f>IF(Y$4="HĐTN",COUNTIF('[1]03_TKB_LOP'!$B$486:$G$493,"HĐTN*")+COUNTIF('[1]03_TKB_LOP'!$B$486:$G$493,"Chào cờ/HĐTN*"),COUNTIF('[1]03_TKB_LOP'!$B$486:$G$493,IF(LEFT(Y$4,5)="NHÓM:","NHÓM:*"&amp;MID(Y$4,8,50)&amp;"*",Y$4&amp;" – *")))</f>
        <v>6</v>
      </c>
      <c r="Z45" s="7">
        <f>IF(Z$4="HĐTN",COUNTIF('[1]03_TKB_LOP'!$B$486:$G$493,"HĐTN*")+COUNTIF('[1]03_TKB_LOP'!$B$486:$G$493,"Chào cờ/HĐTN*"),COUNTIF('[1]03_TKB_LOP'!$B$486:$G$493,IF(LEFT(Z$4,5)="NHÓM:","NHÓM:*"&amp;MID(Z$4,8,50)&amp;"*",Z$4&amp;" – *")))</f>
        <v>0</v>
      </c>
      <c r="AA45" s="7">
        <f>IF(AA$4="HĐTN",COUNTIF('[1]03_TKB_LOP'!$B$486:$G$493,"HĐTN*")+COUNTIF('[1]03_TKB_LOP'!$B$486:$G$493,"Chào cờ/HĐTN*"),COUNTIF('[1]03_TKB_LOP'!$B$486:$G$493,IF(LEFT(AA$4,5)="NHÓM:","NHÓM:*"&amp;MID(AA$4,8,50)&amp;"*",AA$4&amp;" – *")))</f>
        <v>0</v>
      </c>
      <c r="AB45" s="7">
        <f>IF(AB$4="HĐTN",COUNTIF('[1]03_TKB_LOP'!$B$486:$G$493,"HĐTN*")+COUNTIF('[1]03_TKB_LOP'!$B$486:$G$493,"Chào cờ/HĐTN*"),COUNTIF('[1]03_TKB_LOP'!$B$486:$G$493,IF(LEFT(AB$4,5)="NHÓM:","NHÓM:*"&amp;MID(AB$4,8,50)&amp;"*",AB$4&amp;" – *")))</f>
        <v>8</v>
      </c>
    </row>
    <row r="46" spans="1:28" x14ac:dyDescent="0.2">
      <c r="A46" s="5" t="str">
        <f>TRIM(MID('[1]03_TKB_LOP'!$A$496,4,FIND("|",'[1]03_TKB_LOP'!$A$496)-4))</f>
        <v>12A7</v>
      </c>
      <c r="B46" s="6" t="str">
        <f>TRIM(MID('[1]03_TKB_LOP'!$A$496,FIND("GVCN:",'[1]03_TKB_LOP'!$A$496)+5,FIND("|",'[1]03_TKB_LOP'!$A$496,FIND("GVCN:",'[1]03_TKB_LOP'!$A$496))-FIND("GVCN:",'[1]03_TKB_LOP'!$A$496)-5))</f>
        <v>LƯU THỊ ANH THƯ</v>
      </c>
      <c r="C46" s="7">
        <f>IF(C$4="HĐTN",COUNTIF('[1]03_TKB_LOP'!$B$498:$G$505,"HĐTN*")+COUNTIF('[1]03_TKB_LOP'!$B$498:$G$505,"Chào cờ/HĐTN*"),COUNTIF('[1]03_TKB_LOP'!$B$498:$G$505,IF(LEFT(C$4,5)="NHÓM:","NHÓM:*"&amp;MID(C$4,8,50)&amp;"*",C$4&amp;" – *")))</f>
        <v>3</v>
      </c>
      <c r="D46" s="7">
        <f>IF(D$4="HĐTN",COUNTIF('[1]03_TKB_LOP'!$B$498:$G$505,"HĐTN*")+COUNTIF('[1]03_TKB_LOP'!$B$498:$G$505,"Chào cờ/HĐTN*"),COUNTIF('[1]03_TKB_LOP'!$B$498:$G$505,IF(LEFT(D$4,5)="NHÓM:","NHÓM:*"&amp;MID(D$4,8,50)&amp;"*",D$4&amp;" – *")))</f>
        <v>5</v>
      </c>
      <c r="E46" s="7">
        <f>IF(E$4="HĐTN",COUNTIF('[1]03_TKB_LOP'!$B$498:$G$505,"HĐTN*")+COUNTIF('[1]03_TKB_LOP'!$B$498:$G$505,"Chào cờ/HĐTN*"),COUNTIF('[1]03_TKB_LOP'!$B$498:$G$505,IF(LEFT(E$4,5)="NHÓM:","NHÓM:*"&amp;MID(E$4,8,50)&amp;"*",E$4&amp;" – *")))</f>
        <v>5</v>
      </c>
      <c r="F46" s="7">
        <f>IF(F$4="HĐTN",COUNTIF('[1]03_TKB_LOP'!$B$498:$G$505,"HĐTN*")+COUNTIF('[1]03_TKB_LOP'!$B$498:$G$505,"Chào cờ/HĐTN*"),COUNTIF('[1]03_TKB_LOP'!$B$498:$G$505,IF(LEFT(F$4,5)="NHÓM:","NHÓM:*"&amp;MID(F$4,8,50)&amp;"*",F$4&amp;" – *")))</f>
        <v>3</v>
      </c>
      <c r="G46" s="7">
        <f>IF(G$4="HĐTN",COUNTIF('[1]03_TKB_LOP'!$B$498:$G$505,"HĐTN*")+COUNTIF('[1]03_TKB_LOP'!$B$498:$G$505,"Chào cờ/HĐTN*"),COUNTIF('[1]03_TKB_LOP'!$B$498:$G$505,IF(LEFT(G$4,5)="NHÓM:","NHÓM:*"&amp;MID(G$4,8,50)&amp;"*",G$4&amp;" – *")))</f>
        <v>2</v>
      </c>
      <c r="H46" s="7">
        <f>IF(H$4="HĐTN",COUNTIF('[1]03_TKB_LOP'!$B$498:$G$505,"HĐTN*")+COUNTIF('[1]03_TKB_LOP'!$B$498:$G$505,"Chào cờ/HĐTN*"),COUNTIF('[1]03_TKB_LOP'!$B$498:$G$505,IF(LEFT(H$4,5)="NHÓM:","NHÓM:*"&amp;MID(H$4,8,50)&amp;"*",H$4&amp;" – *")))</f>
        <v>0</v>
      </c>
      <c r="I46" s="7">
        <f>IF(I$4="HĐTN",COUNTIF('[1]03_TKB_LOP'!$B$498:$G$505,"HĐTN*")+COUNTIF('[1]03_TKB_LOP'!$B$498:$G$505,"Chào cờ/HĐTN*"),COUNTIF('[1]03_TKB_LOP'!$B$498:$G$505,IF(LEFT(I$4,5)="NHÓM:","NHÓM:*"&amp;MID(I$4,8,50)&amp;"*",I$4&amp;" – *")))</f>
        <v>0</v>
      </c>
      <c r="J46" s="7">
        <f>IF(J$4="HĐTN",COUNTIF('[1]03_TKB_LOP'!$B$498:$G$505,"HĐTN*")+COUNTIF('[1]03_TKB_LOP'!$B$498:$G$505,"Chào cờ/HĐTN*"),COUNTIF('[1]03_TKB_LOP'!$B$498:$G$505,IF(LEFT(J$4,5)="NHÓM:","NHÓM:*"&amp;MID(J$4,8,50)&amp;"*",J$4&amp;" – *")))</f>
        <v>2</v>
      </c>
      <c r="K46" s="7">
        <f>IF(K$4="HĐTN",COUNTIF('[1]03_TKB_LOP'!$B$498:$G$505,"HĐTN*")+COUNTIF('[1]03_TKB_LOP'!$B$498:$G$505,"Chào cờ/HĐTN*"),COUNTIF('[1]03_TKB_LOP'!$B$498:$G$505,IF(LEFT(K$4,5)="NHÓM:","NHÓM:*"&amp;MID(K$4,8,50)&amp;"*",K$4&amp;" – *")))</f>
        <v>2</v>
      </c>
      <c r="L46" s="7">
        <f>IF(L$4="HĐTN",COUNTIF('[1]03_TKB_LOP'!$B$498:$G$505,"HĐTN*")+COUNTIF('[1]03_TKB_LOP'!$B$498:$G$505,"Chào cờ/HĐTN*"),COUNTIF('[1]03_TKB_LOP'!$B$498:$G$505,IF(LEFT(L$4,5)="NHÓM:","NHÓM:*"&amp;MID(L$4,8,50)&amp;"*",L$4&amp;" – *")))</f>
        <v>2</v>
      </c>
      <c r="M46" s="7">
        <f>IF(M$4="HĐTN",COUNTIF('[1]03_TKB_LOP'!$B$498:$G$505,"HĐTN*")+COUNTIF('[1]03_TKB_LOP'!$B$498:$G$505,"Chào cờ/HĐTN*"),COUNTIF('[1]03_TKB_LOP'!$B$498:$G$505,IF(LEFT(M$4,5)="NHÓM:","NHÓM:*"&amp;MID(M$4,8,50)&amp;"*",M$4&amp;" – *")))</f>
        <v>2</v>
      </c>
      <c r="N46" s="7">
        <f>IF(N$4="HĐTN",COUNTIF('[1]03_TKB_LOP'!$B$498:$G$505,"HĐTN*")+COUNTIF('[1]03_TKB_LOP'!$B$498:$G$505,"Chào cờ/HĐTN*"),COUNTIF('[1]03_TKB_LOP'!$B$498:$G$505,IF(LEFT(N$4,5)="NHÓM:","NHÓM:*"&amp;MID(N$4,8,50)&amp;"*",N$4&amp;" – *")))</f>
        <v>0</v>
      </c>
      <c r="O46" s="7">
        <f>IF(O$4="HĐTN",COUNTIF('[1]03_TKB_LOP'!$B$498:$G$505,"HĐTN*")+COUNTIF('[1]03_TKB_LOP'!$B$498:$G$505,"Chào cờ/HĐTN*"),COUNTIF('[1]03_TKB_LOP'!$B$498:$G$505,IF(LEFT(O$4,5)="NHÓM:","NHÓM:*"&amp;MID(O$4,8,50)&amp;"*",O$4&amp;" – *")))</f>
        <v>1</v>
      </c>
      <c r="P46" s="7">
        <f>IF(P$4="HĐTN",COUNTIF('[1]03_TKB_LOP'!$B$498:$G$505,"HĐTN*")+COUNTIF('[1]03_TKB_LOP'!$B$498:$G$505,"Chào cờ/HĐTN*"),COUNTIF('[1]03_TKB_LOP'!$B$498:$G$505,IF(LEFT(P$4,5)="NHÓM:","NHÓM:*"&amp;MID(P$4,8,50)&amp;"*",P$4&amp;" – *")))</f>
        <v>1</v>
      </c>
      <c r="Q46" s="7">
        <f>IF(Q$4="HĐTN",COUNTIF('[1]03_TKB_LOP'!$B$498:$G$505,"HĐTN*")+COUNTIF('[1]03_TKB_LOP'!$B$498:$G$505,"Chào cờ/HĐTN*"),COUNTIF('[1]03_TKB_LOP'!$B$498:$G$505,IF(LEFT(Q$4,5)="NHÓM:","NHÓM:*"&amp;MID(Q$4,8,50)&amp;"*",Q$4&amp;" – *")))</f>
        <v>1</v>
      </c>
      <c r="R46" s="7">
        <f>IF(R$4="HĐTN",COUNTIF('[1]03_TKB_LOP'!$B$498:$G$505,"HĐTN*")+COUNTIF('[1]03_TKB_LOP'!$B$498:$G$505,"Chào cờ/HĐTN*"),COUNTIF('[1]03_TKB_LOP'!$B$498:$G$505,IF(LEFT(R$4,5)="NHÓM:","NHÓM:*"&amp;MID(R$4,8,50)&amp;"*",R$4&amp;" – *")))</f>
        <v>1</v>
      </c>
      <c r="S46" s="7">
        <f>IF(S$4="HĐTN",COUNTIF('[1]03_TKB_LOP'!$B$498:$G$505,"HĐTN*")+COUNTIF('[1]03_TKB_LOP'!$B$498:$G$505,"Chào cờ/HĐTN*"),COUNTIF('[1]03_TKB_LOP'!$B$498:$G$505,IF(LEFT(S$4,5)="NHÓM:","NHÓM:*"&amp;MID(S$4,8,50)&amp;"*",S$4&amp;" – *")))</f>
        <v>1</v>
      </c>
      <c r="T46" s="7">
        <f>IF(T$4="HĐTN",COUNTIF('[1]03_TKB_LOP'!$B$498:$G$505,"HĐTN*")+COUNTIF('[1]03_TKB_LOP'!$B$498:$G$505,"Chào cờ/HĐTN*"),COUNTIF('[1]03_TKB_LOP'!$B$498:$G$505,IF(LEFT(T$4,5)="NHÓM:","NHÓM:*"&amp;MID(T$4,8,50)&amp;"*",T$4&amp;" – *")))</f>
        <v>0</v>
      </c>
      <c r="U46" s="7">
        <f>IF(U$4="HĐTN",COUNTIF('[1]03_TKB_LOP'!$B$498:$G$505,"HĐTN*")+COUNTIF('[1]03_TKB_LOP'!$B$498:$G$505,"Chào cờ/HĐTN*"),COUNTIF('[1]03_TKB_LOP'!$B$498:$G$505,IF(LEFT(U$4,5)="NHÓM:","NHÓM:*"&amp;MID(U$4,8,50)&amp;"*",U$4&amp;" – *")))</f>
        <v>0</v>
      </c>
      <c r="V46" s="7">
        <f>IF(V$4="HĐTN",COUNTIF('[1]03_TKB_LOP'!$B$498:$G$505,"HĐTN*")+COUNTIF('[1]03_TKB_LOP'!$B$498:$G$505,"Chào cờ/HĐTN*"),COUNTIF('[1]03_TKB_LOP'!$B$498:$G$505,IF(LEFT(V$4,5)="NHÓM:","NHÓM:*"&amp;MID(V$4,8,50)&amp;"*",V$4&amp;" – *")))</f>
        <v>0</v>
      </c>
      <c r="W46" s="7">
        <f>IF(W$4="HĐTN",COUNTIF('[1]03_TKB_LOP'!$B$498:$G$505,"HĐTN*")+COUNTIF('[1]03_TKB_LOP'!$B$498:$G$505,"Chào cờ/HĐTN*"),COUNTIF('[1]03_TKB_LOP'!$B$498:$G$505,IF(LEFT(W$4,5)="NHÓM:","NHÓM:*"&amp;MID(W$4,8,50)&amp;"*",W$4&amp;" – *")))</f>
        <v>0</v>
      </c>
      <c r="X46" s="7">
        <f>IF(X$4="HĐTN",COUNTIF('[1]03_TKB_LOP'!$B$498:$G$505,"HĐTN*")+COUNTIF('[1]03_TKB_LOP'!$B$498:$G$505,"Chào cờ/HĐTN*"),COUNTIF('[1]03_TKB_LOP'!$B$498:$G$505,IF(LEFT(X$4,5)="NHÓM:","NHÓM:*"&amp;MID(X$4,8,50)&amp;"*",X$4&amp;" – *")))</f>
        <v>8</v>
      </c>
      <c r="Y46" s="7">
        <f>IF(Y$4="HĐTN",COUNTIF('[1]03_TKB_LOP'!$B$498:$G$505,"HĐTN*")+COUNTIF('[1]03_TKB_LOP'!$B$498:$G$505,"Chào cờ/HĐTN*"),COUNTIF('[1]03_TKB_LOP'!$B$498:$G$505,IF(LEFT(Y$4,5)="NHÓM:","NHÓM:*"&amp;MID(Y$4,8,50)&amp;"*",Y$4&amp;" – *")))</f>
        <v>6</v>
      </c>
      <c r="Z46" s="7">
        <f>IF(Z$4="HĐTN",COUNTIF('[1]03_TKB_LOP'!$B$498:$G$505,"HĐTN*")+COUNTIF('[1]03_TKB_LOP'!$B$498:$G$505,"Chào cờ/HĐTN*"),COUNTIF('[1]03_TKB_LOP'!$B$498:$G$505,IF(LEFT(Z$4,5)="NHÓM:","NHÓM:*"&amp;MID(Z$4,8,50)&amp;"*",Z$4&amp;" – *")))</f>
        <v>0</v>
      </c>
      <c r="AA46" s="7">
        <f>IF(AA$4="HĐTN",COUNTIF('[1]03_TKB_LOP'!$B$498:$G$505,"HĐTN*")+COUNTIF('[1]03_TKB_LOP'!$B$498:$G$505,"Chào cờ/HĐTN*"),COUNTIF('[1]03_TKB_LOP'!$B$498:$G$505,IF(LEFT(AA$4,5)="NHÓM:","NHÓM:*"&amp;MID(AA$4,8,50)&amp;"*",AA$4&amp;" – *")))</f>
        <v>0</v>
      </c>
      <c r="AB46" s="7">
        <f>IF(AB$4="HĐTN",COUNTIF('[1]03_TKB_LOP'!$B$498:$G$505,"HĐTN*")+COUNTIF('[1]03_TKB_LOP'!$B$498:$G$505,"Chào cờ/HĐTN*"),COUNTIF('[1]03_TKB_LOP'!$B$498:$G$505,IF(LEFT(AB$4,5)="NHÓM:","NHÓM:*"&amp;MID(AB$4,8,50)&amp;"*",AB$4&amp;" – *")))</f>
        <v>8</v>
      </c>
    </row>
    <row r="47" spans="1:28" x14ac:dyDescent="0.2">
      <c r="A47" s="5" t="str">
        <f>TRIM(MID('[1]03_TKB_LOP'!$A$508,4,FIND("|",'[1]03_TKB_LOP'!$A$508)-4))</f>
        <v>12A8</v>
      </c>
      <c r="B47" s="6" t="str">
        <f>TRIM(MID('[1]03_TKB_LOP'!$A$508,FIND("GVCN:",'[1]03_TKB_LOP'!$A$508)+5,FIND("|",'[1]03_TKB_LOP'!$A$508,FIND("GVCN:",'[1]03_TKB_LOP'!$A$508))-FIND("GVCN:",'[1]03_TKB_LOP'!$A$508)-5))</f>
        <v>LÊ THỊ TƯỜNG VY</v>
      </c>
      <c r="C47" s="7">
        <f>IF(C$4="HĐTN",COUNTIF('[1]03_TKB_LOP'!$B$510:$G$517,"HĐTN*")+COUNTIF('[1]03_TKB_LOP'!$B$510:$G$517,"Chào cờ/HĐTN*"),COUNTIF('[1]03_TKB_LOP'!$B$510:$G$517,IF(LEFT(C$4,5)="NHÓM:","NHÓM:*"&amp;MID(C$4,8,50)&amp;"*",C$4&amp;" – *")))</f>
        <v>3</v>
      </c>
      <c r="D47" s="7">
        <f>IF(D$4="HĐTN",COUNTIF('[1]03_TKB_LOP'!$B$510:$G$517,"HĐTN*")+COUNTIF('[1]03_TKB_LOP'!$B$510:$G$517,"Chào cờ/HĐTN*"),COUNTIF('[1]03_TKB_LOP'!$B$510:$G$517,IF(LEFT(D$4,5)="NHÓM:","NHÓM:*"&amp;MID(D$4,8,50)&amp;"*",D$4&amp;" – *")))</f>
        <v>5</v>
      </c>
      <c r="E47" s="7">
        <f>IF(E$4="HĐTN",COUNTIF('[1]03_TKB_LOP'!$B$510:$G$517,"HĐTN*")+COUNTIF('[1]03_TKB_LOP'!$B$510:$G$517,"Chào cờ/HĐTN*"),COUNTIF('[1]03_TKB_LOP'!$B$510:$G$517,IF(LEFT(E$4,5)="NHÓM:","NHÓM:*"&amp;MID(E$4,8,50)&amp;"*",E$4&amp;" – *")))</f>
        <v>5</v>
      </c>
      <c r="F47" s="7">
        <f>IF(F$4="HĐTN",COUNTIF('[1]03_TKB_LOP'!$B$510:$G$517,"HĐTN*")+COUNTIF('[1]03_TKB_LOP'!$B$510:$G$517,"Chào cờ/HĐTN*"),COUNTIF('[1]03_TKB_LOP'!$B$510:$G$517,IF(LEFT(F$4,5)="NHÓM:","NHÓM:*"&amp;MID(F$4,8,50)&amp;"*",F$4&amp;" – *")))</f>
        <v>3</v>
      </c>
      <c r="G47" s="7">
        <f>IF(G$4="HĐTN",COUNTIF('[1]03_TKB_LOP'!$B$510:$G$517,"HĐTN*")+COUNTIF('[1]03_TKB_LOP'!$B$510:$G$517,"Chào cờ/HĐTN*"),COUNTIF('[1]03_TKB_LOP'!$B$510:$G$517,IF(LEFT(G$4,5)="NHÓM:","NHÓM:*"&amp;MID(G$4,8,50)&amp;"*",G$4&amp;" – *")))</f>
        <v>2</v>
      </c>
      <c r="H47" s="7">
        <f>IF(H$4="HĐTN",COUNTIF('[1]03_TKB_LOP'!$B$510:$G$517,"HĐTN*")+COUNTIF('[1]03_TKB_LOP'!$B$510:$G$517,"Chào cờ/HĐTN*"),COUNTIF('[1]03_TKB_LOP'!$B$510:$G$517,IF(LEFT(H$4,5)="NHÓM:","NHÓM:*"&amp;MID(H$4,8,50)&amp;"*",H$4&amp;" – *")))</f>
        <v>0</v>
      </c>
      <c r="I47" s="7">
        <f>IF(I$4="HĐTN",COUNTIF('[1]03_TKB_LOP'!$B$510:$G$517,"HĐTN*")+COUNTIF('[1]03_TKB_LOP'!$B$510:$G$517,"Chào cờ/HĐTN*"),COUNTIF('[1]03_TKB_LOP'!$B$510:$G$517,IF(LEFT(I$4,5)="NHÓM:","NHÓM:*"&amp;MID(I$4,8,50)&amp;"*",I$4&amp;" – *")))</f>
        <v>0</v>
      </c>
      <c r="J47" s="7">
        <f>IF(J$4="HĐTN",COUNTIF('[1]03_TKB_LOP'!$B$510:$G$517,"HĐTN*")+COUNTIF('[1]03_TKB_LOP'!$B$510:$G$517,"Chào cờ/HĐTN*"),COUNTIF('[1]03_TKB_LOP'!$B$510:$G$517,IF(LEFT(J$4,5)="NHÓM:","NHÓM:*"&amp;MID(J$4,8,50)&amp;"*",J$4&amp;" – *")))</f>
        <v>2</v>
      </c>
      <c r="K47" s="7">
        <f>IF(K$4="HĐTN",COUNTIF('[1]03_TKB_LOP'!$B$510:$G$517,"HĐTN*")+COUNTIF('[1]03_TKB_LOP'!$B$510:$G$517,"Chào cờ/HĐTN*"),COUNTIF('[1]03_TKB_LOP'!$B$510:$G$517,IF(LEFT(K$4,5)="NHÓM:","NHÓM:*"&amp;MID(K$4,8,50)&amp;"*",K$4&amp;" – *")))</f>
        <v>0</v>
      </c>
      <c r="L47" s="7">
        <f>IF(L$4="HĐTN",COUNTIF('[1]03_TKB_LOP'!$B$510:$G$517,"HĐTN*")+COUNTIF('[1]03_TKB_LOP'!$B$510:$G$517,"Chào cờ/HĐTN*"),COUNTIF('[1]03_TKB_LOP'!$B$510:$G$517,IF(LEFT(L$4,5)="NHÓM:","NHÓM:*"&amp;MID(L$4,8,50)&amp;"*",L$4&amp;" – *")))</f>
        <v>2</v>
      </c>
      <c r="M47" s="7">
        <f>IF(M$4="HĐTN",COUNTIF('[1]03_TKB_LOP'!$B$510:$G$517,"HĐTN*")+COUNTIF('[1]03_TKB_LOP'!$B$510:$G$517,"Chào cờ/HĐTN*"),COUNTIF('[1]03_TKB_LOP'!$B$510:$G$517,IF(LEFT(M$4,5)="NHÓM:","NHÓM:*"&amp;MID(M$4,8,50)&amp;"*",M$4&amp;" – *")))</f>
        <v>2</v>
      </c>
      <c r="N47" s="7">
        <f>IF(N$4="HĐTN",COUNTIF('[1]03_TKB_LOP'!$B$510:$G$517,"HĐTN*")+COUNTIF('[1]03_TKB_LOP'!$B$510:$G$517,"Chào cờ/HĐTN*"),COUNTIF('[1]03_TKB_LOP'!$B$510:$G$517,IF(LEFT(N$4,5)="NHÓM:","NHÓM:*"&amp;MID(N$4,8,50)&amp;"*",N$4&amp;" – *")))</f>
        <v>2</v>
      </c>
      <c r="O47" s="7">
        <f>IF(O$4="HĐTN",COUNTIF('[1]03_TKB_LOP'!$B$510:$G$517,"HĐTN*")+COUNTIF('[1]03_TKB_LOP'!$B$510:$G$517,"Chào cờ/HĐTN*"),COUNTIF('[1]03_TKB_LOP'!$B$510:$G$517,IF(LEFT(O$4,5)="NHÓM:","NHÓM:*"&amp;MID(O$4,8,50)&amp;"*",O$4&amp;" – *")))</f>
        <v>1</v>
      </c>
      <c r="P47" s="7">
        <f>IF(P$4="HĐTN",COUNTIF('[1]03_TKB_LOP'!$B$510:$G$517,"HĐTN*")+COUNTIF('[1]03_TKB_LOP'!$B$510:$G$517,"Chào cờ/HĐTN*"),COUNTIF('[1]03_TKB_LOP'!$B$510:$G$517,IF(LEFT(P$4,5)="NHÓM:","NHÓM:*"&amp;MID(P$4,8,50)&amp;"*",P$4&amp;" – *")))</f>
        <v>1</v>
      </c>
      <c r="Q47" s="7">
        <f>IF(Q$4="HĐTN",COUNTIF('[1]03_TKB_LOP'!$B$510:$G$517,"HĐTN*")+COUNTIF('[1]03_TKB_LOP'!$B$510:$G$517,"Chào cờ/HĐTN*"),COUNTIF('[1]03_TKB_LOP'!$B$510:$G$517,IF(LEFT(Q$4,5)="NHÓM:","NHÓM:*"&amp;MID(Q$4,8,50)&amp;"*",Q$4&amp;" – *")))</f>
        <v>1</v>
      </c>
      <c r="R47" s="7">
        <f>IF(R$4="HĐTN",COUNTIF('[1]03_TKB_LOP'!$B$510:$G$517,"HĐTN*")+COUNTIF('[1]03_TKB_LOP'!$B$510:$G$517,"Chào cờ/HĐTN*"),COUNTIF('[1]03_TKB_LOP'!$B$510:$G$517,IF(LEFT(R$4,5)="NHÓM:","NHÓM:*"&amp;MID(R$4,8,50)&amp;"*",R$4&amp;" – *")))</f>
        <v>1</v>
      </c>
      <c r="S47" s="7">
        <f>IF(S$4="HĐTN",COUNTIF('[1]03_TKB_LOP'!$B$510:$G$517,"HĐTN*")+COUNTIF('[1]03_TKB_LOP'!$B$510:$G$517,"Chào cờ/HĐTN*"),COUNTIF('[1]03_TKB_LOP'!$B$510:$G$517,IF(LEFT(S$4,5)="NHÓM:","NHÓM:*"&amp;MID(S$4,8,50)&amp;"*",S$4&amp;" – *")))</f>
        <v>1</v>
      </c>
      <c r="T47" s="7">
        <f>IF(T$4="HĐTN",COUNTIF('[1]03_TKB_LOP'!$B$510:$G$517,"HĐTN*")+COUNTIF('[1]03_TKB_LOP'!$B$510:$G$517,"Chào cờ/HĐTN*"),COUNTIF('[1]03_TKB_LOP'!$B$510:$G$517,IF(LEFT(T$4,5)="NHÓM:","NHÓM:*"&amp;MID(T$4,8,50)&amp;"*",T$4&amp;" – *")))</f>
        <v>0</v>
      </c>
      <c r="U47" s="7">
        <f>IF(U$4="HĐTN",COUNTIF('[1]03_TKB_LOP'!$B$510:$G$517,"HĐTN*")+COUNTIF('[1]03_TKB_LOP'!$B$510:$G$517,"Chào cờ/HĐTN*"),COUNTIF('[1]03_TKB_LOP'!$B$510:$G$517,IF(LEFT(U$4,5)="NHÓM:","NHÓM:*"&amp;MID(U$4,8,50)&amp;"*",U$4&amp;" – *")))</f>
        <v>0</v>
      </c>
      <c r="V47" s="7">
        <f>IF(V$4="HĐTN",COUNTIF('[1]03_TKB_LOP'!$B$510:$G$517,"HĐTN*")+COUNTIF('[1]03_TKB_LOP'!$B$510:$G$517,"Chào cờ/HĐTN*"),COUNTIF('[1]03_TKB_LOP'!$B$510:$G$517,IF(LEFT(V$4,5)="NHÓM:","NHÓM:*"&amp;MID(V$4,8,50)&amp;"*",V$4&amp;" – *")))</f>
        <v>0</v>
      </c>
      <c r="W47" s="7">
        <f>IF(W$4="HĐTN",COUNTIF('[1]03_TKB_LOP'!$B$510:$G$517,"HĐTN*")+COUNTIF('[1]03_TKB_LOP'!$B$510:$G$517,"Chào cờ/HĐTN*"),COUNTIF('[1]03_TKB_LOP'!$B$510:$G$517,IF(LEFT(W$4,5)="NHÓM:","NHÓM:*"&amp;MID(W$4,8,50)&amp;"*",W$4&amp;" – *")))</f>
        <v>0</v>
      </c>
      <c r="X47" s="7">
        <f>IF(X$4="HĐTN",COUNTIF('[1]03_TKB_LOP'!$B$510:$G$517,"HĐTN*")+COUNTIF('[1]03_TKB_LOP'!$B$510:$G$517,"Chào cờ/HĐTN*"),COUNTIF('[1]03_TKB_LOP'!$B$510:$G$517,IF(LEFT(X$4,5)="NHÓM:","NHÓM:*"&amp;MID(X$4,8,50)&amp;"*",X$4&amp;" – *")))</f>
        <v>6</v>
      </c>
      <c r="Y47" s="7">
        <f>IF(Y$4="HĐTN",COUNTIF('[1]03_TKB_LOP'!$B$510:$G$517,"HĐTN*")+COUNTIF('[1]03_TKB_LOP'!$B$510:$G$517,"Chào cờ/HĐTN*"),COUNTIF('[1]03_TKB_LOP'!$B$510:$G$517,IF(LEFT(Y$4,5)="NHÓM:","NHÓM:*"&amp;MID(Y$4,8,50)&amp;"*",Y$4&amp;" – *")))</f>
        <v>8</v>
      </c>
      <c r="Z47" s="7">
        <f>IF(Z$4="HĐTN",COUNTIF('[1]03_TKB_LOP'!$B$510:$G$517,"HĐTN*")+COUNTIF('[1]03_TKB_LOP'!$B$510:$G$517,"Chào cờ/HĐTN*"),COUNTIF('[1]03_TKB_LOP'!$B$510:$G$517,IF(LEFT(Z$4,5)="NHÓM:","NHÓM:*"&amp;MID(Z$4,8,50)&amp;"*",Z$4&amp;" – *")))</f>
        <v>0</v>
      </c>
      <c r="AA47" s="7">
        <f>IF(AA$4="HĐTN",COUNTIF('[1]03_TKB_LOP'!$B$510:$G$517,"HĐTN*")+COUNTIF('[1]03_TKB_LOP'!$B$510:$G$517,"Chào cờ/HĐTN*"),COUNTIF('[1]03_TKB_LOP'!$B$510:$G$517,IF(LEFT(AA$4,5)="NHÓM:","NHÓM:*"&amp;MID(AA$4,8,50)&amp;"*",AA$4&amp;" – *")))</f>
        <v>0</v>
      </c>
      <c r="AB47" s="7">
        <f>IF(AB$4="HĐTN",COUNTIF('[1]03_TKB_LOP'!$B$510:$G$517,"HĐTN*")+COUNTIF('[1]03_TKB_LOP'!$B$510:$G$517,"Chào cờ/HĐTN*"),COUNTIF('[1]03_TKB_LOP'!$B$510:$G$517,IF(LEFT(AB$4,5)="NHÓM:","NHÓM:*"&amp;MID(AB$4,8,50)&amp;"*",AB$4&amp;" – *")))</f>
        <v>8</v>
      </c>
    </row>
    <row r="48" spans="1:28" x14ac:dyDescent="0.2">
      <c r="A48" s="5" t="str">
        <f>TRIM(MID('[1]03_TKB_LOP'!$A$520,4,FIND("|",'[1]03_TKB_LOP'!$A$520)-4))</f>
        <v>12A9</v>
      </c>
      <c r="B48" s="6" t="str">
        <f>TRIM(MID('[1]03_TKB_LOP'!$A$520,FIND("GVCN:",'[1]03_TKB_LOP'!$A$520)+5,FIND("|",'[1]03_TKB_LOP'!$A$520,FIND("GVCN:",'[1]03_TKB_LOP'!$A$520))-FIND("GVCN:",'[1]03_TKB_LOP'!$A$520)-5))</f>
        <v>TRẦN THỊ MỸ THANH</v>
      </c>
      <c r="C48" s="7">
        <f>IF(C$4="HĐTN",COUNTIF('[1]03_TKB_LOP'!$B$522:$G$529,"HĐTN*")+COUNTIF('[1]03_TKB_LOP'!$B$522:$G$529,"Chào cờ/HĐTN*"),COUNTIF('[1]03_TKB_LOP'!$B$522:$G$529,IF(LEFT(C$4,5)="NHÓM:","NHÓM:*"&amp;MID(C$4,8,50)&amp;"*",C$4&amp;" – *")))</f>
        <v>3</v>
      </c>
      <c r="D48" s="7">
        <f>IF(D$4="HĐTN",COUNTIF('[1]03_TKB_LOP'!$B$522:$G$529,"HĐTN*")+COUNTIF('[1]03_TKB_LOP'!$B$522:$G$529,"Chào cờ/HĐTN*"),COUNTIF('[1]03_TKB_LOP'!$B$522:$G$529,IF(LEFT(D$4,5)="NHÓM:","NHÓM:*"&amp;MID(D$4,8,50)&amp;"*",D$4&amp;" – *")))</f>
        <v>5</v>
      </c>
      <c r="E48" s="7">
        <f>IF(E$4="HĐTN",COUNTIF('[1]03_TKB_LOP'!$B$522:$G$529,"HĐTN*")+COUNTIF('[1]03_TKB_LOP'!$B$522:$G$529,"Chào cờ/HĐTN*"),COUNTIF('[1]03_TKB_LOP'!$B$522:$G$529,IF(LEFT(E$4,5)="NHÓM:","NHÓM:*"&amp;MID(E$4,8,50)&amp;"*",E$4&amp;" – *")))</f>
        <v>5</v>
      </c>
      <c r="F48" s="7">
        <f>IF(F$4="HĐTN",COUNTIF('[1]03_TKB_LOP'!$B$522:$G$529,"HĐTN*")+COUNTIF('[1]03_TKB_LOP'!$B$522:$G$529,"Chào cờ/HĐTN*"),COUNTIF('[1]03_TKB_LOP'!$B$522:$G$529,IF(LEFT(F$4,5)="NHÓM:","NHÓM:*"&amp;MID(F$4,8,50)&amp;"*",F$4&amp;" – *")))</f>
        <v>3</v>
      </c>
      <c r="G48" s="7">
        <f>IF(G$4="HĐTN",COUNTIF('[1]03_TKB_LOP'!$B$522:$G$529,"HĐTN*")+COUNTIF('[1]03_TKB_LOP'!$B$522:$G$529,"Chào cờ/HĐTN*"),COUNTIF('[1]03_TKB_LOP'!$B$522:$G$529,IF(LEFT(G$4,5)="NHÓM:","NHÓM:*"&amp;MID(G$4,8,50)&amp;"*",G$4&amp;" – *")))</f>
        <v>0</v>
      </c>
      <c r="H48" s="7">
        <f>IF(H$4="HĐTN",COUNTIF('[1]03_TKB_LOP'!$B$522:$G$529,"HĐTN*")+COUNTIF('[1]03_TKB_LOP'!$B$522:$G$529,"Chào cờ/HĐTN*"),COUNTIF('[1]03_TKB_LOP'!$B$522:$G$529,IF(LEFT(H$4,5)="NHÓM:","NHÓM:*"&amp;MID(H$4,8,50)&amp;"*",H$4&amp;" – *")))</f>
        <v>2</v>
      </c>
      <c r="I48" s="7">
        <f>IF(I$4="HĐTN",COUNTIF('[1]03_TKB_LOP'!$B$522:$G$529,"HĐTN*")+COUNTIF('[1]03_TKB_LOP'!$B$522:$G$529,"Chào cờ/HĐTN*"),COUNTIF('[1]03_TKB_LOP'!$B$522:$G$529,IF(LEFT(I$4,5)="NHÓM:","NHÓM:*"&amp;MID(I$4,8,50)&amp;"*",I$4&amp;" – *")))</f>
        <v>0</v>
      </c>
      <c r="J48" s="7">
        <f>IF(J$4="HĐTN",COUNTIF('[1]03_TKB_LOP'!$B$522:$G$529,"HĐTN*")+COUNTIF('[1]03_TKB_LOP'!$B$522:$G$529,"Chào cờ/HĐTN*"),COUNTIF('[1]03_TKB_LOP'!$B$522:$G$529,IF(LEFT(J$4,5)="NHÓM:","NHÓM:*"&amp;MID(J$4,8,50)&amp;"*",J$4&amp;" – *")))</f>
        <v>2</v>
      </c>
      <c r="K48" s="7">
        <f>IF(K$4="HĐTN",COUNTIF('[1]03_TKB_LOP'!$B$522:$G$529,"HĐTN*")+COUNTIF('[1]03_TKB_LOP'!$B$522:$G$529,"Chào cờ/HĐTN*"),COUNTIF('[1]03_TKB_LOP'!$B$522:$G$529,IF(LEFT(K$4,5)="NHÓM:","NHÓM:*"&amp;MID(K$4,8,50)&amp;"*",K$4&amp;" – *")))</f>
        <v>2</v>
      </c>
      <c r="L48" s="7">
        <f>IF(L$4="HĐTN",COUNTIF('[1]03_TKB_LOP'!$B$522:$G$529,"HĐTN*")+COUNTIF('[1]03_TKB_LOP'!$B$522:$G$529,"Chào cờ/HĐTN*"),COUNTIF('[1]03_TKB_LOP'!$B$522:$G$529,IF(LEFT(L$4,5)="NHÓM:","NHÓM:*"&amp;MID(L$4,8,50)&amp;"*",L$4&amp;" – *")))</f>
        <v>2</v>
      </c>
      <c r="M48" s="7">
        <f>IF(M$4="HĐTN",COUNTIF('[1]03_TKB_LOP'!$B$522:$G$529,"HĐTN*")+COUNTIF('[1]03_TKB_LOP'!$B$522:$G$529,"Chào cờ/HĐTN*"),COUNTIF('[1]03_TKB_LOP'!$B$522:$G$529,IF(LEFT(M$4,5)="NHÓM:","NHÓM:*"&amp;MID(M$4,8,50)&amp;"*",M$4&amp;" – *")))</f>
        <v>2</v>
      </c>
      <c r="N48" s="7">
        <f>IF(N$4="HĐTN",COUNTIF('[1]03_TKB_LOP'!$B$522:$G$529,"HĐTN*")+COUNTIF('[1]03_TKB_LOP'!$B$522:$G$529,"Chào cờ/HĐTN*"),COUNTIF('[1]03_TKB_LOP'!$B$522:$G$529,IF(LEFT(N$4,5)="NHÓM:","NHÓM:*"&amp;MID(N$4,8,50)&amp;"*",N$4&amp;" – *")))</f>
        <v>0</v>
      </c>
      <c r="O48" s="7">
        <f>IF(O$4="HĐTN",COUNTIF('[1]03_TKB_LOP'!$B$522:$G$529,"HĐTN*")+COUNTIF('[1]03_TKB_LOP'!$B$522:$G$529,"Chào cờ/HĐTN*"),COUNTIF('[1]03_TKB_LOP'!$B$522:$G$529,IF(LEFT(O$4,5)="NHÓM:","NHÓM:*"&amp;MID(O$4,8,50)&amp;"*",O$4&amp;" – *")))</f>
        <v>1</v>
      </c>
      <c r="P48" s="7">
        <f>IF(P$4="HĐTN",COUNTIF('[1]03_TKB_LOP'!$B$522:$G$529,"HĐTN*")+COUNTIF('[1]03_TKB_LOP'!$B$522:$G$529,"Chào cờ/HĐTN*"),COUNTIF('[1]03_TKB_LOP'!$B$522:$G$529,IF(LEFT(P$4,5)="NHÓM:","NHÓM:*"&amp;MID(P$4,8,50)&amp;"*",P$4&amp;" – *")))</f>
        <v>1</v>
      </c>
      <c r="Q48" s="7">
        <f>IF(Q$4="HĐTN",COUNTIF('[1]03_TKB_LOP'!$B$522:$G$529,"HĐTN*")+COUNTIF('[1]03_TKB_LOP'!$B$522:$G$529,"Chào cờ/HĐTN*"),COUNTIF('[1]03_TKB_LOP'!$B$522:$G$529,IF(LEFT(Q$4,5)="NHÓM:","NHÓM:*"&amp;MID(Q$4,8,50)&amp;"*",Q$4&amp;" – *")))</f>
        <v>0</v>
      </c>
      <c r="R48" s="7">
        <f>IF(R$4="HĐTN",COUNTIF('[1]03_TKB_LOP'!$B$522:$G$529,"HĐTN*")+COUNTIF('[1]03_TKB_LOP'!$B$522:$G$529,"Chào cờ/HĐTN*"),COUNTIF('[1]03_TKB_LOP'!$B$522:$G$529,IF(LEFT(R$4,5)="NHÓM:","NHÓM:*"&amp;MID(R$4,8,50)&amp;"*",R$4&amp;" – *")))</f>
        <v>1</v>
      </c>
      <c r="S48" s="7">
        <f>IF(S$4="HĐTN",COUNTIF('[1]03_TKB_LOP'!$B$522:$G$529,"HĐTN*")+COUNTIF('[1]03_TKB_LOP'!$B$522:$G$529,"Chào cờ/HĐTN*"),COUNTIF('[1]03_TKB_LOP'!$B$522:$G$529,IF(LEFT(S$4,5)="NHÓM:","NHÓM:*"&amp;MID(S$4,8,50)&amp;"*",S$4&amp;" – *")))</f>
        <v>0</v>
      </c>
      <c r="T48" s="7">
        <f>IF(T$4="HĐTN",COUNTIF('[1]03_TKB_LOP'!$B$522:$G$529,"HĐTN*")+COUNTIF('[1]03_TKB_LOP'!$B$522:$G$529,"Chào cờ/HĐTN*"),COUNTIF('[1]03_TKB_LOP'!$B$522:$G$529,IF(LEFT(T$4,5)="NHÓM:","NHÓM:*"&amp;MID(T$4,8,50)&amp;"*",T$4&amp;" – *")))</f>
        <v>0</v>
      </c>
      <c r="U48" s="7">
        <f>IF(U$4="HĐTN",COUNTIF('[1]03_TKB_LOP'!$B$522:$G$529,"HĐTN*")+COUNTIF('[1]03_TKB_LOP'!$B$522:$G$529,"Chào cờ/HĐTN*"),COUNTIF('[1]03_TKB_LOP'!$B$522:$G$529,IF(LEFT(U$4,5)="NHÓM:","NHÓM:*"&amp;MID(U$4,8,50)&amp;"*",U$4&amp;" – *")))</f>
        <v>0</v>
      </c>
      <c r="V48" s="7">
        <f>IF(V$4="HĐTN",COUNTIF('[1]03_TKB_LOP'!$B$522:$G$529,"HĐTN*")+COUNTIF('[1]03_TKB_LOP'!$B$522:$G$529,"Chào cờ/HĐTN*"),COUNTIF('[1]03_TKB_LOP'!$B$522:$G$529,IF(LEFT(V$4,5)="NHÓM:","NHÓM:*"&amp;MID(V$4,8,50)&amp;"*",V$4&amp;" – *")))</f>
        <v>1</v>
      </c>
      <c r="W48" s="7">
        <f>IF(W$4="HĐTN",COUNTIF('[1]03_TKB_LOP'!$B$522:$G$529,"HĐTN*")+COUNTIF('[1]03_TKB_LOP'!$B$522:$G$529,"Chào cờ/HĐTN*"),COUNTIF('[1]03_TKB_LOP'!$B$522:$G$529,IF(LEFT(W$4,5)="NHÓM:","NHÓM:*"&amp;MID(W$4,8,50)&amp;"*",W$4&amp;" – *")))</f>
        <v>1</v>
      </c>
      <c r="X48" s="7">
        <f>IF(X$4="HĐTN",COUNTIF('[1]03_TKB_LOP'!$B$522:$G$529,"HĐTN*")+COUNTIF('[1]03_TKB_LOP'!$B$522:$G$529,"Chào cờ/HĐTN*"),COUNTIF('[1]03_TKB_LOP'!$B$522:$G$529,IF(LEFT(X$4,5)="NHÓM:","NHÓM:*"&amp;MID(X$4,8,50)&amp;"*",X$4&amp;" – *")))</f>
        <v>8</v>
      </c>
      <c r="Y48" s="7">
        <f>IF(Y$4="HĐTN",COUNTIF('[1]03_TKB_LOP'!$B$522:$G$529,"HĐTN*")+COUNTIF('[1]03_TKB_LOP'!$B$522:$G$529,"Chào cờ/HĐTN*"),COUNTIF('[1]03_TKB_LOP'!$B$522:$G$529,IF(LEFT(Y$4,5)="NHÓM:","NHÓM:*"&amp;MID(Y$4,8,50)&amp;"*",Y$4&amp;" – *")))</f>
        <v>4</v>
      </c>
      <c r="Z48" s="7">
        <f>IF(Z$4="HĐTN",COUNTIF('[1]03_TKB_LOP'!$B$522:$G$529,"HĐTN*")+COUNTIF('[1]03_TKB_LOP'!$B$522:$G$529,"Chào cờ/HĐTN*"),COUNTIF('[1]03_TKB_LOP'!$B$522:$G$529,IF(LEFT(Z$4,5)="NHÓM:","NHÓM:*"&amp;MID(Z$4,8,50)&amp;"*",Z$4&amp;" – *")))</f>
        <v>0</v>
      </c>
      <c r="AA48" s="7">
        <f>IF(AA$4="HĐTN",COUNTIF('[1]03_TKB_LOP'!$B$522:$G$529,"HĐTN*")+COUNTIF('[1]03_TKB_LOP'!$B$522:$G$529,"Chào cờ/HĐTN*"),COUNTIF('[1]03_TKB_LOP'!$B$522:$G$529,IF(LEFT(AA$4,5)="NHÓM:","NHÓM:*"&amp;MID(AA$4,8,50)&amp;"*",AA$4&amp;" – *")))</f>
        <v>0</v>
      </c>
      <c r="AB48" s="7">
        <f>IF(AB$4="HĐTN",COUNTIF('[1]03_TKB_LOP'!$B$522:$G$529,"HĐTN*")+COUNTIF('[1]03_TKB_LOP'!$B$522:$G$529,"Chào cờ/HĐTN*"),COUNTIF('[1]03_TKB_LOP'!$B$522:$G$529,IF(LEFT(AB$4,5)="NHÓM:","NHÓM:*"&amp;MID(AB$4,8,50)&amp;"*",AB$4&amp;" – *")))</f>
        <v>8</v>
      </c>
    </row>
    <row r="49" spans="1:28" x14ac:dyDescent="0.2">
      <c r="A49" s="5" t="str">
        <f>TRIM(MID('[1]03_TKB_LOP'!$A$532,4,FIND("|",'[1]03_TKB_LOP'!$A$532)-4))</f>
        <v>12A10</v>
      </c>
      <c r="B49" s="6" t="str">
        <f>TRIM(MID('[1]03_TKB_LOP'!$A$532,FIND("GVCN:",'[1]03_TKB_LOP'!$A$532)+5,FIND("|",'[1]03_TKB_LOP'!$A$532,FIND("GVCN:",'[1]03_TKB_LOP'!$A$532))-FIND("GVCN:",'[1]03_TKB_LOP'!$A$532)-5))</f>
        <v>NGUYỄN THỊ TUYẾT NHUNG</v>
      </c>
      <c r="C49" s="7">
        <f>IF(C$4="HĐTN",COUNTIF('[1]03_TKB_LOP'!$B$534:$G$541,"HĐTN*")+COUNTIF('[1]03_TKB_LOP'!$B$534:$G$541,"Chào cờ/HĐTN*"),COUNTIF('[1]03_TKB_LOP'!$B$534:$G$541,IF(LEFT(C$4,5)="NHÓM:","NHÓM:*"&amp;MID(C$4,8,50)&amp;"*",C$4&amp;" – *")))</f>
        <v>3</v>
      </c>
      <c r="D49" s="7">
        <f>IF(D$4="HĐTN",COUNTIF('[1]03_TKB_LOP'!$B$534:$G$541,"HĐTN*")+COUNTIF('[1]03_TKB_LOP'!$B$534:$G$541,"Chào cờ/HĐTN*"),COUNTIF('[1]03_TKB_LOP'!$B$534:$G$541,IF(LEFT(D$4,5)="NHÓM:","NHÓM:*"&amp;MID(D$4,8,50)&amp;"*",D$4&amp;" – *")))</f>
        <v>5</v>
      </c>
      <c r="E49" s="7">
        <f>IF(E$4="HĐTN",COUNTIF('[1]03_TKB_LOP'!$B$534:$G$541,"HĐTN*")+COUNTIF('[1]03_TKB_LOP'!$B$534:$G$541,"Chào cờ/HĐTN*"),COUNTIF('[1]03_TKB_LOP'!$B$534:$G$541,IF(LEFT(E$4,5)="NHÓM:","NHÓM:*"&amp;MID(E$4,8,50)&amp;"*",E$4&amp;" – *")))</f>
        <v>5</v>
      </c>
      <c r="F49" s="7">
        <f>IF(F$4="HĐTN",COUNTIF('[1]03_TKB_LOP'!$B$534:$G$541,"HĐTN*")+COUNTIF('[1]03_TKB_LOP'!$B$534:$G$541,"Chào cờ/HĐTN*"),COUNTIF('[1]03_TKB_LOP'!$B$534:$G$541,IF(LEFT(F$4,5)="NHÓM:","NHÓM:*"&amp;MID(F$4,8,50)&amp;"*",F$4&amp;" – *")))</f>
        <v>3</v>
      </c>
      <c r="G49" s="7">
        <f>IF(G$4="HĐTN",COUNTIF('[1]03_TKB_LOP'!$B$534:$G$541,"HĐTN*")+COUNTIF('[1]03_TKB_LOP'!$B$534:$G$541,"Chào cờ/HĐTN*"),COUNTIF('[1]03_TKB_LOP'!$B$534:$G$541,IF(LEFT(G$4,5)="NHÓM:","NHÓM:*"&amp;MID(G$4,8,50)&amp;"*",G$4&amp;" – *")))</f>
        <v>0</v>
      </c>
      <c r="H49" s="7">
        <f>IF(H$4="HĐTN",COUNTIF('[1]03_TKB_LOP'!$B$534:$G$541,"HĐTN*")+COUNTIF('[1]03_TKB_LOP'!$B$534:$G$541,"Chào cờ/HĐTN*"),COUNTIF('[1]03_TKB_LOP'!$B$534:$G$541,IF(LEFT(H$4,5)="NHÓM:","NHÓM:*"&amp;MID(H$4,8,50)&amp;"*",H$4&amp;" – *")))</f>
        <v>2</v>
      </c>
      <c r="I49" s="7">
        <f>IF(I$4="HĐTN",COUNTIF('[1]03_TKB_LOP'!$B$534:$G$541,"HĐTN*")+COUNTIF('[1]03_TKB_LOP'!$B$534:$G$541,"Chào cờ/HĐTN*"),COUNTIF('[1]03_TKB_LOP'!$B$534:$G$541,IF(LEFT(I$4,5)="NHÓM:","NHÓM:*"&amp;MID(I$4,8,50)&amp;"*",I$4&amp;" – *")))</f>
        <v>2</v>
      </c>
      <c r="J49" s="7">
        <f>IF(J$4="HĐTN",COUNTIF('[1]03_TKB_LOP'!$B$534:$G$541,"HĐTN*")+COUNTIF('[1]03_TKB_LOP'!$B$534:$G$541,"Chào cờ/HĐTN*"),COUNTIF('[1]03_TKB_LOP'!$B$534:$G$541,IF(LEFT(J$4,5)="NHÓM:","NHÓM:*"&amp;MID(J$4,8,50)&amp;"*",J$4&amp;" – *")))</f>
        <v>2</v>
      </c>
      <c r="K49" s="7">
        <f>IF(K$4="HĐTN",COUNTIF('[1]03_TKB_LOP'!$B$534:$G$541,"HĐTN*")+COUNTIF('[1]03_TKB_LOP'!$B$534:$G$541,"Chào cờ/HĐTN*"),COUNTIF('[1]03_TKB_LOP'!$B$534:$G$541,IF(LEFT(K$4,5)="NHÓM:","NHÓM:*"&amp;MID(K$4,8,50)&amp;"*",K$4&amp;" – *")))</f>
        <v>0</v>
      </c>
      <c r="L49" s="7">
        <f>IF(L$4="HĐTN",COUNTIF('[1]03_TKB_LOP'!$B$534:$G$541,"HĐTN*")+COUNTIF('[1]03_TKB_LOP'!$B$534:$G$541,"Chào cờ/HĐTN*"),COUNTIF('[1]03_TKB_LOP'!$B$534:$G$541,IF(LEFT(L$4,5)="NHÓM:","NHÓM:*"&amp;MID(L$4,8,50)&amp;"*",L$4&amp;" – *")))</f>
        <v>2</v>
      </c>
      <c r="M49" s="7">
        <f>IF(M$4="HĐTN",COUNTIF('[1]03_TKB_LOP'!$B$534:$G$541,"HĐTN*")+COUNTIF('[1]03_TKB_LOP'!$B$534:$G$541,"Chào cờ/HĐTN*"),COUNTIF('[1]03_TKB_LOP'!$B$534:$G$541,IF(LEFT(M$4,5)="NHÓM:","NHÓM:*"&amp;MID(M$4,8,50)&amp;"*",M$4&amp;" – *")))</f>
        <v>2</v>
      </c>
      <c r="N49" s="7">
        <f>IF(N$4="HĐTN",COUNTIF('[1]03_TKB_LOP'!$B$534:$G$541,"HĐTN*")+COUNTIF('[1]03_TKB_LOP'!$B$534:$G$541,"Chào cờ/HĐTN*"),COUNTIF('[1]03_TKB_LOP'!$B$534:$G$541,IF(LEFT(N$4,5)="NHÓM:","NHÓM:*"&amp;MID(N$4,8,50)&amp;"*",N$4&amp;" – *")))</f>
        <v>0</v>
      </c>
      <c r="O49" s="7">
        <f>IF(O$4="HĐTN",COUNTIF('[1]03_TKB_LOP'!$B$534:$G$541,"HĐTN*")+COUNTIF('[1]03_TKB_LOP'!$B$534:$G$541,"Chào cờ/HĐTN*"),COUNTIF('[1]03_TKB_LOP'!$B$534:$G$541,IF(LEFT(O$4,5)="NHÓM:","NHÓM:*"&amp;MID(O$4,8,50)&amp;"*",O$4&amp;" – *")))</f>
        <v>1</v>
      </c>
      <c r="P49" s="7">
        <f>IF(P$4="HĐTN",COUNTIF('[1]03_TKB_LOP'!$B$534:$G$541,"HĐTN*")+COUNTIF('[1]03_TKB_LOP'!$B$534:$G$541,"Chào cờ/HĐTN*"),COUNTIF('[1]03_TKB_LOP'!$B$534:$G$541,IF(LEFT(P$4,5)="NHÓM:","NHÓM:*"&amp;MID(P$4,8,50)&amp;"*",P$4&amp;" – *")))</f>
        <v>1</v>
      </c>
      <c r="Q49" s="7">
        <f>IF(Q$4="HĐTN",COUNTIF('[1]03_TKB_LOP'!$B$534:$G$541,"HĐTN*")+COUNTIF('[1]03_TKB_LOP'!$B$534:$G$541,"Chào cờ/HĐTN*"),COUNTIF('[1]03_TKB_LOP'!$B$534:$G$541,IF(LEFT(Q$4,5)="NHÓM:","NHÓM:*"&amp;MID(Q$4,8,50)&amp;"*",Q$4&amp;" – *")))</f>
        <v>1</v>
      </c>
      <c r="R49" s="7">
        <f>IF(R$4="HĐTN",COUNTIF('[1]03_TKB_LOP'!$B$534:$G$541,"HĐTN*")+COUNTIF('[1]03_TKB_LOP'!$B$534:$G$541,"Chào cờ/HĐTN*"),COUNTIF('[1]03_TKB_LOP'!$B$534:$G$541,IF(LEFT(R$4,5)="NHÓM:","NHÓM:*"&amp;MID(R$4,8,50)&amp;"*",R$4&amp;" – *")))</f>
        <v>0</v>
      </c>
      <c r="S49" s="7">
        <f>IF(S$4="HĐTN",COUNTIF('[1]03_TKB_LOP'!$B$534:$G$541,"HĐTN*")+COUNTIF('[1]03_TKB_LOP'!$B$534:$G$541,"Chào cờ/HĐTN*"),COUNTIF('[1]03_TKB_LOP'!$B$534:$G$541,IF(LEFT(S$4,5)="NHÓM:","NHÓM:*"&amp;MID(S$4,8,50)&amp;"*",S$4&amp;" – *")))</f>
        <v>0</v>
      </c>
      <c r="T49" s="7">
        <f>IF(T$4="HĐTN",COUNTIF('[1]03_TKB_LOP'!$B$534:$G$541,"HĐTN*")+COUNTIF('[1]03_TKB_LOP'!$B$534:$G$541,"Chào cờ/HĐTN*"),COUNTIF('[1]03_TKB_LOP'!$B$534:$G$541,IF(LEFT(T$4,5)="NHÓM:","NHÓM:*"&amp;MID(T$4,8,50)&amp;"*",T$4&amp;" – *")))</f>
        <v>1</v>
      </c>
      <c r="U49" s="7">
        <f>IF(U$4="HĐTN",COUNTIF('[1]03_TKB_LOP'!$B$534:$G$541,"HĐTN*")+COUNTIF('[1]03_TKB_LOP'!$B$534:$G$541,"Chào cờ/HĐTN*"),COUNTIF('[1]03_TKB_LOP'!$B$534:$G$541,IF(LEFT(U$4,5)="NHÓM:","NHÓM:*"&amp;MID(U$4,8,50)&amp;"*",U$4&amp;" – *")))</f>
        <v>1</v>
      </c>
      <c r="V49" s="7">
        <f>IF(V$4="HĐTN",COUNTIF('[1]03_TKB_LOP'!$B$534:$G$541,"HĐTN*")+COUNTIF('[1]03_TKB_LOP'!$B$534:$G$541,"Chào cờ/HĐTN*"),COUNTIF('[1]03_TKB_LOP'!$B$534:$G$541,IF(LEFT(V$4,5)="NHÓM:","NHÓM:*"&amp;MID(V$4,8,50)&amp;"*",V$4&amp;" – *")))</f>
        <v>0</v>
      </c>
      <c r="W49" s="7">
        <f>IF(W$4="HĐTN",COUNTIF('[1]03_TKB_LOP'!$B$534:$G$541,"HĐTN*")+COUNTIF('[1]03_TKB_LOP'!$B$534:$G$541,"Chào cờ/HĐTN*"),COUNTIF('[1]03_TKB_LOP'!$B$534:$G$541,IF(LEFT(W$4,5)="NHÓM:","NHÓM:*"&amp;MID(W$4,8,50)&amp;"*",W$4&amp;" – *")))</f>
        <v>0</v>
      </c>
      <c r="X49" s="7">
        <f>IF(X$4="HĐTN",COUNTIF('[1]03_TKB_LOP'!$B$534:$G$541,"HĐTN*")+COUNTIF('[1]03_TKB_LOP'!$B$534:$G$541,"Chào cờ/HĐTN*"),COUNTIF('[1]03_TKB_LOP'!$B$534:$G$541,IF(LEFT(X$4,5)="NHÓM:","NHÓM:*"&amp;MID(X$4,8,50)&amp;"*",X$4&amp;" – *")))</f>
        <v>4</v>
      </c>
      <c r="Y49" s="7">
        <f>IF(Y$4="HĐTN",COUNTIF('[1]03_TKB_LOP'!$B$534:$G$541,"HĐTN*")+COUNTIF('[1]03_TKB_LOP'!$B$534:$G$541,"Chào cờ/HĐTN*"),COUNTIF('[1]03_TKB_LOP'!$B$534:$G$541,IF(LEFT(Y$4,5)="NHÓM:","NHÓM:*"&amp;MID(Y$4,8,50)&amp;"*",Y$4&amp;" – *")))</f>
        <v>6</v>
      </c>
      <c r="Z49" s="7">
        <f>IF(Z$4="HĐTN",COUNTIF('[1]03_TKB_LOP'!$B$534:$G$541,"HĐTN*")+COUNTIF('[1]03_TKB_LOP'!$B$534:$G$541,"Chào cờ/HĐTN*"),COUNTIF('[1]03_TKB_LOP'!$B$534:$G$541,IF(LEFT(Z$4,5)="NHÓM:","NHÓM:*"&amp;MID(Z$4,8,50)&amp;"*",Z$4&amp;" – *")))</f>
        <v>0</v>
      </c>
      <c r="AA49" s="7">
        <f>IF(AA$4="HĐTN",COUNTIF('[1]03_TKB_LOP'!$B$534:$G$541,"HĐTN*")+COUNTIF('[1]03_TKB_LOP'!$B$534:$G$541,"Chào cờ/HĐTN*"),COUNTIF('[1]03_TKB_LOP'!$B$534:$G$541,IF(LEFT(AA$4,5)="NHÓM:","NHÓM:*"&amp;MID(AA$4,8,50)&amp;"*",AA$4&amp;" – *")))</f>
        <v>0</v>
      </c>
      <c r="AB49" s="7">
        <f>IF(AB$4="HĐTN",COUNTIF('[1]03_TKB_LOP'!$B$534:$G$541,"HĐTN*")+COUNTIF('[1]03_TKB_LOP'!$B$534:$G$541,"Chào cờ/HĐTN*"),COUNTIF('[1]03_TKB_LOP'!$B$534:$G$541,IF(LEFT(AB$4,5)="NHÓM:","NHÓM:*"&amp;MID(AB$4,8,50)&amp;"*",AB$4&amp;" – *")))</f>
        <v>6</v>
      </c>
    </row>
    <row r="50" spans="1:28" x14ac:dyDescent="0.2">
      <c r="A50" s="5" t="str">
        <f>TRIM(MID('[1]03_TKB_LOP'!$A$544,4,FIND("|",'[1]03_TKB_LOP'!$A$544)-4))</f>
        <v>12A11</v>
      </c>
      <c r="B50" s="6" t="str">
        <f>TRIM(MID('[1]03_TKB_LOP'!$A$544,FIND("GVCN:",'[1]03_TKB_LOP'!$A$544)+5,FIND("|",'[1]03_TKB_LOP'!$A$544,FIND("GVCN:",'[1]03_TKB_LOP'!$A$544))-FIND("GVCN:",'[1]03_TKB_LOP'!$A$544)-5))</f>
        <v>ĐOÀN THỊ KIM HẠNH</v>
      </c>
      <c r="C50" s="7">
        <f>IF(C$4="HĐTN",COUNTIF('[1]03_TKB_LOP'!$B$546:$G$553,"HĐTN*")+COUNTIF('[1]03_TKB_LOP'!$B$546:$G$553,"Chào cờ/HĐTN*"),COUNTIF('[1]03_TKB_LOP'!$B$546:$G$553,IF(LEFT(C$4,5)="NHÓM:","NHÓM:*"&amp;MID(C$4,8,50)&amp;"*",C$4&amp;" – *")))</f>
        <v>3</v>
      </c>
      <c r="D50" s="7">
        <f>IF(D$4="HĐTN",COUNTIF('[1]03_TKB_LOP'!$B$546:$G$553,"HĐTN*")+COUNTIF('[1]03_TKB_LOP'!$B$546:$G$553,"Chào cờ/HĐTN*"),COUNTIF('[1]03_TKB_LOP'!$B$546:$G$553,IF(LEFT(D$4,5)="NHÓM:","NHÓM:*"&amp;MID(D$4,8,50)&amp;"*",D$4&amp;" – *")))</f>
        <v>5</v>
      </c>
      <c r="E50" s="7">
        <f>IF(E$4="HĐTN",COUNTIF('[1]03_TKB_LOP'!$B$546:$G$553,"HĐTN*")+COUNTIF('[1]03_TKB_LOP'!$B$546:$G$553,"Chào cờ/HĐTN*"),COUNTIF('[1]03_TKB_LOP'!$B$546:$G$553,IF(LEFT(E$4,5)="NHÓM:","NHÓM:*"&amp;MID(E$4,8,50)&amp;"*",E$4&amp;" – *")))</f>
        <v>5</v>
      </c>
      <c r="F50" s="7">
        <f>IF(F$4="HĐTN",COUNTIF('[1]03_TKB_LOP'!$B$546:$G$553,"HĐTN*")+COUNTIF('[1]03_TKB_LOP'!$B$546:$G$553,"Chào cờ/HĐTN*"),COUNTIF('[1]03_TKB_LOP'!$B$546:$G$553,IF(LEFT(F$4,5)="NHÓM:","NHÓM:*"&amp;MID(F$4,8,50)&amp;"*",F$4&amp;" – *")))</f>
        <v>3</v>
      </c>
      <c r="G50" s="7">
        <f>IF(G$4="HĐTN",COUNTIF('[1]03_TKB_LOP'!$B$546:$G$553,"HĐTN*")+COUNTIF('[1]03_TKB_LOP'!$B$546:$G$553,"Chào cờ/HĐTN*"),COUNTIF('[1]03_TKB_LOP'!$B$546:$G$553,IF(LEFT(G$4,5)="NHÓM:","NHÓM:*"&amp;MID(G$4,8,50)&amp;"*",G$4&amp;" – *")))</f>
        <v>0</v>
      </c>
      <c r="H50" s="7">
        <f>IF(H$4="HĐTN",COUNTIF('[1]03_TKB_LOP'!$B$546:$G$553,"HĐTN*")+COUNTIF('[1]03_TKB_LOP'!$B$546:$G$553,"Chào cờ/HĐTN*"),COUNTIF('[1]03_TKB_LOP'!$B$546:$G$553,IF(LEFT(H$4,5)="NHÓM:","NHÓM:*"&amp;MID(H$4,8,50)&amp;"*",H$4&amp;" – *")))</f>
        <v>2</v>
      </c>
      <c r="I50" s="7">
        <f>IF(I$4="HĐTN",COUNTIF('[1]03_TKB_LOP'!$B$546:$G$553,"HĐTN*")+COUNTIF('[1]03_TKB_LOP'!$B$546:$G$553,"Chào cờ/HĐTN*"),COUNTIF('[1]03_TKB_LOP'!$B$546:$G$553,IF(LEFT(I$4,5)="NHÓM:","NHÓM:*"&amp;MID(I$4,8,50)&amp;"*",I$4&amp;" – *")))</f>
        <v>2</v>
      </c>
      <c r="J50" s="7">
        <f>IF(J$4="HĐTN",COUNTIF('[1]03_TKB_LOP'!$B$546:$G$553,"HĐTN*")+COUNTIF('[1]03_TKB_LOP'!$B$546:$G$553,"Chào cờ/HĐTN*"),COUNTIF('[1]03_TKB_LOP'!$B$546:$G$553,IF(LEFT(J$4,5)="NHÓM:","NHÓM:*"&amp;MID(J$4,8,50)&amp;"*",J$4&amp;" – *")))</f>
        <v>2</v>
      </c>
      <c r="K50" s="7">
        <f>IF(K$4="HĐTN",COUNTIF('[1]03_TKB_LOP'!$B$546:$G$553,"HĐTN*")+COUNTIF('[1]03_TKB_LOP'!$B$546:$G$553,"Chào cờ/HĐTN*"),COUNTIF('[1]03_TKB_LOP'!$B$546:$G$553,IF(LEFT(K$4,5)="NHÓM:","NHÓM:*"&amp;MID(K$4,8,50)&amp;"*",K$4&amp;" – *")))</f>
        <v>2</v>
      </c>
      <c r="L50" s="7">
        <f>IF(L$4="HĐTN",COUNTIF('[1]03_TKB_LOP'!$B$546:$G$553,"HĐTN*")+COUNTIF('[1]03_TKB_LOP'!$B$546:$G$553,"Chào cờ/HĐTN*"),COUNTIF('[1]03_TKB_LOP'!$B$546:$G$553,IF(LEFT(L$4,5)="NHÓM:","NHÓM:*"&amp;MID(L$4,8,50)&amp;"*",L$4&amp;" – *")))</f>
        <v>2</v>
      </c>
      <c r="M50" s="7">
        <f>IF(M$4="HĐTN",COUNTIF('[1]03_TKB_LOP'!$B$546:$G$553,"HĐTN*")+COUNTIF('[1]03_TKB_LOP'!$B$546:$G$553,"Chào cờ/HĐTN*"),COUNTIF('[1]03_TKB_LOP'!$B$546:$G$553,IF(LEFT(M$4,5)="NHÓM:","NHÓM:*"&amp;MID(M$4,8,50)&amp;"*",M$4&amp;" – *")))</f>
        <v>0</v>
      </c>
      <c r="N50" s="7">
        <f>IF(N$4="HĐTN",COUNTIF('[1]03_TKB_LOP'!$B$546:$G$553,"HĐTN*")+COUNTIF('[1]03_TKB_LOP'!$B$546:$G$553,"Chào cờ/HĐTN*"),COUNTIF('[1]03_TKB_LOP'!$B$546:$G$553,IF(LEFT(N$4,5)="NHÓM:","NHÓM:*"&amp;MID(N$4,8,50)&amp;"*",N$4&amp;" – *")))</f>
        <v>0</v>
      </c>
      <c r="O50" s="7">
        <f>IF(O$4="HĐTN",COUNTIF('[1]03_TKB_LOP'!$B$546:$G$553,"HĐTN*")+COUNTIF('[1]03_TKB_LOP'!$B$546:$G$553,"Chào cờ/HĐTN*"),COUNTIF('[1]03_TKB_LOP'!$B$546:$G$553,IF(LEFT(O$4,5)="NHÓM:","NHÓM:*"&amp;MID(O$4,8,50)&amp;"*",O$4&amp;" – *")))</f>
        <v>1</v>
      </c>
      <c r="P50" s="7">
        <f>IF(P$4="HĐTN",COUNTIF('[1]03_TKB_LOP'!$B$546:$G$553,"HĐTN*")+COUNTIF('[1]03_TKB_LOP'!$B$546:$G$553,"Chào cờ/HĐTN*"),COUNTIF('[1]03_TKB_LOP'!$B$546:$G$553,IF(LEFT(P$4,5)="NHÓM:","NHÓM:*"&amp;MID(P$4,8,50)&amp;"*",P$4&amp;" – *")))</f>
        <v>1</v>
      </c>
      <c r="Q50" s="7">
        <f>IF(Q$4="HĐTN",COUNTIF('[1]03_TKB_LOP'!$B$546:$G$553,"HĐTN*")+COUNTIF('[1]03_TKB_LOP'!$B$546:$G$553,"Chào cờ/HĐTN*"),COUNTIF('[1]03_TKB_LOP'!$B$546:$G$553,IF(LEFT(Q$4,5)="NHÓM:","NHÓM:*"&amp;MID(Q$4,8,50)&amp;"*",Q$4&amp;" – *")))</f>
        <v>1</v>
      </c>
      <c r="R50" s="7">
        <f>IF(R$4="HĐTN",COUNTIF('[1]03_TKB_LOP'!$B$546:$G$553,"HĐTN*")+COUNTIF('[1]03_TKB_LOP'!$B$546:$G$553,"Chào cờ/HĐTN*"),COUNTIF('[1]03_TKB_LOP'!$B$546:$G$553,IF(LEFT(R$4,5)="NHÓM:","NHÓM:*"&amp;MID(R$4,8,50)&amp;"*",R$4&amp;" – *")))</f>
        <v>0</v>
      </c>
      <c r="S50" s="7">
        <f>IF(S$4="HĐTN",COUNTIF('[1]03_TKB_LOP'!$B$546:$G$553,"HĐTN*")+COUNTIF('[1]03_TKB_LOP'!$B$546:$G$553,"Chào cờ/HĐTN*"),COUNTIF('[1]03_TKB_LOP'!$B$546:$G$553,IF(LEFT(S$4,5)="NHÓM:","NHÓM:*"&amp;MID(S$4,8,50)&amp;"*",S$4&amp;" – *")))</f>
        <v>0</v>
      </c>
      <c r="T50" s="7">
        <f>IF(T$4="HĐTN",COUNTIF('[1]03_TKB_LOP'!$B$546:$G$553,"HĐTN*")+COUNTIF('[1]03_TKB_LOP'!$B$546:$G$553,"Chào cờ/HĐTN*"),COUNTIF('[1]03_TKB_LOP'!$B$546:$G$553,IF(LEFT(T$4,5)="NHÓM:","NHÓM:*"&amp;MID(T$4,8,50)&amp;"*",T$4&amp;" – *")))</f>
        <v>1</v>
      </c>
      <c r="U50" s="7">
        <f>IF(U$4="HĐTN",COUNTIF('[1]03_TKB_LOP'!$B$546:$G$553,"HĐTN*")+COUNTIF('[1]03_TKB_LOP'!$B$546:$G$553,"Chào cờ/HĐTN*"),COUNTIF('[1]03_TKB_LOP'!$B$546:$G$553,IF(LEFT(U$4,5)="NHÓM:","NHÓM:*"&amp;MID(U$4,8,50)&amp;"*",U$4&amp;" – *")))</f>
        <v>1</v>
      </c>
      <c r="V50" s="7">
        <f>IF(V$4="HĐTN",COUNTIF('[1]03_TKB_LOP'!$B$546:$G$553,"HĐTN*")+COUNTIF('[1]03_TKB_LOP'!$B$546:$G$553,"Chào cờ/HĐTN*"),COUNTIF('[1]03_TKB_LOP'!$B$546:$G$553,IF(LEFT(V$4,5)="NHÓM:","NHÓM:*"&amp;MID(V$4,8,50)&amp;"*",V$4&amp;" – *")))</f>
        <v>0</v>
      </c>
      <c r="W50" s="7">
        <f>IF(W$4="HĐTN",COUNTIF('[1]03_TKB_LOP'!$B$546:$G$553,"HĐTN*")+COUNTIF('[1]03_TKB_LOP'!$B$546:$G$553,"Chào cờ/HĐTN*"),COUNTIF('[1]03_TKB_LOP'!$B$546:$G$553,IF(LEFT(W$4,5)="NHÓM:","NHÓM:*"&amp;MID(W$4,8,50)&amp;"*",W$4&amp;" – *")))</f>
        <v>0</v>
      </c>
      <c r="X50" s="7">
        <f>IF(X$4="HĐTN",COUNTIF('[1]03_TKB_LOP'!$B$546:$G$553,"HĐTN*")+COUNTIF('[1]03_TKB_LOP'!$B$546:$G$553,"Chào cờ/HĐTN*"),COUNTIF('[1]03_TKB_LOP'!$B$546:$G$553,IF(LEFT(X$4,5)="NHÓM:","NHÓM:*"&amp;MID(X$4,8,50)&amp;"*",X$4&amp;" – *")))</f>
        <v>8</v>
      </c>
      <c r="Y50" s="7">
        <f>IF(Y$4="HĐTN",COUNTIF('[1]03_TKB_LOP'!$B$546:$G$553,"HĐTN*")+COUNTIF('[1]03_TKB_LOP'!$B$546:$G$553,"Chào cờ/HĐTN*"),COUNTIF('[1]03_TKB_LOP'!$B$546:$G$553,IF(LEFT(Y$4,5)="NHÓM:","NHÓM:*"&amp;MID(Y$4,8,50)&amp;"*",Y$4&amp;" – *")))</f>
        <v>0</v>
      </c>
      <c r="Z50" s="7">
        <f>IF(Z$4="HĐTN",COUNTIF('[1]03_TKB_LOP'!$B$546:$G$553,"HĐTN*")+COUNTIF('[1]03_TKB_LOP'!$B$546:$G$553,"Chào cờ/HĐTN*"),COUNTIF('[1]03_TKB_LOP'!$B$546:$G$553,IF(LEFT(Z$4,5)="NHÓM:","NHÓM:*"&amp;MID(Z$4,8,50)&amp;"*",Z$4&amp;" – *")))</f>
        <v>0</v>
      </c>
      <c r="AA50" s="7">
        <f>IF(AA$4="HĐTN",COUNTIF('[1]03_TKB_LOP'!$B$546:$G$553,"HĐTN*")+COUNTIF('[1]03_TKB_LOP'!$B$546:$G$553,"Chào cờ/HĐTN*"),COUNTIF('[1]03_TKB_LOP'!$B$546:$G$553,IF(LEFT(AA$4,5)="NHÓM:","NHÓM:*"&amp;MID(AA$4,8,50)&amp;"*",AA$4&amp;" – *")))</f>
        <v>0</v>
      </c>
      <c r="AB50" s="7">
        <f>IF(AB$4="HĐTN",COUNTIF('[1]03_TKB_LOP'!$B$546:$G$553,"HĐTN*")+COUNTIF('[1]03_TKB_LOP'!$B$546:$G$553,"Chào cờ/HĐTN*"),COUNTIF('[1]03_TKB_LOP'!$B$546:$G$553,IF(LEFT(AB$4,5)="NHÓM:","NHÓM:*"&amp;MID(AB$4,8,50)&amp;"*",AB$4&amp;" – *")))</f>
        <v>8</v>
      </c>
    </row>
    <row r="51" spans="1:28" x14ac:dyDescent="0.2">
      <c r="A51" s="5" t="str">
        <f>TRIM(MID('[1]03_TKB_LOP'!$A$556,4,FIND("|",'[1]03_TKB_LOP'!$A$556)-4))</f>
        <v>12A12</v>
      </c>
      <c r="B51" s="6" t="str">
        <f>TRIM(MID('[1]03_TKB_LOP'!$A$556,FIND("GVCN:",'[1]03_TKB_LOP'!$A$556)+5,FIND("|",'[1]03_TKB_LOP'!$A$556,FIND("GVCN:",'[1]03_TKB_LOP'!$A$556))-FIND("GVCN:",'[1]03_TKB_LOP'!$A$556)-5))</f>
        <v>NGUYỄN THỊ THUỲ DƯƠNG</v>
      </c>
      <c r="C51" s="7">
        <f>IF(C$4="HĐTN",COUNTIF('[1]03_TKB_LOP'!$B$558:$G$565,"HĐTN*")+COUNTIF('[1]03_TKB_LOP'!$B$558:$G$565,"Chào cờ/HĐTN*"),COUNTIF('[1]03_TKB_LOP'!$B$558:$G$565,IF(LEFT(C$4,5)="NHÓM:","NHÓM:*"&amp;MID(C$4,8,50)&amp;"*",C$4&amp;" – *")))</f>
        <v>3</v>
      </c>
      <c r="D51" s="7">
        <f>IF(D$4="HĐTN",COUNTIF('[1]03_TKB_LOP'!$B$558:$G$565,"HĐTN*")+COUNTIF('[1]03_TKB_LOP'!$B$558:$G$565,"Chào cờ/HĐTN*"),COUNTIF('[1]03_TKB_LOP'!$B$558:$G$565,IF(LEFT(D$4,5)="NHÓM:","NHÓM:*"&amp;MID(D$4,8,50)&amp;"*",D$4&amp;" – *")))</f>
        <v>5</v>
      </c>
      <c r="E51" s="7">
        <f>IF(E$4="HĐTN",COUNTIF('[1]03_TKB_LOP'!$B$558:$G$565,"HĐTN*")+COUNTIF('[1]03_TKB_LOP'!$B$558:$G$565,"Chào cờ/HĐTN*"),COUNTIF('[1]03_TKB_LOP'!$B$558:$G$565,IF(LEFT(E$4,5)="NHÓM:","NHÓM:*"&amp;MID(E$4,8,50)&amp;"*",E$4&amp;" – *")))</f>
        <v>5</v>
      </c>
      <c r="F51" s="7">
        <f>IF(F$4="HĐTN",COUNTIF('[1]03_TKB_LOP'!$B$558:$G$565,"HĐTN*")+COUNTIF('[1]03_TKB_LOP'!$B$558:$G$565,"Chào cờ/HĐTN*"),COUNTIF('[1]03_TKB_LOP'!$B$558:$G$565,IF(LEFT(F$4,5)="NHÓM:","NHÓM:*"&amp;MID(F$4,8,50)&amp;"*",F$4&amp;" – *")))</f>
        <v>3</v>
      </c>
      <c r="G51" s="7">
        <f>IF(G$4="HĐTN",COUNTIF('[1]03_TKB_LOP'!$B$558:$G$565,"HĐTN*")+COUNTIF('[1]03_TKB_LOP'!$B$558:$G$565,"Chào cờ/HĐTN*"),COUNTIF('[1]03_TKB_LOP'!$B$558:$G$565,IF(LEFT(G$4,5)="NHÓM:","NHÓM:*"&amp;MID(G$4,8,50)&amp;"*",G$4&amp;" – *")))</f>
        <v>0</v>
      </c>
      <c r="H51" s="7">
        <f>IF(H$4="HĐTN",COUNTIF('[1]03_TKB_LOP'!$B$558:$G$565,"HĐTN*")+COUNTIF('[1]03_TKB_LOP'!$B$558:$G$565,"Chào cờ/HĐTN*"),COUNTIF('[1]03_TKB_LOP'!$B$558:$G$565,IF(LEFT(H$4,5)="NHÓM:","NHÓM:*"&amp;MID(H$4,8,50)&amp;"*",H$4&amp;" – *")))</f>
        <v>0</v>
      </c>
      <c r="I51" s="7">
        <f>IF(I$4="HĐTN",COUNTIF('[1]03_TKB_LOP'!$B$558:$G$565,"HĐTN*")+COUNTIF('[1]03_TKB_LOP'!$B$558:$G$565,"Chào cờ/HĐTN*"),COUNTIF('[1]03_TKB_LOP'!$B$558:$G$565,IF(LEFT(I$4,5)="NHÓM:","NHÓM:*"&amp;MID(I$4,8,50)&amp;"*",I$4&amp;" – *")))</f>
        <v>2</v>
      </c>
      <c r="J51" s="7">
        <f>IF(J$4="HĐTN",COUNTIF('[1]03_TKB_LOP'!$B$558:$G$565,"HĐTN*")+COUNTIF('[1]03_TKB_LOP'!$B$558:$G$565,"Chào cờ/HĐTN*"),COUNTIF('[1]03_TKB_LOP'!$B$558:$G$565,IF(LEFT(J$4,5)="NHÓM:","NHÓM:*"&amp;MID(J$4,8,50)&amp;"*",J$4&amp;" – *")))</f>
        <v>2</v>
      </c>
      <c r="K51" s="7">
        <f>IF(K$4="HĐTN",COUNTIF('[1]03_TKB_LOP'!$B$558:$G$565,"HĐTN*")+COUNTIF('[1]03_TKB_LOP'!$B$558:$G$565,"Chào cờ/HĐTN*"),COUNTIF('[1]03_TKB_LOP'!$B$558:$G$565,IF(LEFT(K$4,5)="NHÓM:","NHÓM:*"&amp;MID(K$4,8,50)&amp;"*",K$4&amp;" – *")))</f>
        <v>2</v>
      </c>
      <c r="L51" s="7">
        <f>IF(L$4="HĐTN",COUNTIF('[1]03_TKB_LOP'!$B$558:$G$565,"HĐTN*")+COUNTIF('[1]03_TKB_LOP'!$B$558:$G$565,"Chào cờ/HĐTN*"),COUNTIF('[1]03_TKB_LOP'!$B$558:$G$565,IF(LEFT(L$4,5)="NHÓM:","NHÓM:*"&amp;MID(L$4,8,50)&amp;"*",L$4&amp;" – *")))</f>
        <v>2</v>
      </c>
      <c r="M51" s="7">
        <f>IF(M$4="HĐTN",COUNTIF('[1]03_TKB_LOP'!$B$558:$G$565,"HĐTN*")+COUNTIF('[1]03_TKB_LOP'!$B$558:$G$565,"Chào cờ/HĐTN*"),COUNTIF('[1]03_TKB_LOP'!$B$558:$G$565,IF(LEFT(M$4,5)="NHÓM:","NHÓM:*"&amp;MID(M$4,8,50)&amp;"*",M$4&amp;" – *")))</f>
        <v>2</v>
      </c>
      <c r="N51" s="7">
        <f>IF(N$4="HĐTN",COUNTIF('[1]03_TKB_LOP'!$B$558:$G$565,"HĐTN*")+COUNTIF('[1]03_TKB_LOP'!$B$558:$G$565,"Chào cờ/HĐTN*"),COUNTIF('[1]03_TKB_LOP'!$B$558:$G$565,IF(LEFT(N$4,5)="NHÓM:","NHÓM:*"&amp;MID(N$4,8,50)&amp;"*",N$4&amp;" – *")))</f>
        <v>0</v>
      </c>
      <c r="O51" s="7">
        <f>IF(O$4="HĐTN",COUNTIF('[1]03_TKB_LOP'!$B$558:$G$565,"HĐTN*")+COUNTIF('[1]03_TKB_LOP'!$B$558:$G$565,"Chào cờ/HĐTN*"),COUNTIF('[1]03_TKB_LOP'!$B$558:$G$565,IF(LEFT(O$4,5)="NHÓM:","NHÓM:*"&amp;MID(O$4,8,50)&amp;"*",O$4&amp;" – *")))</f>
        <v>1</v>
      </c>
      <c r="P51" s="7">
        <f>IF(P$4="HĐTN",COUNTIF('[1]03_TKB_LOP'!$B$558:$G$565,"HĐTN*")+COUNTIF('[1]03_TKB_LOP'!$B$558:$G$565,"Chào cờ/HĐTN*"),COUNTIF('[1]03_TKB_LOP'!$B$558:$G$565,IF(LEFT(P$4,5)="NHÓM:","NHÓM:*"&amp;MID(P$4,8,50)&amp;"*",P$4&amp;" – *")))</f>
        <v>1</v>
      </c>
      <c r="Q51" s="7">
        <f>IF(Q$4="HĐTN",COUNTIF('[1]03_TKB_LOP'!$B$558:$G$565,"HĐTN*")+COUNTIF('[1]03_TKB_LOP'!$B$558:$G$565,"Chào cờ/HĐTN*"),COUNTIF('[1]03_TKB_LOP'!$B$558:$G$565,IF(LEFT(Q$4,5)="NHÓM:","NHÓM:*"&amp;MID(Q$4,8,50)&amp;"*",Q$4&amp;" – *")))</f>
        <v>0</v>
      </c>
      <c r="R51" s="7">
        <f>IF(R$4="HĐTN",COUNTIF('[1]03_TKB_LOP'!$B$558:$G$565,"HĐTN*")+COUNTIF('[1]03_TKB_LOP'!$B$558:$G$565,"Chào cờ/HĐTN*"),COUNTIF('[1]03_TKB_LOP'!$B$558:$G$565,IF(LEFT(R$4,5)="NHÓM:","NHÓM:*"&amp;MID(R$4,8,50)&amp;"*",R$4&amp;" – *")))</f>
        <v>1</v>
      </c>
      <c r="S51" s="7">
        <f>IF(S$4="HĐTN",COUNTIF('[1]03_TKB_LOP'!$B$558:$G$565,"HĐTN*")+COUNTIF('[1]03_TKB_LOP'!$B$558:$G$565,"Chào cờ/HĐTN*"),COUNTIF('[1]03_TKB_LOP'!$B$558:$G$565,IF(LEFT(S$4,5)="NHÓM:","NHÓM:*"&amp;MID(S$4,8,50)&amp;"*",S$4&amp;" – *")))</f>
        <v>0</v>
      </c>
      <c r="T51" s="7">
        <f>IF(T$4="HĐTN",COUNTIF('[1]03_TKB_LOP'!$B$558:$G$565,"HĐTN*")+COUNTIF('[1]03_TKB_LOP'!$B$558:$G$565,"Chào cờ/HĐTN*"),COUNTIF('[1]03_TKB_LOP'!$B$558:$G$565,IF(LEFT(T$4,5)="NHÓM:","NHÓM:*"&amp;MID(T$4,8,50)&amp;"*",T$4&amp;" – *")))</f>
        <v>0</v>
      </c>
      <c r="U51" s="7">
        <f>IF(U$4="HĐTN",COUNTIF('[1]03_TKB_LOP'!$B$558:$G$565,"HĐTN*")+COUNTIF('[1]03_TKB_LOP'!$B$558:$G$565,"Chào cờ/HĐTN*"),COUNTIF('[1]03_TKB_LOP'!$B$558:$G$565,IF(LEFT(U$4,5)="NHÓM:","NHÓM:*"&amp;MID(U$4,8,50)&amp;"*",U$4&amp;" – *")))</f>
        <v>0</v>
      </c>
      <c r="V51" s="7">
        <f>IF(V$4="HĐTN",COUNTIF('[1]03_TKB_LOP'!$B$558:$G$565,"HĐTN*")+COUNTIF('[1]03_TKB_LOP'!$B$558:$G$565,"Chào cờ/HĐTN*"),COUNTIF('[1]03_TKB_LOP'!$B$558:$G$565,IF(LEFT(V$4,5)="NHÓM:","NHÓM:*"&amp;MID(V$4,8,50)&amp;"*",V$4&amp;" – *")))</f>
        <v>1</v>
      </c>
      <c r="W51" s="7">
        <f>IF(W$4="HĐTN",COUNTIF('[1]03_TKB_LOP'!$B$558:$G$565,"HĐTN*")+COUNTIF('[1]03_TKB_LOP'!$B$558:$G$565,"Chào cờ/HĐTN*"),COUNTIF('[1]03_TKB_LOP'!$B$558:$G$565,IF(LEFT(W$4,5)="NHÓM:","NHÓM:*"&amp;MID(W$4,8,50)&amp;"*",W$4&amp;" – *")))</f>
        <v>1</v>
      </c>
      <c r="X51" s="7">
        <f>IF(X$4="HĐTN",COUNTIF('[1]03_TKB_LOP'!$B$558:$G$565,"HĐTN*")+COUNTIF('[1]03_TKB_LOP'!$B$558:$G$565,"Chào cờ/HĐTN*"),COUNTIF('[1]03_TKB_LOP'!$B$558:$G$565,IF(LEFT(X$4,5)="NHÓM:","NHÓM:*"&amp;MID(X$4,8,50)&amp;"*",X$4&amp;" – *")))</f>
        <v>8</v>
      </c>
      <c r="Y51" s="7">
        <f>IF(Y$4="HĐTN",COUNTIF('[1]03_TKB_LOP'!$B$558:$G$565,"HĐTN*")+COUNTIF('[1]03_TKB_LOP'!$B$558:$G$565,"Chào cờ/HĐTN*"),COUNTIF('[1]03_TKB_LOP'!$B$558:$G$565,IF(LEFT(Y$4,5)="NHÓM:","NHÓM:*"&amp;MID(Y$4,8,50)&amp;"*",Y$4&amp;" – *")))</f>
        <v>6</v>
      </c>
      <c r="Z51" s="7">
        <f>IF(Z$4="HĐTN",COUNTIF('[1]03_TKB_LOP'!$B$558:$G$565,"HĐTN*")+COUNTIF('[1]03_TKB_LOP'!$B$558:$G$565,"Chào cờ/HĐTN*"),COUNTIF('[1]03_TKB_LOP'!$B$558:$G$565,IF(LEFT(Z$4,5)="NHÓM:","NHÓM:*"&amp;MID(Z$4,8,50)&amp;"*",Z$4&amp;" – *")))</f>
        <v>0</v>
      </c>
      <c r="AA51" s="7">
        <f>IF(AA$4="HĐTN",COUNTIF('[1]03_TKB_LOP'!$B$558:$G$565,"HĐTN*")+COUNTIF('[1]03_TKB_LOP'!$B$558:$G$565,"Chào cờ/HĐTN*"),COUNTIF('[1]03_TKB_LOP'!$B$558:$G$565,IF(LEFT(AA$4,5)="NHÓM:","NHÓM:*"&amp;MID(AA$4,8,50)&amp;"*",AA$4&amp;" – *")))</f>
        <v>0</v>
      </c>
      <c r="AB51" s="7">
        <f>IF(AB$4="HĐTN",COUNTIF('[1]03_TKB_LOP'!$B$558:$G$565,"HĐTN*")+COUNTIF('[1]03_TKB_LOP'!$B$558:$G$565,"Chào cờ/HĐTN*"),COUNTIF('[1]03_TKB_LOP'!$B$558:$G$565,IF(LEFT(AB$4,5)="NHÓM:","NHÓM:*"&amp;MID(AB$4,8,50)&amp;"*",AB$4&amp;" – *")))</f>
        <v>8</v>
      </c>
    </row>
    <row r="52" spans="1:28" x14ac:dyDescent="0.2">
      <c r="A52" s="5" t="str">
        <f>TRIM(MID('[1]03_TKB_LOP'!$A$568,4,FIND("|",'[1]03_TKB_LOP'!$A$568)-4))</f>
        <v>12A13</v>
      </c>
      <c r="B52" s="6" t="str">
        <f>TRIM(MID('[1]03_TKB_LOP'!$A$568,FIND("GVCN:",'[1]03_TKB_LOP'!$A$568)+5,FIND("|",'[1]03_TKB_LOP'!$A$568,FIND("GVCN:",'[1]03_TKB_LOP'!$A$568))-FIND("GVCN:",'[1]03_TKB_LOP'!$A$568)-5))</f>
        <v>HOÀNG THỊ HẢI YẾN</v>
      </c>
      <c r="C52" s="7">
        <f>IF(C$4="HĐTN",COUNTIF('[1]03_TKB_LOP'!$B$570:$G$577,"HĐTN*")+COUNTIF('[1]03_TKB_LOP'!$B$570:$G$577,"Chào cờ/HĐTN*"),COUNTIF('[1]03_TKB_LOP'!$B$570:$G$577,IF(LEFT(C$4,5)="NHÓM:","NHÓM:*"&amp;MID(C$4,8,50)&amp;"*",C$4&amp;" – *")))</f>
        <v>3</v>
      </c>
      <c r="D52" s="7">
        <f>IF(D$4="HĐTN",COUNTIF('[1]03_TKB_LOP'!$B$570:$G$577,"HĐTN*")+COUNTIF('[1]03_TKB_LOP'!$B$570:$G$577,"Chào cờ/HĐTN*"),COUNTIF('[1]03_TKB_LOP'!$B$570:$G$577,IF(LEFT(D$4,5)="NHÓM:","NHÓM:*"&amp;MID(D$4,8,50)&amp;"*",D$4&amp;" – *")))</f>
        <v>5</v>
      </c>
      <c r="E52" s="7">
        <f>IF(E$4="HĐTN",COUNTIF('[1]03_TKB_LOP'!$B$570:$G$577,"HĐTN*")+COUNTIF('[1]03_TKB_LOP'!$B$570:$G$577,"Chào cờ/HĐTN*"),COUNTIF('[1]03_TKB_LOP'!$B$570:$G$577,IF(LEFT(E$4,5)="NHÓM:","NHÓM:*"&amp;MID(E$4,8,50)&amp;"*",E$4&amp;" – *")))</f>
        <v>5</v>
      </c>
      <c r="F52" s="7">
        <f>IF(F$4="HĐTN",COUNTIF('[1]03_TKB_LOP'!$B$570:$G$577,"HĐTN*")+COUNTIF('[1]03_TKB_LOP'!$B$570:$G$577,"Chào cờ/HĐTN*"),COUNTIF('[1]03_TKB_LOP'!$B$570:$G$577,IF(LEFT(F$4,5)="NHÓM:","NHÓM:*"&amp;MID(F$4,8,50)&amp;"*",F$4&amp;" – *")))</f>
        <v>3</v>
      </c>
      <c r="G52" s="7">
        <f>IF(G$4="HĐTN",COUNTIF('[1]03_TKB_LOP'!$B$570:$G$577,"HĐTN*")+COUNTIF('[1]03_TKB_LOP'!$B$570:$G$577,"Chào cờ/HĐTN*"),COUNTIF('[1]03_TKB_LOP'!$B$570:$G$577,IF(LEFT(G$4,5)="NHÓM:","NHÓM:*"&amp;MID(G$4,8,50)&amp;"*",G$4&amp;" – *")))</f>
        <v>0</v>
      </c>
      <c r="H52" s="7">
        <f>IF(H$4="HĐTN",COUNTIF('[1]03_TKB_LOP'!$B$570:$G$577,"HĐTN*")+COUNTIF('[1]03_TKB_LOP'!$B$570:$G$577,"Chào cờ/HĐTN*"),COUNTIF('[1]03_TKB_LOP'!$B$570:$G$577,IF(LEFT(H$4,5)="NHÓM:","NHÓM:*"&amp;MID(H$4,8,50)&amp;"*",H$4&amp;" – *")))</f>
        <v>0</v>
      </c>
      <c r="I52" s="7">
        <f>IF(I$4="HĐTN",COUNTIF('[1]03_TKB_LOP'!$B$570:$G$577,"HĐTN*")+COUNTIF('[1]03_TKB_LOP'!$B$570:$G$577,"Chào cờ/HĐTN*"),COUNTIF('[1]03_TKB_LOP'!$B$570:$G$577,IF(LEFT(I$4,5)="NHÓM:","NHÓM:*"&amp;MID(I$4,8,50)&amp;"*",I$4&amp;" – *")))</f>
        <v>2</v>
      </c>
      <c r="J52" s="7">
        <f>IF(J$4="HĐTN",COUNTIF('[1]03_TKB_LOP'!$B$570:$G$577,"HĐTN*")+COUNTIF('[1]03_TKB_LOP'!$B$570:$G$577,"Chào cờ/HĐTN*"),COUNTIF('[1]03_TKB_LOP'!$B$570:$G$577,IF(LEFT(J$4,5)="NHÓM:","NHÓM:*"&amp;MID(J$4,8,50)&amp;"*",J$4&amp;" – *")))</f>
        <v>2</v>
      </c>
      <c r="K52" s="7">
        <f>IF(K$4="HĐTN",COUNTIF('[1]03_TKB_LOP'!$B$570:$G$577,"HĐTN*")+COUNTIF('[1]03_TKB_LOP'!$B$570:$G$577,"Chào cờ/HĐTN*"),COUNTIF('[1]03_TKB_LOP'!$B$570:$G$577,IF(LEFT(K$4,5)="NHÓM:","NHÓM:*"&amp;MID(K$4,8,50)&amp;"*",K$4&amp;" – *")))</f>
        <v>2</v>
      </c>
      <c r="L52" s="7">
        <f>IF(L$4="HĐTN",COUNTIF('[1]03_TKB_LOP'!$B$570:$G$577,"HĐTN*")+COUNTIF('[1]03_TKB_LOP'!$B$570:$G$577,"Chào cờ/HĐTN*"),COUNTIF('[1]03_TKB_LOP'!$B$570:$G$577,IF(LEFT(L$4,5)="NHÓM:","NHÓM:*"&amp;MID(L$4,8,50)&amp;"*",L$4&amp;" – *")))</f>
        <v>2</v>
      </c>
      <c r="M52" s="7">
        <f>IF(M$4="HĐTN",COUNTIF('[1]03_TKB_LOP'!$B$570:$G$577,"HĐTN*")+COUNTIF('[1]03_TKB_LOP'!$B$570:$G$577,"Chào cờ/HĐTN*"),COUNTIF('[1]03_TKB_LOP'!$B$570:$G$577,IF(LEFT(M$4,5)="NHÓM:","NHÓM:*"&amp;MID(M$4,8,50)&amp;"*",M$4&amp;" – *")))</f>
        <v>0</v>
      </c>
      <c r="N52" s="7">
        <f>IF(N$4="HĐTN",COUNTIF('[1]03_TKB_LOP'!$B$570:$G$577,"HĐTN*")+COUNTIF('[1]03_TKB_LOP'!$B$570:$G$577,"Chào cờ/HĐTN*"),COUNTIF('[1]03_TKB_LOP'!$B$570:$G$577,IF(LEFT(N$4,5)="NHÓM:","NHÓM:*"&amp;MID(N$4,8,50)&amp;"*",N$4&amp;" – *")))</f>
        <v>2</v>
      </c>
      <c r="O52" s="7">
        <f>IF(O$4="HĐTN",COUNTIF('[1]03_TKB_LOP'!$B$570:$G$577,"HĐTN*")+COUNTIF('[1]03_TKB_LOP'!$B$570:$G$577,"Chào cờ/HĐTN*"),COUNTIF('[1]03_TKB_LOP'!$B$570:$G$577,IF(LEFT(O$4,5)="NHÓM:","NHÓM:*"&amp;MID(O$4,8,50)&amp;"*",O$4&amp;" – *")))</f>
        <v>1</v>
      </c>
      <c r="P52" s="7">
        <f>IF(P$4="HĐTN",COUNTIF('[1]03_TKB_LOP'!$B$570:$G$577,"HĐTN*")+COUNTIF('[1]03_TKB_LOP'!$B$570:$G$577,"Chào cờ/HĐTN*"),COUNTIF('[1]03_TKB_LOP'!$B$570:$G$577,IF(LEFT(P$4,5)="NHÓM:","NHÓM:*"&amp;MID(P$4,8,50)&amp;"*",P$4&amp;" – *")))</f>
        <v>1</v>
      </c>
      <c r="Q52" s="7">
        <f>IF(Q$4="HĐTN",COUNTIF('[1]03_TKB_LOP'!$B$570:$G$577,"HĐTN*")+COUNTIF('[1]03_TKB_LOP'!$B$570:$G$577,"Chào cờ/HĐTN*"),COUNTIF('[1]03_TKB_LOP'!$B$570:$G$577,IF(LEFT(Q$4,5)="NHÓM:","NHÓM:*"&amp;MID(Q$4,8,50)&amp;"*",Q$4&amp;" – *")))</f>
        <v>0</v>
      </c>
      <c r="R52" s="7">
        <f>IF(R$4="HĐTN",COUNTIF('[1]03_TKB_LOP'!$B$570:$G$577,"HĐTN*")+COUNTIF('[1]03_TKB_LOP'!$B$570:$G$577,"Chào cờ/HĐTN*"),COUNTIF('[1]03_TKB_LOP'!$B$570:$G$577,IF(LEFT(R$4,5)="NHÓM:","NHÓM:*"&amp;MID(R$4,8,50)&amp;"*",R$4&amp;" – *")))</f>
        <v>1</v>
      </c>
      <c r="S52" s="7">
        <f>IF(S$4="HĐTN",COUNTIF('[1]03_TKB_LOP'!$B$570:$G$577,"HĐTN*")+COUNTIF('[1]03_TKB_LOP'!$B$570:$G$577,"Chào cờ/HĐTN*"),COUNTIF('[1]03_TKB_LOP'!$B$570:$G$577,IF(LEFT(S$4,5)="NHÓM:","NHÓM:*"&amp;MID(S$4,8,50)&amp;"*",S$4&amp;" – *")))</f>
        <v>0</v>
      </c>
      <c r="T52" s="7">
        <f>IF(T$4="HĐTN",COUNTIF('[1]03_TKB_LOP'!$B$570:$G$577,"HĐTN*")+COUNTIF('[1]03_TKB_LOP'!$B$570:$G$577,"Chào cờ/HĐTN*"),COUNTIF('[1]03_TKB_LOP'!$B$570:$G$577,IF(LEFT(T$4,5)="NHÓM:","NHÓM:*"&amp;MID(T$4,8,50)&amp;"*",T$4&amp;" – *")))</f>
        <v>0</v>
      </c>
      <c r="U52" s="7">
        <f>IF(U$4="HĐTN",COUNTIF('[1]03_TKB_LOP'!$B$570:$G$577,"HĐTN*")+COUNTIF('[1]03_TKB_LOP'!$B$570:$G$577,"Chào cờ/HĐTN*"),COUNTIF('[1]03_TKB_LOP'!$B$570:$G$577,IF(LEFT(U$4,5)="NHÓM:","NHÓM:*"&amp;MID(U$4,8,50)&amp;"*",U$4&amp;" – *")))</f>
        <v>0</v>
      </c>
      <c r="V52" s="7">
        <f>IF(V$4="HĐTN",COUNTIF('[1]03_TKB_LOP'!$B$570:$G$577,"HĐTN*")+COUNTIF('[1]03_TKB_LOP'!$B$570:$G$577,"Chào cờ/HĐTN*"),COUNTIF('[1]03_TKB_LOP'!$B$570:$G$577,IF(LEFT(V$4,5)="NHÓM:","NHÓM:*"&amp;MID(V$4,8,50)&amp;"*",V$4&amp;" – *")))</f>
        <v>1</v>
      </c>
      <c r="W52" s="7">
        <f>IF(W$4="HĐTN",COUNTIF('[1]03_TKB_LOP'!$B$570:$G$577,"HĐTN*")+COUNTIF('[1]03_TKB_LOP'!$B$570:$G$577,"Chào cờ/HĐTN*"),COUNTIF('[1]03_TKB_LOP'!$B$570:$G$577,IF(LEFT(W$4,5)="NHÓM:","NHÓM:*"&amp;MID(W$4,8,50)&amp;"*",W$4&amp;" – *")))</f>
        <v>1</v>
      </c>
      <c r="X52" s="7">
        <f>IF(X$4="HĐTN",COUNTIF('[1]03_TKB_LOP'!$B$570:$G$577,"HĐTN*")+COUNTIF('[1]03_TKB_LOP'!$B$570:$G$577,"Chào cờ/HĐTN*"),COUNTIF('[1]03_TKB_LOP'!$B$570:$G$577,IF(LEFT(X$4,5)="NHÓM:","NHÓM:*"&amp;MID(X$4,8,50)&amp;"*",X$4&amp;" – *")))</f>
        <v>8</v>
      </c>
      <c r="Y52" s="7">
        <f>IF(Y$4="HĐTN",COUNTIF('[1]03_TKB_LOP'!$B$570:$G$577,"HĐTN*")+COUNTIF('[1]03_TKB_LOP'!$B$570:$G$577,"Chào cờ/HĐTN*"),COUNTIF('[1]03_TKB_LOP'!$B$570:$G$577,IF(LEFT(Y$4,5)="NHÓM:","NHÓM:*"&amp;MID(Y$4,8,50)&amp;"*",Y$4&amp;" – *")))</f>
        <v>0</v>
      </c>
      <c r="Z52" s="7">
        <f>IF(Z$4="HĐTN",COUNTIF('[1]03_TKB_LOP'!$B$570:$G$577,"HĐTN*")+COUNTIF('[1]03_TKB_LOP'!$B$570:$G$577,"Chào cờ/HĐTN*"),COUNTIF('[1]03_TKB_LOP'!$B$570:$G$577,IF(LEFT(Z$4,5)="NHÓM:","NHÓM:*"&amp;MID(Z$4,8,50)&amp;"*",Z$4&amp;" – *")))</f>
        <v>0</v>
      </c>
      <c r="AA52" s="7">
        <f>IF(AA$4="HĐTN",COUNTIF('[1]03_TKB_LOP'!$B$570:$G$577,"HĐTN*")+COUNTIF('[1]03_TKB_LOP'!$B$570:$G$577,"Chào cờ/HĐTN*"),COUNTIF('[1]03_TKB_LOP'!$B$570:$G$577,IF(LEFT(AA$4,5)="NHÓM:","NHÓM:*"&amp;MID(AA$4,8,50)&amp;"*",AA$4&amp;" – *")))</f>
        <v>0</v>
      </c>
      <c r="AB52" s="7">
        <f>IF(AB$4="HĐTN",COUNTIF('[1]03_TKB_LOP'!$B$570:$G$577,"HĐTN*")+COUNTIF('[1]03_TKB_LOP'!$B$570:$G$577,"Chào cờ/HĐTN*"),COUNTIF('[1]03_TKB_LOP'!$B$570:$G$577,IF(LEFT(AB$4,5)="NHÓM:","NHÓM:*"&amp;MID(AB$4,8,50)&amp;"*",AB$4&amp;" – *")))</f>
        <v>8</v>
      </c>
    </row>
    <row r="53" spans="1:28" x14ac:dyDescent="0.2">
      <c r="A53" s="5" t="str">
        <f>TRIM(MID('[1]03_TKB_LOP'!$A$580,4,FIND("|",'[1]03_TKB_LOP'!$A$580)-4))</f>
        <v>12A14</v>
      </c>
      <c r="B53" s="6" t="str">
        <f>TRIM(MID('[1]03_TKB_LOP'!$A$580,FIND("GVCN:",'[1]03_TKB_LOP'!$A$580)+5,FIND("|",'[1]03_TKB_LOP'!$A$580,FIND("GVCN:",'[1]03_TKB_LOP'!$A$580))-FIND("GVCN:",'[1]03_TKB_LOP'!$A$580)-5))</f>
        <v>PHẠM THỊ PHƯƠNG ĐIỀN</v>
      </c>
      <c r="C53" s="7">
        <f>IF(C$4="HĐTN",COUNTIF('[1]03_TKB_LOP'!$B$582:$G$589,"HĐTN*")+COUNTIF('[1]03_TKB_LOP'!$B$582:$G$589,"Chào cờ/HĐTN*"),COUNTIF('[1]03_TKB_LOP'!$B$582:$G$589,IF(LEFT(C$4,5)="NHÓM:","NHÓM:*"&amp;MID(C$4,8,50)&amp;"*",C$4&amp;" – *")))</f>
        <v>3</v>
      </c>
      <c r="D53" s="7">
        <f>IF(D$4="HĐTN",COUNTIF('[1]03_TKB_LOP'!$B$582:$G$589,"HĐTN*")+COUNTIF('[1]03_TKB_LOP'!$B$582:$G$589,"Chào cờ/HĐTN*"),COUNTIF('[1]03_TKB_LOP'!$B$582:$G$589,IF(LEFT(D$4,5)="NHÓM:","NHÓM:*"&amp;MID(D$4,8,50)&amp;"*",D$4&amp;" – *")))</f>
        <v>5</v>
      </c>
      <c r="E53" s="7">
        <f>IF(E$4="HĐTN",COUNTIF('[1]03_TKB_LOP'!$B$582:$G$589,"HĐTN*")+COUNTIF('[1]03_TKB_LOP'!$B$582:$G$589,"Chào cờ/HĐTN*"),COUNTIF('[1]03_TKB_LOP'!$B$582:$G$589,IF(LEFT(E$4,5)="NHÓM:","NHÓM:*"&amp;MID(E$4,8,50)&amp;"*",E$4&amp;" – *")))</f>
        <v>5</v>
      </c>
      <c r="F53" s="7">
        <f>IF(F$4="HĐTN",COUNTIF('[1]03_TKB_LOP'!$B$582:$G$589,"HĐTN*")+COUNTIF('[1]03_TKB_LOP'!$B$582:$G$589,"Chào cờ/HĐTN*"),COUNTIF('[1]03_TKB_LOP'!$B$582:$G$589,IF(LEFT(F$4,5)="NHÓM:","NHÓM:*"&amp;MID(F$4,8,50)&amp;"*",F$4&amp;" – *")))</f>
        <v>3</v>
      </c>
      <c r="G53" s="7">
        <f>IF(G$4="HĐTN",COUNTIF('[1]03_TKB_LOP'!$B$582:$G$589,"HĐTN*")+COUNTIF('[1]03_TKB_LOP'!$B$582:$G$589,"Chào cờ/HĐTN*"),COUNTIF('[1]03_TKB_LOP'!$B$582:$G$589,IF(LEFT(G$4,5)="NHÓM:","NHÓM:*"&amp;MID(G$4,8,50)&amp;"*",G$4&amp;" – *")))</f>
        <v>0</v>
      </c>
      <c r="H53" s="7">
        <f>IF(H$4="HĐTN",COUNTIF('[1]03_TKB_LOP'!$B$582:$G$589,"HĐTN*")+COUNTIF('[1]03_TKB_LOP'!$B$582:$G$589,"Chào cờ/HĐTN*"),COUNTIF('[1]03_TKB_LOP'!$B$582:$G$589,IF(LEFT(H$4,5)="NHÓM:","NHÓM:*"&amp;MID(H$4,8,50)&amp;"*",H$4&amp;" – *")))</f>
        <v>0</v>
      </c>
      <c r="I53" s="7">
        <f>IF(I$4="HĐTN",COUNTIF('[1]03_TKB_LOP'!$B$582:$G$589,"HĐTN*")+COUNTIF('[1]03_TKB_LOP'!$B$582:$G$589,"Chào cờ/HĐTN*"),COUNTIF('[1]03_TKB_LOP'!$B$582:$G$589,IF(LEFT(I$4,5)="NHÓM:","NHÓM:*"&amp;MID(I$4,8,50)&amp;"*",I$4&amp;" – *")))</f>
        <v>0</v>
      </c>
      <c r="J53" s="7">
        <f>IF(J$4="HĐTN",COUNTIF('[1]03_TKB_LOP'!$B$582:$G$589,"HĐTN*")+COUNTIF('[1]03_TKB_LOP'!$B$582:$G$589,"Chào cờ/HĐTN*"),COUNTIF('[1]03_TKB_LOP'!$B$582:$G$589,IF(LEFT(J$4,5)="NHÓM:","NHÓM:*"&amp;MID(J$4,8,50)&amp;"*",J$4&amp;" – *")))</f>
        <v>2</v>
      </c>
      <c r="K53" s="7">
        <f>IF(K$4="HĐTN",COUNTIF('[1]03_TKB_LOP'!$B$582:$G$589,"HĐTN*")+COUNTIF('[1]03_TKB_LOP'!$B$582:$G$589,"Chào cờ/HĐTN*"),COUNTIF('[1]03_TKB_LOP'!$B$582:$G$589,IF(LEFT(K$4,5)="NHÓM:","NHÓM:*"&amp;MID(K$4,8,50)&amp;"*",K$4&amp;" – *")))</f>
        <v>2</v>
      </c>
      <c r="L53" s="7">
        <f>IF(L$4="HĐTN",COUNTIF('[1]03_TKB_LOP'!$B$582:$G$589,"HĐTN*")+COUNTIF('[1]03_TKB_LOP'!$B$582:$G$589,"Chào cờ/HĐTN*"),COUNTIF('[1]03_TKB_LOP'!$B$582:$G$589,IF(LEFT(L$4,5)="NHÓM:","NHÓM:*"&amp;MID(L$4,8,50)&amp;"*",L$4&amp;" – *")))</f>
        <v>2</v>
      </c>
      <c r="M53" s="7">
        <f>IF(M$4="HĐTN",COUNTIF('[1]03_TKB_LOP'!$B$582:$G$589,"HĐTN*")+COUNTIF('[1]03_TKB_LOP'!$B$582:$G$589,"Chào cờ/HĐTN*"),COUNTIF('[1]03_TKB_LOP'!$B$582:$G$589,IF(LEFT(M$4,5)="NHÓM:","NHÓM:*"&amp;MID(M$4,8,50)&amp;"*",M$4&amp;" – *")))</f>
        <v>2</v>
      </c>
      <c r="N53" s="7">
        <f>IF(N$4="HĐTN",COUNTIF('[1]03_TKB_LOP'!$B$582:$G$589,"HĐTN*")+COUNTIF('[1]03_TKB_LOP'!$B$582:$G$589,"Chào cờ/HĐTN*"),COUNTIF('[1]03_TKB_LOP'!$B$582:$G$589,IF(LEFT(N$4,5)="NHÓM:","NHÓM:*"&amp;MID(N$4,8,50)&amp;"*",N$4&amp;" – *")))</f>
        <v>2</v>
      </c>
      <c r="O53" s="7">
        <f>IF(O$4="HĐTN",COUNTIF('[1]03_TKB_LOP'!$B$582:$G$589,"HĐTN*")+COUNTIF('[1]03_TKB_LOP'!$B$582:$G$589,"Chào cờ/HĐTN*"),COUNTIF('[1]03_TKB_LOP'!$B$582:$G$589,IF(LEFT(O$4,5)="NHÓM:","NHÓM:*"&amp;MID(O$4,8,50)&amp;"*",O$4&amp;" – *")))</f>
        <v>1</v>
      </c>
      <c r="P53" s="7">
        <f>IF(P$4="HĐTN",COUNTIF('[1]03_TKB_LOP'!$B$582:$G$589,"HĐTN*")+COUNTIF('[1]03_TKB_LOP'!$B$582:$G$589,"Chào cờ/HĐTN*"),COUNTIF('[1]03_TKB_LOP'!$B$582:$G$589,IF(LEFT(P$4,5)="NHÓM:","NHÓM:*"&amp;MID(P$4,8,50)&amp;"*",P$4&amp;" – *")))</f>
        <v>1</v>
      </c>
      <c r="Q53" s="7">
        <f>IF(Q$4="HĐTN",COUNTIF('[1]03_TKB_LOP'!$B$582:$G$589,"HĐTN*")+COUNTIF('[1]03_TKB_LOP'!$B$582:$G$589,"Chào cờ/HĐTN*"),COUNTIF('[1]03_TKB_LOP'!$B$582:$G$589,IF(LEFT(Q$4,5)="NHÓM:","NHÓM:*"&amp;MID(Q$4,8,50)&amp;"*",Q$4&amp;" – *")))</f>
        <v>0</v>
      </c>
      <c r="R53" s="7">
        <f>IF(R$4="HĐTN",COUNTIF('[1]03_TKB_LOP'!$B$582:$G$589,"HĐTN*")+COUNTIF('[1]03_TKB_LOP'!$B$582:$G$589,"Chào cờ/HĐTN*"),COUNTIF('[1]03_TKB_LOP'!$B$582:$G$589,IF(LEFT(R$4,5)="NHÓM:","NHÓM:*"&amp;MID(R$4,8,50)&amp;"*",R$4&amp;" – *")))</f>
        <v>1</v>
      </c>
      <c r="S53" s="7">
        <f>IF(S$4="HĐTN",COUNTIF('[1]03_TKB_LOP'!$B$582:$G$589,"HĐTN*")+COUNTIF('[1]03_TKB_LOP'!$B$582:$G$589,"Chào cờ/HĐTN*"),COUNTIF('[1]03_TKB_LOP'!$B$582:$G$589,IF(LEFT(S$4,5)="NHÓM:","NHÓM:*"&amp;MID(S$4,8,50)&amp;"*",S$4&amp;" – *")))</f>
        <v>0</v>
      </c>
      <c r="T53" s="7">
        <f>IF(T$4="HĐTN",COUNTIF('[1]03_TKB_LOP'!$B$582:$G$589,"HĐTN*")+COUNTIF('[1]03_TKB_LOP'!$B$582:$G$589,"Chào cờ/HĐTN*"),COUNTIF('[1]03_TKB_LOP'!$B$582:$G$589,IF(LEFT(T$4,5)="NHÓM:","NHÓM:*"&amp;MID(T$4,8,50)&amp;"*",T$4&amp;" – *")))</f>
        <v>0</v>
      </c>
      <c r="U53" s="7">
        <f>IF(U$4="HĐTN",COUNTIF('[1]03_TKB_LOP'!$B$582:$G$589,"HĐTN*")+COUNTIF('[1]03_TKB_LOP'!$B$582:$G$589,"Chào cờ/HĐTN*"),COUNTIF('[1]03_TKB_LOP'!$B$582:$G$589,IF(LEFT(U$4,5)="NHÓM:","NHÓM:*"&amp;MID(U$4,8,50)&amp;"*",U$4&amp;" – *")))</f>
        <v>0</v>
      </c>
      <c r="V53" s="7">
        <f>IF(V$4="HĐTN",COUNTIF('[1]03_TKB_LOP'!$B$582:$G$589,"HĐTN*")+COUNTIF('[1]03_TKB_LOP'!$B$582:$G$589,"Chào cờ/HĐTN*"),COUNTIF('[1]03_TKB_LOP'!$B$582:$G$589,IF(LEFT(V$4,5)="NHÓM:","NHÓM:*"&amp;MID(V$4,8,50)&amp;"*",V$4&amp;" – *")))</f>
        <v>1</v>
      </c>
      <c r="W53" s="7">
        <f>IF(W$4="HĐTN",COUNTIF('[1]03_TKB_LOP'!$B$582:$G$589,"HĐTN*")+COUNTIF('[1]03_TKB_LOP'!$B$582:$G$589,"Chào cờ/HĐTN*"),COUNTIF('[1]03_TKB_LOP'!$B$582:$G$589,IF(LEFT(W$4,5)="NHÓM:","NHÓM:*"&amp;MID(W$4,8,50)&amp;"*",W$4&amp;" – *")))</f>
        <v>1</v>
      </c>
      <c r="X53" s="7">
        <f>IF(X$4="HĐTN",COUNTIF('[1]03_TKB_LOP'!$B$582:$G$589,"HĐTN*")+COUNTIF('[1]03_TKB_LOP'!$B$582:$G$589,"Chào cờ/HĐTN*"),COUNTIF('[1]03_TKB_LOP'!$B$582:$G$589,IF(LEFT(X$4,5)="NHÓM:","NHÓM:*"&amp;MID(X$4,8,50)&amp;"*",X$4&amp;" – *")))</f>
        <v>8</v>
      </c>
      <c r="Y53" s="7">
        <f>IF(Y$4="HĐTN",COUNTIF('[1]03_TKB_LOP'!$B$582:$G$589,"HĐTN*")+COUNTIF('[1]03_TKB_LOP'!$B$582:$G$589,"Chào cờ/HĐTN*"),COUNTIF('[1]03_TKB_LOP'!$B$582:$G$589,IF(LEFT(Y$4,5)="NHÓM:","NHÓM:*"&amp;MID(Y$4,8,50)&amp;"*",Y$4&amp;" – *")))</f>
        <v>4</v>
      </c>
      <c r="Z53" s="7">
        <f>IF(Z$4="HĐTN",COUNTIF('[1]03_TKB_LOP'!$B$582:$G$589,"HĐTN*")+COUNTIF('[1]03_TKB_LOP'!$B$582:$G$589,"Chào cờ/HĐTN*"),COUNTIF('[1]03_TKB_LOP'!$B$582:$G$589,IF(LEFT(Z$4,5)="NHÓM:","NHÓM:*"&amp;MID(Z$4,8,50)&amp;"*",Z$4&amp;" – *")))</f>
        <v>0</v>
      </c>
      <c r="AA53" s="7">
        <f>IF(AA$4="HĐTN",COUNTIF('[1]03_TKB_LOP'!$B$582:$G$589,"HĐTN*")+COUNTIF('[1]03_TKB_LOP'!$B$582:$G$589,"Chào cờ/HĐTN*"),COUNTIF('[1]03_TKB_LOP'!$B$582:$G$589,IF(LEFT(AA$4,5)="NHÓM:","NHÓM:*"&amp;MID(AA$4,8,50)&amp;"*",AA$4&amp;" – *")))</f>
        <v>0</v>
      </c>
      <c r="AB53" s="7">
        <f>IF(AB$4="HĐTN",COUNTIF('[1]03_TKB_LOP'!$B$582:$G$589,"HĐTN*")+COUNTIF('[1]03_TKB_LOP'!$B$582:$G$589,"Chào cờ/HĐTN*"),COUNTIF('[1]03_TKB_LOP'!$B$582:$G$589,IF(LEFT(AB$4,5)="NHÓM:","NHÓM:*"&amp;MID(AB$4,8,50)&amp;"*",AB$4&amp;" – *")))</f>
        <v>8</v>
      </c>
    </row>
    <row r="54" spans="1:28" x14ac:dyDescent="0.2">
      <c r="A54" s="5" t="str">
        <f>TRIM(MID('[1]03_TKB_LOP'!$A$592,4,FIND("|",'[1]03_TKB_LOP'!$A$592)-4))</f>
        <v>12A15</v>
      </c>
      <c r="B54" s="6" t="str">
        <f>TRIM(MID('[1]03_TKB_LOP'!$A$592,FIND("GVCN:",'[1]03_TKB_LOP'!$A$592)+5,FIND("|",'[1]03_TKB_LOP'!$A$592,FIND("GVCN:",'[1]03_TKB_LOP'!$A$592))-FIND("GVCN:",'[1]03_TKB_LOP'!$A$592)-5))</f>
        <v>QUÁCH THỊ THỦY</v>
      </c>
      <c r="C54" s="7">
        <f>IF(C$4="HĐTN",COUNTIF('[1]03_TKB_LOP'!$B$594:$G$601,"HĐTN*")+COUNTIF('[1]03_TKB_LOP'!$B$594:$G$601,"Chào cờ/HĐTN*"),COUNTIF('[1]03_TKB_LOP'!$B$594:$G$601,IF(LEFT(C$4,5)="NHÓM:","NHÓM:*"&amp;MID(C$4,8,50)&amp;"*",C$4&amp;" – *")))</f>
        <v>3</v>
      </c>
      <c r="D54" s="7">
        <f>IF(D$4="HĐTN",COUNTIF('[1]03_TKB_LOP'!$B$594:$G$601,"HĐTN*")+COUNTIF('[1]03_TKB_LOP'!$B$594:$G$601,"Chào cờ/HĐTN*"),COUNTIF('[1]03_TKB_LOP'!$B$594:$G$601,IF(LEFT(D$4,5)="NHÓM:","NHÓM:*"&amp;MID(D$4,8,50)&amp;"*",D$4&amp;" – *")))</f>
        <v>5</v>
      </c>
      <c r="E54" s="7">
        <f>IF(E$4="HĐTN",COUNTIF('[1]03_TKB_LOP'!$B$594:$G$601,"HĐTN*")+COUNTIF('[1]03_TKB_LOP'!$B$594:$G$601,"Chào cờ/HĐTN*"),COUNTIF('[1]03_TKB_LOP'!$B$594:$G$601,IF(LEFT(E$4,5)="NHÓM:","NHÓM:*"&amp;MID(E$4,8,50)&amp;"*",E$4&amp;" – *")))</f>
        <v>5</v>
      </c>
      <c r="F54" s="7">
        <f>IF(F$4="HĐTN",COUNTIF('[1]03_TKB_LOP'!$B$594:$G$601,"HĐTN*")+COUNTIF('[1]03_TKB_LOP'!$B$594:$G$601,"Chào cờ/HĐTN*"),COUNTIF('[1]03_TKB_LOP'!$B$594:$G$601,IF(LEFT(F$4,5)="NHÓM:","NHÓM:*"&amp;MID(F$4,8,50)&amp;"*",F$4&amp;" – *")))</f>
        <v>3</v>
      </c>
      <c r="G54" s="7">
        <f>IF(G$4="HĐTN",COUNTIF('[1]03_TKB_LOP'!$B$594:$G$601,"HĐTN*")+COUNTIF('[1]03_TKB_LOP'!$B$594:$G$601,"Chào cờ/HĐTN*"),COUNTIF('[1]03_TKB_LOP'!$B$594:$G$601,IF(LEFT(G$4,5)="NHÓM:","NHÓM:*"&amp;MID(G$4,8,50)&amp;"*",G$4&amp;" – *")))</f>
        <v>0</v>
      </c>
      <c r="H54" s="7">
        <f>IF(H$4="HĐTN",COUNTIF('[1]03_TKB_LOP'!$B$594:$G$601,"HĐTN*")+COUNTIF('[1]03_TKB_LOP'!$B$594:$G$601,"Chào cờ/HĐTN*"),COUNTIF('[1]03_TKB_LOP'!$B$594:$G$601,IF(LEFT(H$4,5)="NHÓM:","NHÓM:*"&amp;MID(H$4,8,50)&amp;"*",H$4&amp;" – *")))</f>
        <v>0</v>
      </c>
      <c r="I54" s="7">
        <f>IF(I$4="HĐTN",COUNTIF('[1]03_TKB_LOP'!$B$594:$G$601,"HĐTN*")+COUNTIF('[1]03_TKB_LOP'!$B$594:$G$601,"Chào cờ/HĐTN*"),COUNTIF('[1]03_TKB_LOP'!$B$594:$G$601,IF(LEFT(I$4,5)="NHÓM:","NHÓM:*"&amp;MID(I$4,8,50)&amp;"*",I$4&amp;" – *")))</f>
        <v>0</v>
      </c>
      <c r="J54" s="7">
        <f>IF(J$4="HĐTN",COUNTIF('[1]03_TKB_LOP'!$B$594:$G$601,"HĐTN*")+COUNTIF('[1]03_TKB_LOP'!$B$594:$G$601,"Chào cờ/HĐTN*"),COUNTIF('[1]03_TKB_LOP'!$B$594:$G$601,IF(LEFT(J$4,5)="NHÓM:","NHÓM:*"&amp;MID(J$4,8,50)&amp;"*",J$4&amp;" – *")))</f>
        <v>2</v>
      </c>
      <c r="K54" s="7">
        <f>IF(K$4="HĐTN",COUNTIF('[1]03_TKB_LOP'!$B$594:$G$601,"HĐTN*")+COUNTIF('[1]03_TKB_LOP'!$B$594:$G$601,"Chào cờ/HĐTN*"),COUNTIF('[1]03_TKB_LOP'!$B$594:$G$601,IF(LEFT(K$4,5)="NHÓM:","NHÓM:*"&amp;MID(K$4,8,50)&amp;"*",K$4&amp;" – *")))</f>
        <v>2</v>
      </c>
      <c r="L54" s="7">
        <f>IF(L$4="HĐTN",COUNTIF('[1]03_TKB_LOP'!$B$594:$G$601,"HĐTN*")+COUNTIF('[1]03_TKB_LOP'!$B$594:$G$601,"Chào cờ/HĐTN*"),COUNTIF('[1]03_TKB_LOP'!$B$594:$G$601,IF(LEFT(L$4,5)="NHÓM:","NHÓM:*"&amp;MID(L$4,8,50)&amp;"*",L$4&amp;" – *")))</f>
        <v>2</v>
      </c>
      <c r="M54" s="7">
        <f>IF(M$4="HĐTN",COUNTIF('[1]03_TKB_LOP'!$B$594:$G$601,"HĐTN*")+COUNTIF('[1]03_TKB_LOP'!$B$594:$G$601,"Chào cờ/HĐTN*"),COUNTIF('[1]03_TKB_LOP'!$B$594:$G$601,IF(LEFT(M$4,5)="NHÓM:","NHÓM:*"&amp;MID(M$4,8,50)&amp;"*",M$4&amp;" – *")))</f>
        <v>2</v>
      </c>
      <c r="N54" s="7">
        <f>IF(N$4="HĐTN",COUNTIF('[1]03_TKB_LOP'!$B$594:$G$601,"HĐTN*")+COUNTIF('[1]03_TKB_LOP'!$B$594:$G$601,"Chào cờ/HĐTN*"),COUNTIF('[1]03_TKB_LOP'!$B$594:$G$601,IF(LEFT(N$4,5)="NHÓM:","NHÓM:*"&amp;MID(N$4,8,50)&amp;"*",N$4&amp;" – *")))</f>
        <v>2</v>
      </c>
      <c r="O54" s="7">
        <f>IF(O$4="HĐTN",COUNTIF('[1]03_TKB_LOP'!$B$594:$G$601,"HĐTN*")+COUNTIF('[1]03_TKB_LOP'!$B$594:$G$601,"Chào cờ/HĐTN*"),COUNTIF('[1]03_TKB_LOP'!$B$594:$G$601,IF(LEFT(O$4,5)="NHÓM:","NHÓM:*"&amp;MID(O$4,8,50)&amp;"*",O$4&amp;" – *")))</f>
        <v>1</v>
      </c>
      <c r="P54" s="7">
        <f>IF(P$4="HĐTN",COUNTIF('[1]03_TKB_LOP'!$B$594:$G$601,"HĐTN*")+COUNTIF('[1]03_TKB_LOP'!$B$594:$G$601,"Chào cờ/HĐTN*"),COUNTIF('[1]03_TKB_LOP'!$B$594:$G$601,IF(LEFT(P$4,5)="NHÓM:","NHÓM:*"&amp;MID(P$4,8,50)&amp;"*",P$4&amp;" – *")))</f>
        <v>1</v>
      </c>
      <c r="Q54" s="7">
        <f>IF(Q$4="HĐTN",COUNTIF('[1]03_TKB_LOP'!$B$594:$G$601,"HĐTN*")+COUNTIF('[1]03_TKB_LOP'!$B$594:$G$601,"Chào cờ/HĐTN*"),COUNTIF('[1]03_TKB_LOP'!$B$594:$G$601,IF(LEFT(Q$4,5)="NHÓM:","NHÓM:*"&amp;MID(Q$4,8,50)&amp;"*",Q$4&amp;" – *")))</f>
        <v>0</v>
      </c>
      <c r="R54" s="7">
        <f>IF(R$4="HĐTN",COUNTIF('[1]03_TKB_LOP'!$B$594:$G$601,"HĐTN*")+COUNTIF('[1]03_TKB_LOP'!$B$594:$G$601,"Chào cờ/HĐTN*"),COUNTIF('[1]03_TKB_LOP'!$B$594:$G$601,IF(LEFT(R$4,5)="NHÓM:","NHÓM:*"&amp;MID(R$4,8,50)&amp;"*",R$4&amp;" – *")))</f>
        <v>1</v>
      </c>
      <c r="S54" s="7">
        <f>IF(S$4="HĐTN",COUNTIF('[1]03_TKB_LOP'!$B$594:$G$601,"HĐTN*")+COUNTIF('[1]03_TKB_LOP'!$B$594:$G$601,"Chào cờ/HĐTN*"),COUNTIF('[1]03_TKB_LOP'!$B$594:$G$601,IF(LEFT(S$4,5)="NHÓM:","NHÓM:*"&amp;MID(S$4,8,50)&amp;"*",S$4&amp;" – *")))</f>
        <v>0</v>
      </c>
      <c r="T54" s="7">
        <f>IF(T$4="HĐTN",COUNTIF('[1]03_TKB_LOP'!$B$594:$G$601,"HĐTN*")+COUNTIF('[1]03_TKB_LOP'!$B$594:$G$601,"Chào cờ/HĐTN*"),COUNTIF('[1]03_TKB_LOP'!$B$594:$G$601,IF(LEFT(T$4,5)="NHÓM:","NHÓM:*"&amp;MID(T$4,8,50)&amp;"*",T$4&amp;" – *")))</f>
        <v>0</v>
      </c>
      <c r="U54" s="7">
        <f>IF(U$4="HĐTN",COUNTIF('[1]03_TKB_LOP'!$B$594:$G$601,"HĐTN*")+COUNTIF('[1]03_TKB_LOP'!$B$594:$G$601,"Chào cờ/HĐTN*"),COUNTIF('[1]03_TKB_LOP'!$B$594:$G$601,IF(LEFT(U$4,5)="NHÓM:","NHÓM:*"&amp;MID(U$4,8,50)&amp;"*",U$4&amp;" – *")))</f>
        <v>0</v>
      </c>
      <c r="V54" s="7">
        <f>IF(V$4="HĐTN",COUNTIF('[1]03_TKB_LOP'!$B$594:$G$601,"HĐTN*")+COUNTIF('[1]03_TKB_LOP'!$B$594:$G$601,"Chào cờ/HĐTN*"),COUNTIF('[1]03_TKB_LOP'!$B$594:$G$601,IF(LEFT(V$4,5)="NHÓM:","NHÓM:*"&amp;MID(V$4,8,50)&amp;"*",V$4&amp;" – *")))</f>
        <v>1</v>
      </c>
      <c r="W54" s="7">
        <f>IF(W$4="HĐTN",COUNTIF('[1]03_TKB_LOP'!$B$594:$G$601,"HĐTN*")+COUNTIF('[1]03_TKB_LOP'!$B$594:$G$601,"Chào cờ/HĐTN*"),COUNTIF('[1]03_TKB_LOP'!$B$594:$G$601,IF(LEFT(W$4,5)="NHÓM:","NHÓM:*"&amp;MID(W$4,8,50)&amp;"*",W$4&amp;" – *")))</f>
        <v>1</v>
      </c>
      <c r="X54" s="7">
        <f>IF(X$4="HĐTN",COUNTIF('[1]03_TKB_LOP'!$B$594:$G$601,"HĐTN*")+COUNTIF('[1]03_TKB_LOP'!$B$594:$G$601,"Chào cờ/HĐTN*"),COUNTIF('[1]03_TKB_LOP'!$B$594:$G$601,IF(LEFT(X$4,5)="NHÓM:","NHÓM:*"&amp;MID(X$4,8,50)&amp;"*",X$4&amp;" – *")))</f>
        <v>6</v>
      </c>
      <c r="Y54" s="7">
        <f>IF(Y$4="HĐTN",COUNTIF('[1]03_TKB_LOP'!$B$594:$G$601,"HĐTN*")+COUNTIF('[1]03_TKB_LOP'!$B$594:$G$601,"Chào cờ/HĐTN*"),COUNTIF('[1]03_TKB_LOP'!$B$594:$G$601,IF(LEFT(Y$4,5)="NHÓM:","NHÓM:*"&amp;MID(Y$4,8,50)&amp;"*",Y$4&amp;" – *")))</f>
        <v>6</v>
      </c>
      <c r="Z54" s="7">
        <f>IF(Z$4="HĐTN",COUNTIF('[1]03_TKB_LOP'!$B$594:$G$601,"HĐTN*")+COUNTIF('[1]03_TKB_LOP'!$B$594:$G$601,"Chào cờ/HĐTN*"),COUNTIF('[1]03_TKB_LOP'!$B$594:$G$601,IF(LEFT(Z$4,5)="NHÓM:","NHÓM:*"&amp;MID(Z$4,8,50)&amp;"*",Z$4&amp;" – *")))</f>
        <v>0</v>
      </c>
      <c r="AA54" s="7">
        <f>IF(AA$4="HĐTN",COUNTIF('[1]03_TKB_LOP'!$B$594:$G$601,"HĐTN*")+COUNTIF('[1]03_TKB_LOP'!$B$594:$G$601,"Chào cờ/HĐTN*"),COUNTIF('[1]03_TKB_LOP'!$B$594:$G$601,IF(LEFT(AA$4,5)="NHÓM:","NHÓM:*"&amp;MID(AA$4,8,50)&amp;"*",AA$4&amp;" – *")))</f>
        <v>0</v>
      </c>
      <c r="AB54" s="7">
        <f>IF(AB$4="HĐTN",COUNTIF('[1]03_TKB_LOP'!$B$594:$G$601,"HĐTN*")+COUNTIF('[1]03_TKB_LOP'!$B$594:$G$601,"Chào cờ/HĐTN*"),COUNTIF('[1]03_TKB_LOP'!$B$594:$G$601,IF(LEFT(AB$4,5)="NHÓM:","NHÓM:*"&amp;MID(AB$4,8,50)&amp;"*",AB$4&amp;" – *")))</f>
        <v>8</v>
      </c>
    </row>
    <row r="55" spans="1:28" x14ac:dyDescent="0.2">
      <c r="A55" s="8" t="s">
        <v>30</v>
      </c>
      <c r="B55" s="9"/>
      <c r="C55" s="10">
        <f>SUM(C5:C54)</f>
        <v>150</v>
      </c>
      <c r="D55" s="10">
        <f>SUM(D5:D54)</f>
        <v>180</v>
      </c>
      <c r="E55" s="10">
        <f>SUM(E5:E54)</f>
        <v>180</v>
      </c>
      <c r="F55" s="10">
        <f>SUM(F5:F54)</f>
        <v>150</v>
      </c>
      <c r="G55" s="10">
        <f>SUM(G5:G54)</f>
        <v>64</v>
      </c>
      <c r="H55" s="10">
        <f>SUM(H5:H54)</f>
        <v>50</v>
      </c>
      <c r="I55" s="10">
        <f>SUM(I5:I54)</f>
        <v>38</v>
      </c>
      <c r="J55" s="10">
        <f>SUM(J5:J54)</f>
        <v>86</v>
      </c>
      <c r="K55" s="10">
        <f>SUM(K5:K54)</f>
        <v>52</v>
      </c>
      <c r="L55" s="10">
        <f>SUM(L5:L54)</f>
        <v>72</v>
      </c>
      <c r="M55" s="10">
        <f>SUM(M5:M54)</f>
        <v>90</v>
      </c>
      <c r="N55" s="10">
        <f>SUM(N5:N54)</f>
        <v>34</v>
      </c>
      <c r="O55" s="10">
        <f>SUM(O5:O54)</f>
        <v>50</v>
      </c>
      <c r="P55" s="10">
        <f>SUM(P5:P54)</f>
        <v>50</v>
      </c>
      <c r="Q55" s="10">
        <f>SUM(Q5:Q54)</f>
        <v>32</v>
      </c>
      <c r="R55" s="10">
        <f>SUM(R5:R54)</f>
        <v>25</v>
      </c>
      <c r="S55" s="10">
        <f>SUM(S5:S54)</f>
        <v>22</v>
      </c>
      <c r="T55" s="10">
        <f>SUM(T5:T54)</f>
        <v>24</v>
      </c>
      <c r="U55" s="10">
        <f>SUM(U5:U54)</f>
        <v>11</v>
      </c>
      <c r="V55" s="10">
        <f>SUM(V5:V54)</f>
        <v>18</v>
      </c>
      <c r="W55" s="10">
        <f>SUM(W5:W54)</f>
        <v>18</v>
      </c>
      <c r="X55" s="10">
        <f>SUM(X5:X54)</f>
        <v>300</v>
      </c>
      <c r="Y55" s="10">
        <f>SUM(Y5:Y54)</f>
        <v>158</v>
      </c>
      <c r="Z55" s="10">
        <f>SUM(Z5:Z54)</f>
        <v>70</v>
      </c>
      <c r="AA55" s="10">
        <f>SUM(AA5:AA54)</f>
        <v>98</v>
      </c>
      <c r="AB55" s="10">
        <f>SUM(AB5:AB54)</f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04_THONG_KE_TIET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Bao Tran</dc:creator>
  <cp:lastModifiedBy>Nguyen Ngoc Bao Tran</cp:lastModifiedBy>
  <dcterms:created xsi:type="dcterms:W3CDTF">2026-10-13T15:50:07Z</dcterms:created>
  <dcterms:modified xsi:type="dcterms:W3CDTF">2026-10-13T15:50:25Z</dcterms:modified>
</cp:coreProperties>
</file>