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Phan Cong Nhan Su\2026 - 2027\Chinh Thuc\"/>
    </mc:Choice>
  </mc:AlternateContent>
  <xr:revisionPtr revIDLastSave="0" documentId="13_ncr:1_{574082CC-233D-4F8F-A1B4-3701FB75E45E}" xr6:coauthVersionLast="47" xr6:coauthVersionMax="47" xr10:uidLastSave="{00000000-0000-0000-0000-000000000000}"/>
  <bookViews>
    <workbookView xWindow="-110" yWindow="-110" windowWidth="19420" windowHeight="10420" activeTab="4" xr2:uid="{00000000-000D-0000-FFFF-FFFF00000000}"/>
  </bookViews>
  <sheets>
    <sheet name="Tổng hợp" sheetId="1" r:id="rId1"/>
    <sheet name="CN" sheetId="7" r:id="rId2"/>
    <sheet name="PL12" sheetId="10" r:id="rId3"/>
    <sheet name="PL11" sheetId="11" r:id="rId4"/>
    <sheet name="PL10" sheetId="12" r:id="rId5"/>
    <sheet name="TCVH" sheetId="4" r:id="rId6"/>
    <sheet name="CĐ" sheetId="5" r:id="rId7"/>
    <sheet name="TN" sheetId="13" r:id="rId8"/>
    <sheet name="TCTC" sheetId="9" r:id="rId9"/>
    <sheet name="Phân tiết" sheetId="15" r:id="rId10"/>
    <sheet name="RA_SOAT" sheetId="16" r:id="rId11"/>
    <sheet name="MAP_TNHN" sheetId="17" r:id="rId12"/>
    <sheet name="GHI_CHU_08_09" sheetId="18" r:id="rId13"/>
    <sheet name="DONG_BO_CHUC_VU_NS" sheetId="19" r:id="rId14"/>
    <sheet name="CAN_RA_SOAT_QD" sheetId="20"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3" i="15" l="1"/>
  <c r="C33" i="15"/>
  <c r="E32" i="15"/>
  <c r="E31" i="15"/>
  <c r="E33" i="15" s="1"/>
  <c r="N28" i="15"/>
  <c r="M28" i="15"/>
  <c r="L28" i="15"/>
  <c r="K28" i="15"/>
  <c r="J28" i="15"/>
  <c r="I28" i="15"/>
  <c r="H28" i="15"/>
  <c r="G28" i="15"/>
  <c r="F28" i="15"/>
  <c r="E28" i="15"/>
  <c r="D28" i="15"/>
  <c r="C28" i="15"/>
  <c r="R7" i="15"/>
  <c r="Q7" i="15"/>
  <c r="S4" i="15"/>
  <c r="S7" i="15" s="1"/>
  <c r="M10" i="9"/>
  <c r="O11" i="9" s="1"/>
  <c r="L10" i="9"/>
  <c r="J10" i="9"/>
  <c r="I10" i="9"/>
  <c r="G10" i="9"/>
  <c r="F10" i="9"/>
  <c r="D10" i="9"/>
  <c r="C10" i="9"/>
  <c r="P9" i="9"/>
  <c r="O9" i="9"/>
  <c r="N9" i="9"/>
  <c r="K9" i="9"/>
  <c r="H9" i="9"/>
  <c r="E9" i="9"/>
  <c r="P8" i="9"/>
  <c r="O8" i="9"/>
  <c r="N8" i="9"/>
  <c r="N10" i="9" s="1"/>
  <c r="K8" i="9"/>
  <c r="H8" i="9"/>
  <c r="E8" i="9"/>
  <c r="P7" i="9"/>
  <c r="P10" i="9" s="1"/>
  <c r="O7" i="9"/>
  <c r="O10" i="9" s="1"/>
  <c r="N7" i="9"/>
  <c r="K7" i="9"/>
  <c r="K10" i="9" s="1"/>
  <c r="H7" i="9"/>
  <c r="H10" i="9" s="1"/>
  <c r="E7" i="9"/>
  <c r="E10" i="9" s="1"/>
  <c r="J9" i="13"/>
  <c r="I9" i="13"/>
  <c r="H9" i="13"/>
  <c r="G9" i="13"/>
  <c r="F9" i="13"/>
  <c r="E9" i="13"/>
  <c r="D9" i="13"/>
  <c r="C9" i="13"/>
  <c r="B9" i="13"/>
  <c r="J8" i="13"/>
  <c r="I8" i="13"/>
  <c r="H8" i="13"/>
  <c r="F8" i="13"/>
  <c r="E8" i="13"/>
  <c r="D8" i="13"/>
  <c r="C8" i="13"/>
  <c r="B8" i="13"/>
  <c r="L9" i="5"/>
  <c r="H9" i="5"/>
  <c r="D9" i="5"/>
  <c r="L8" i="5"/>
  <c r="K8" i="5"/>
  <c r="J8" i="5"/>
  <c r="I8" i="5"/>
  <c r="H8" i="5"/>
  <c r="G8" i="5"/>
  <c r="F8" i="5"/>
  <c r="E8" i="5"/>
  <c r="D8" i="5"/>
  <c r="C8" i="5"/>
  <c r="M8" i="5" s="1"/>
  <c r="L7" i="5"/>
  <c r="K7" i="5"/>
  <c r="J7" i="5"/>
  <c r="J9" i="5" s="1"/>
  <c r="I7" i="5"/>
  <c r="H7" i="5"/>
  <c r="G7" i="5"/>
  <c r="F7" i="5"/>
  <c r="F9" i="5" s="1"/>
  <c r="E7" i="5"/>
  <c r="D7" i="5"/>
  <c r="M7" i="5" s="1"/>
  <c r="C7" i="5"/>
  <c r="L6" i="5"/>
  <c r="K6" i="5"/>
  <c r="K9" i="5" s="1"/>
  <c r="J6" i="5"/>
  <c r="I6" i="5"/>
  <c r="I9" i="5" s="1"/>
  <c r="H6" i="5"/>
  <c r="G6" i="5"/>
  <c r="G9" i="5" s="1"/>
  <c r="F6" i="5"/>
  <c r="E6" i="5"/>
  <c r="M6" i="5" s="1"/>
  <c r="D6" i="5"/>
  <c r="C6" i="5"/>
  <c r="C9" i="5" s="1"/>
  <c r="I9" i="4"/>
  <c r="H9" i="4"/>
  <c r="G9" i="4"/>
  <c r="F9" i="4"/>
  <c r="E9" i="4"/>
  <c r="D9" i="4"/>
  <c r="C9" i="4"/>
  <c r="J9" i="4" s="1"/>
  <c r="J8" i="4"/>
  <c r="J7" i="4"/>
  <c r="J6" i="4"/>
  <c r="T26" i="12"/>
  <c r="S26" i="12"/>
  <c r="R26" i="12"/>
  <c r="Q26" i="12"/>
  <c r="P26" i="12"/>
  <c r="O26" i="12"/>
  <c r="N26" i="12"/>
  <c r="M26" i="12"/>
  <c r="L26" i="12"/>
  <c r="K26" i="12"/>
  <c r="J26" i="12"/>
  <c r="I26" i="12"/>
  <c r="H26" i="12"/>
  <c r="G26" i="12"/>
  <c r="F26" i="12"/>
  <c r="E26" i="12"/>
  <c r="T19" i="11"/>
  <c r="R19" i="11"/>
  <c r="Q19" i="11"/>
  <c r="O19" i="11"/>
  <c r="N19" i="11"/>
  <c r="M19" i="11"/>
  <c r="L19" i="11"/>
  <c r="K19" i="11"/>
  <c r="J19" i="11"/>
  <c r="I19" i="11"/>
  <c r="H19" i="11"/>
  <c r="G19" i="11"/>
  <c r="F19" i="11"/>
  <c r="E19" i="11"/>
  <c r="T20" i="10"/>
  <c r="S20" i="10"/>
  <c r="R20" i="10"/>
  <c r="Q20" i="10"/>
  <c r="O20" i="10"/>
  <c r="N20" i="10"/>
  <c r="M20" i="10"/>
  <c r="L20" i="10"/>
  <c r="K20" i="10"/>
  <c r="J20" i="10"/>
  <c r="I20" i="10"/>
  <c r="H20" i="10"/>
  <c r="G20" i="10"/>
  <c r="F20" i="10"/>
  <c r="E20" i="10"/>
  <c r="S114" i="1"/>
  <c r="N114" i="1"/>
  <c r="L114" i="1"/>
  <c r="I114" i="1"/>
  <c r="T112" i="1"/>
  <c r="S112" i="1"/>
  <c r="Q112" i="1"/>
  <c r="Q114" i="1" s="1"/>
  <c r="O112" i="1"/>
  <c r="N112" i="1"/>
  <c r="S19" i="11" s="1"/>
  <c r="L112" i="1"/>
  <c r="J112" i="1"/>
  <c r="F112" i="1"/>
  <c r="D112" i="1"/>
  <c r="AG111" i="1"/>
  <c r="AD111" i="1"/>
  <c r="AK111" i="1" s="1"/>
  <c r="R111" i="1"/>
  <c r="P111" i="1"/>
  <c r="M111" i="1"/>
  <c r="K111" i="1"/>
  <c r="G111" i="1"/>
  <c r="E111" i="1"/>
  <c r="AY110" i="1"/>
  <c r="U110" i="1" s="1"/>
  <c r="Z110" i="1" s="1"/>
  <c r="AX110" i="1"/>
  <c r="AW110" i="1"/>
  <c r="AG110" i="1"/>
  <c r="AD110" i="1"/>
  <c r="AK110" i="1" s="1"/>
  <c r="V110" i="1"/>
  <c r="AY109" i="1"/>
  <c r="AX109" i="1"/>
  <c r="U109" i="1" s="1"/>
  <c r="Z109" i="1" s="1"/>
  <c r="AA109" i="1" s="1"/>
  <c r="AK109" i="1" s="1"/>
  <c r="AW109" i="1"/>
  <c r="AJ109" i="1"/>
  <c r="AG109" i="1"/>
  <c r="AD109" i="1"/>
  <c r="V109" i="1"/>
  <c r="AK108" i="1"/>
  <c r="R108" i="1"/>
  <c r="P108" i="1"/>
  <c r="M108" i="1"/>
  <c r="K108" i="1"/>
  <c r="G108" i="1"/>
  <c r="E108" i="1"/>
  <c r="AX107" i="1"/>
  <c r="AW107" i="1"/>
  <c r="U107" i="1" s="1"/>
  <c r="Z107" i="1" s="1"/>
  <c r="AA107" i="1" s="1"/>
  <c r="AK107" i="1" s="1"/>
  <c r="AJ107" i="1"/>
  <c r="AG107" i="1"/>
  <c r="AD107" i="1"/>
  <c r="V107" i="1"/>
  <c r="AY106" i="1"/>
  <c r="AX106" i="1"/>
  <c r="AW106" i="1"/>
  <c r="AJ106" i="1"/>
  <c r="AG106" i="1"/>
  <c r="AD106" i="1"/>
  <c r="V106" i="1"/>
  <c r="AY105" i="1"/>
  <c r="AX105" i="1"/>
  <c r="AW105" i="1"/>
  <c r="U105" i="1" s="1"/>
  <c r="Z105" i="1" s="1"/>
  <c r="AA105" i="1" s="1"/>
  <c r="AK105" i="1" s="1"/>
  <c r="AJ105" i="1"/>
  <c r="AG105" i="1"/>
  <c r="AD105" i="1"/>
  <c r="V105" i="1"/>
  <c r="AY104" i="1"/>
  <c r="AX104" i="1"/>
  <c r="AW104" i="1"/>
  <c r="U104" i="1" s="1"/>
  <c r="Z104" i="1" s="1"/>
  <c r="AA104" i="1" s="1"/>
  <c r="AK104" i="1" s="1"/>
  <c r="AJ104" i="1"/>
  <c r="AG104" i="1"/>
  <c r="AD104" i="1"/>
  <c r="V104" i="1"/>
  <c r="AY103" i="1"/>
  <c r="AX103" i="1"/>
  <c r="AW103" i="1"/>
  <c r="AJ103" i="1"/>
  <c r="AG103" i="1"/>
  <c r="AD103" i="1"/>
  <c r="V103" i="1"/>
  <c r="AY102" i="1"/>
  <c r="AX102" i="1"/>
  <c r="AW102" i="1"/>
  <c r="AJ102" i="1"/>
  <c r="AG102" i="1"/>
  <c r="AD102" i="1"/>
  <c r="V102" i="1"/>
  <c r="AY101" i="1"/>
  <c r="U101" i="1" s="1"/>
  <c r="Z101" i="1" s="1"/>
  <c r="AA101" i="1" s="1"/>
  <c r="AK101" i="1" s="1"/>
  <c r="AX101" i="1"/>
  <c r="AW101" i="1"/>
  <c r="AJ101" i="1"/>
  <c r="AG101" i="1"/>
  <c r="AD101" i="1"/>
  <c r="V101" i="1"/>
  <c r="AY100" i="1"/>
  <c r="U100" i="1" s="1"/>
  <c r="Z100" i="1" s="1"/>
  <c r="AA100" i="1" s="1"/>
  <c r="AK100" i="1" s="1"/>
  <c r="AX100" i="1"/>
  <c r="AW100" i="1"/>
  <c r="AJ100" i="1"/>
  <c r="AG100" i="1"/>
  <c r="AD100" i="1"/>
  <c r="V100" i="1"/>
  <c r="AY99" i="1"/>
  <c r="U99" i="1" s="1"/>
  <c r="Z99" i="1" s="1"/>
  <c r="AA99" i="1" s="1"/>
  <c r="AK99" i="1" s="1"/>
  <c r="AX99" i="1"/>
  <c r="AW99" i="1"/>
  <c r="AJ99" i="1"/>
  <c r="AG99" i="1"/>
  <c r="AD99" i="1"/>
  <c r="V99" i="1"/>
  <c r="AY98" i="1"/>
  <c r="AX98" i="1"/>
  <c r="U98" i="1" s="1"/>
  <c r="Z98" i="1" s="1"/>
  <c r="AA98" i="1" s="1"/>
  <c r="AK98" i="1" s="1"/>
  <c r="AW98" i="1"/>
  <c r="AJ98" i="1"/>
  <c r="AG98" i="1"/>
  <c r="AD98" i="1"/>
  <c r="V98" i="1"/>
  <c r="AY97" i="1"/>
  <c r="AX97" i="1"/>
  <c r="AW97" i="1"/>
  <c r="U97" i="1" s="1"/>
  <c r="Z97" i="1" s="1"/>
  <c r="AA97" i="1" s="1"/>
  <c r="AK97" i="1" s="1"/>
  <c r="AJ97" i="1"/>
  <c r="AG97" i="1"/>
  <c r="AD97" i="1"/>
  <c r="V97" i="1"/>
  <c r="AY96" i="1"/>
  <c r="AX96" i="1"/>
  <c r="AW96" i="1"/>
  <c r="AJ96" i="1"/>
  <c r="AG96" i="1"/>
  <c r="AD96" i="1"/>
  <c r="V96" i="1"/>
  <c r="AK95" i="1"/>
  <c r="AG95" i="1"/>
  <c r="AD95" i="1"/>
  <c r="R95" i="1"/>
  <c r="P95" i="1"/>
  <c r="M95" i="1"/>
  <c r="K95" i="1"/>
  <c r="H95" i="1"/>
  <c r="G95" i="1"/>
  <c r="E95" i="1"/>
  <c r="AY94" i="1"/>
  <c r="AX94" i="1"/>
  <c r="AW94" i="1"/>
  <c r="U94" i="1" s="1"/>
  <c r="Z94" i="1" s="1"/>
  <c r="AD94" i="1"/>
  <c r="V94" i="1"/>
  <c r="AY93" i="1"/>
  <c r="AX93" i="1"/>
  <c r="AW93" i="1"/>
  <c r="U93" i="1" s="1"/>
  <c r="Z93" i="1" s="1"/>
  <c r="AA93" i="1" s="1"/>
  <c r="AK93" i="1" s="1"/>
  <c r="AJ93" i="1"/>
  <c r="AG93" i="1"/>
  <c r="AD93" i="1"/>
  <c r="V93" i="1"/>
  <c r="AY92" i="1"/>
  <c r="AX92" i="1"/>
  <c r="AW92" i="1"/>
  <c r="AJ92" i="1"/>
  <c r="AG92" i="1"/>
  <c r="AD92" i="1"/>
  <c r="V92" i="1"/>
  <c r="AY91" i="1"/>
  <c r="AX91" i="1"/>
  <c r="AW91" i="1"/>
  <c r="AJ91" i="1"/>
  <c r="AG91" i="1"/>
  <c r="AD91" i="1"/>
  <c r="V91" i="1"/>
  <c r="AY90" i="1"/>
  <c r="AX90" i="1"/>
  <c r="AW90" i="1"/>
  <c r="AJ90" i="1"/>
  <c r="AG90" i="1"/>
  <c r="AD90" i="1"/>
  <c r="V90" i="1"/>
  <c r="AY89" i="1"/>
  <c r="AX89" i="1"/>
  <c r="AW89" i="1"/>
  <c r="AJ89" i="1"/>
  <c r="AG89" i="1"/>
  <c r="AD89" i="1"/>
  <c r="V89" i="1"/>
  <c r="U89" i="1"/>
  <c r="Z89" i="1" s="1"/>
  <c r="AA89" i="1" s="1"/>
  <c r="AK89" i="1" s="1"/>
  <c r="AY88" i="1"/>
  <c r="U88" i="1" s="1"/>
  <c r="Z88" i="1" s="1"/>
  <c r="AA88" i="1" s="1"/>
  <c r="AK88" i="1" s="1"/>
  <c r="AX88" i="1"/>
  <c r="AW88" i="1"/>
  <c r="AJ88" i="1"/>
  <c r="AG88" i="1"/>
  <c r="AD88" i="1"/>
  <c r="V88" i="1"/>
  <c r="AY87" i="1"/>
  <c r="AX87" i="1"/>
  <c r="AW87" i="1"/>
  <c r="AJ87" i="1"/>
  <c r="AG87" i="1"/>
  <c r="AD87" i="1"/>
  <c r="V87" i="1"/>
  <c r="AY86" i="1"/>
  <c r="AX86" i="1"/>
  <c r="AW86" i="1"/>
  <c r="AJ86" i="1"/>
  <c r="AG86" i="1"/>
  <c r="AD86" i="1"/>
  <c r="V86" i="1"/>
  <c r="AY85" i="1"/>
  <c r="AX85" i="1"/>
  <c r="AW85" i="1"/>
  <c r="U85" i="1" s="1"/>
  <c r="Z85" i="1" s="1"/>
  <c r="AA85" i="1" s="1"/>
  <c r="AK85" i="1" s="1"/>
  <c r="AJ85" i="1"/>
  <c r="AG85" i="1"/>
  <c r="AD85" i="1"/>
  <c r="V85" i="1"/>
  <c r="AY84" i="1"/>
  <c r="AX84" i="1"/>
  <c r="AW84" i="1"/>
  <c r="AJ84" i="1"/>
  <c r="AG84" i="1"/>
  <c r="AD84" i="1"/>
  <c r="V84" i="1"/>
  <c r="AY83" i="1"/>
  <c r="AX83" i="1"/>
  <c r="AW83" i="1"/>
  <c r="AJ83" i="1"/>
  <c r="AG83" i="1"/>
  <c r="AD83" i="1"/>
  <c r="V83" i="1"/>
  <c r="AY82" i="1"/>
  <c r="AX82" i="1"/>
  <c r="AW82" i="1"/>
  <c r="AJ82" i="1"/>
  <c r="AG82" i="1"/>
  <c r="AD82" i="1"/>
  <c r="V82" i="1"/>
  <c r="AY81" i="1"/>
  <c r="AX81" i="1"/>
  <c r="AW81" i="1"/>
  <c r="U81" i="1" s="1"/>
  <c r="Z81" i="1" s="1"/>
  <c r="AA81" i="1" s="1"/>
  <c r="AK81" i="1" s="1"/>
  <c r="AJ81" i="1"/>
  <c r="AG81" i="1"/>
  <c r="AD81" i="1"/>
  <c r="V81" i="1"/>
  <c r="AK80" i="1"/>
  <c r="AG80" i="1"/>
  <c r="AD80" i="1"/>
  <c r="R80" i="1"/>
  <c r="P80" i="1"/>
  <c r="M80" i="1"/>
  <c r="K80" i="1"/>
  <c r="G80" i="1"/>
  <c r="E80" i="1"/>
  <c r="AY79" i="1"/>
  <c r="AX79" i="1"/>
  <c r="AW79" i="1"/>
  <c r="AJ79" i="1"/>
  <c r="AG79" i="1"/>
  <c r="AD79" i="1"/>
  <c r="V79" i="1"/>
  <c r="U79" i="1"/>
  <c r="Z79" i="1" s="1"/>
  <c r="AA79" i="1" s="1"/>
  <c r="AK79" i="1" s="1"/>
  <c r="AY78" i="1"/>
  <c r="U78" i="1" s="1"/>
  <c r="Z78" i="1" s="1"/>
  <c r="AA78" i="1" s="1"/>
  <c r="AK78" i="1" s="1"/>
  <c r="AX78" i="1"/>
  <c r="AW78" i="1"/>
  <c r="AJ78" i="1"/>
  <c r="AG78" i="1"/>
  <c r="AD78" i="1"/>
  <c r="V78" i="1"/>
  <c r="AY77" i="1"/>
  <c r="AX77" i="1"/>
  <c r="AW77" i="1"/>
  <c r="AJ77" i="1"/>
  <c r="AG77" i="1"/>
  <c r="AD77" i="1"/>
  <c r="V77" i="1"/>
  <c r="AY76" i="1"/>
  <c r="AX76" i="1"/>
  <c r="AW76" i="1"/>
  <c r="AJ76" i="1"/>
  <c r="AG76" i="1"/>
  <c r="AD76" i="1"/>
  <c r="V76" i="1"/>
  <c r="AY75" i="1"/>
  <c r="AX75" i="1"/>
  <c r="AW75" i="1"/>
  <c r="AJ75" i="1"/>
  <c r="AG75" i="1"/>
  <c r="AD75" i="1"/>
  <c r="V75" i="1"/>
  <c r="AK74" i="1"/>
  <c r="AG74" i="1"/>
  <c r="AD74" i="1"/>
  <c r="R74" i="1"/>
  <c r="P74" i="1"/>
  <c r="M74" i="1"/>
  <c r="K74" i="1"/>
  <c r="H74" i="1"/>
  <c r="G74" i="1"/>
  <c r="E74" i="1"/>
  <c r="AY73" i="1"/>
  <c r="AX73" i="1"/>
  <c r="AW73" i="1"/>
  <c r="AJ73" i="1"/>
  <c r="AG73" i="1"/>
  <c r="AD73" i="1"/>
  <c r="V73" i="1"/>
  <c r="AY72" i="1"/>
  <c r="U72" i="1" s="1"/>
  <c r="Z72" i="1" s="1"/>
  <c r="AA72" i="1" s="1"/>
  <c r="AK72" i="1" s="1"/>
  <c r="AX72" i="1"/>
  <c r="AW72" i="1"/>
  <c r="AG72" i="1"/>
  <c r="AD72" i="1"/>
  <c r="V72" i="1"/>
  <c r="AY71" i="1"/>
  <c r="AX71" i="1"/>
  <c r="AW71" i="1"/>
  <c r="AJ71" i="1"/>
  <c r="AG71" i="1"/>
  <c r="AD71" i="1"/>
  <c r="V71" i="1"/>
  <c r="AY70" i="1"/>
  <c r="AX70" i="1"/>
  <c r="AW70" i="1"/>
  <c r="AJ70" i="1"/>
  <c r="AG70" i="1"/>
  <c r="AD70" i="1"/>
  <c r="V70" i="1"/>
  <c r="AY69" i="1"/>
  <c r="AX69" i="1"/>
  <c r="AW69" i="1"/>
  <c r="AJ69" i="1"/>
  <c r="AG69" i="1"/>
  <c r="AD69" i="1"/>
  <c r="V69" i="1"/>
  <c r="AY68" i="1"/>
  <c r="AX68" i="1"/>
  <c r="AW68" i="1"/>
  <c r="AJ68" i="1"/>
  <c r="AG68" i="1"/>
  <c r="AD68" i="1"/>
  <c r="V68" i="1"/>
  <c r="AG67" i="1"/>
  <c r="AK67" i="1" s="1"/>
  <c r="AD67" i="1"/>
  <c r="R67" i="1"/>
  <c r="P67" i="1"/>
  <c r="M67" i="1"/>
  <c r="K67" i="1"/>
  <c r="H67" i="1"/>
  <c r="G67" i="1"/>
  <c r="E67" i="1"/>
  <c r="AY66" i="1"/>
  <c r="U66" i="1" s="1"/>
  <c r="Z66" i="1" s="1"/>
  <c r="AA66" i="1" s="1"/>
  <c r="AK66" i="1" s="1"/>
  <c r="AX66" i="1"/>
  <c r="AW66" i="1"/>
  <c r="AJ66" i="1"/>
  <c r="AG66" i="1"/>
  <c r="AD66" i="1"/>
  <c r="V66" i="1"/>
  <c r="AY65" i="1"/>
  <c r="U65" i="1" s="1"/>
  <c r="Z65" i="1" s="1"/>
  <c r="AX65" i="1"/>
  <c r="AW65" i="1"/>
  <c r="AG65" i="1"/>
  <c r="AD65" i="1"/>
  <c r="V65" i="1"/>
  <c r="AY64" i="1"/>
  <c r="AX64" i="1"/>
  <c r="AW64" i="1"/>
  <c r="AG64" i="1"/>
  <c r="AD64" i="1"/>
  <c r="V64" i="1"/>
  <c r="AY63" i="1"/>
  <c r="AX63" i="1"/>
  <c r="AW63" i="1"/>
  <c r="AJ63" i="1"/>
  <c r="AG63" i="1"/>
  <c r="AD63" i="1"/>
  <c r="V63" i="1"/>
  <c r="AY62" i="1"/>
  <c r="AX62" i="1"/>
  <c r="AW62" i="1"/>
  <c r="AJ62" i="1"/>
  <c r="AG62" i="1"/>
  <c r="AD62" i="1"/>
  <c r="V62" i="1"/>
  <c r="AY61" i="1"/>
  <c r="U61" i="1" s="1"/>
  <c r="Z61" i="1" s="1"/>
  <c r="AA61" i="1" s="1"/>
  <c r="AK61" i="1" s="1"/>
  <c r="AX61" i="1"/>
  <c r="AW61" i="1"/>
  <c r="AJ61" i="1"/>
  <c r="AG61" i="1"/>
  <c r="AD61" i="1"/>
  <c r="V61" i="1"/>
  <c r="AY60" i="1"/>
  <c r="AX60" i="1"/>
  <c r="AW60" i="1"/>
  <c r="AJ60" i="1"/>
  <c r="AG60" i="1"/>
  <c r="AD60" i="1"/>
  <c r="V60" i="1"/>
  <c r="AY59" i="1"/>
  <c r="AX59" i="1"/>
  <c r="AW59" i="1"/>
  <c r="AJ59" i="1"/>
  <c r="AG59" i="1"/>
  <c r="AD59" i="1"/>
  <c r="V59" i="1"/>
  <c r="AY58" i="1"/>
  <c r="AX58" i="1"/>
  <c r="AW58" i="1"/>
  <c r="AJ58" i="1"/>
  <c r="AG58" i="1"/>
  <c r="AD58" i="1"/>
  <c r="V58" i="1"/>
  <c r="AY57" i="1"/>
  <c r="U57" i="1" s="1"/>
  <c r="Z57" i="1" s="1"/>
  <c r="AA57" i="1" s="1"/>
  <c r="AK57" i="1" s="1"/>
  <c r="AX57" i="1"/>
  <c r="AW57" i="1"/>
  <c r="AJ57" i="1"/>
  <c r="AG57" i="1"/>
  <c r="AD57" i="1"/>
  <c r="V57" i="1"/>
  <c r="AY56" i="1"/>
  <c r="AX56" i="1"/>
  <c r="AW56" i="1"/>
  <c r="AJ56" i="1"/>
  <c r="AG56" i="1"/>
  <c r="AD56" i="1"/>
  <c r="V56" i="1"/>
  <c r="AY55" i="1"/>
  <c r="AX55" i="1"/>
  <c r="AW55" i="1"/>
  <c r="AJ55" i="1"/>
  <c r="AG55" i="1"/>
  <c r="AD55" i="1"/>
  <c r="V55" i="1"/>
  <c r="AY54" i="1"/>
  <c r="AX54" i="1"/>
  <c r="AW54" i="1"/>
  <c r="AJ54" i="1"/>
  <c r="AG54" i="1"/>
  <c r="AD54" i="1"/>
  <c r="V54" i="1"/>
  <c r="AY53" i="1"/>
  <c r="U53" i="1" s="1"/>
  <c r="Z53" i="1" s="1"/>
  <c r="AA53" i="1" s="1"/>
  <c r="AK53" i="1" s="1"/>
  <c r="AX53" i="1"/>
  <c r="AW53" i="1"/>
  <c r="AJ53" i="1"/>
  <c r="AG53" i="1"/>
  <c r="AD53" i="1"/>
  <c r="V53" i="1"/>
  <c r="AY52" i="1"/>
  <c r="AX52" i="1"/>
  <c r="AW52" i="1"/>
  <c r="AJ52" i="1"/>
  <c r="AG52" i="1"/>
  <c r="AD52" i="1"/>
  <c r="V52" i="1"/>
  <c r="AG51" i="1"/>
  <c r="AD51" i="1"/>
  <c r="AK51" i="1" s="1"/>
  <c r="R51" i="1"/>
  <c r="P51" i="1"/>
  <c r="M51" i="1"/>
  <c r="K51" i="1"/>
  <c r="G51" i="1"/>
  <c r="E51" i="1"/>
  <c r="AY50" i="1"/>
  <c r="AX50" i="1"/>
  <c r="AW50" i="1"/>
  <c r="AJ50" i="1"/>
  <c r="AG50" i="1"/>
  <c r="AD50" i="1"/>
  <c r="V50" i="1"/>
  <c r="AY49" i="1"/>
  <c r="U49" i="1" s="1"/>
  <c r="Z49" i="1" s="1"/>
  <c r="AA49" i="1" s="1"/>
  <c r="AK49" i="1" s="1"/>
  <c r="AX49" i="1"/>
  <c r="AW49" i="1"/>
  <c r="AJ49" i="1"/>
  <c r="AG49" i="1"/>
  <c r="AD49" i="1"/>
  <c r="V49" i="1"/>
  <c r="AY48" i="1"/>
  <c r="AX48" i="1"/>
  <c r="AW48" i="1"/>
  <c r="AJ48" i="1"/>
  <c r="AG48" i="1"/>
  <c r="AD48" i="1"/>
  <c r="V48" i="1"/>
  <c r="AY47" i="1"/>
  <c r="U47" i="1" s="1"/>
  <c r="Z47" i="1" s="1"/>
  <c r="AA47" i="1" s="1"/>
  <c r="AK47" i="1" s="1"/>
  <c r="AX47" i="1"/>
  <c r="AW47" i="1"/>
  <c r="AJ47" i="1"/>
  <c r="AG47" i="1"/>
  <c r="AD47" i="1"/>
  <c r="V47" i="1"/>
  <c r="AY46" i="1"/>
  <c r="AX46" i="1"/>
  <c r="AW46" i="1"/>
  <c r="AJ46" i="1"/>
  <c r="AG46" i="1"/>
  <c r="AD46" i="1"/>
  <c r="V46" i="1"/>
  <c r="AK45" i="1"/>
  <c r="AG45" i="1"/>
  <c r="AD45" i="1"/>
  <c r="Z45" i="1"/>
  <c r="R45" i="1"/>
  <c r="P45" i="1"/>
  <c r="M45" i="1"/>
  <c r="K45" i="1"/>
  <c r="H45" i="1"/>
  <c r="G45" i="1"/>
  <c r="E45" i="1"/>
  <c r="AY44" i="1"/>
  <c r="AX44" i="1"/>
  <c r="AW44" i="1"/>
  <c r="AJ44" i="1"/>
  <c r="AG44" i="1"/>
  <c r="AD44" i="1"/>
  <c r="V44" i="1"/>
  <c r="AY43" i="1"/>
  <c r="U43" i="1" s="1"/>
  <c r="Z43" i="1" s="1"/>
  <c r="AA43" i="1" s="1"/>
  <c r="AK43" i="1" s="1"/>
  <c r="AX43" i="1"/>
  <c r="AW43" i="1"/>
  <c r="AJ43" i="1"/>
  <c r="AG43" i="1"/>
  <c r="AD43" i="1"/>
  <c r="V43" i="1"/>
  <c r="AY42" i="1"/>
  <c r="AX42" i="1"/>
  <c r="AW42" i="1"/>
  <c r="AJ42" i="1"/>
  <c r="AG42" i="1"/>
  <c r="AD42" i="1"/>
  <c r="V42" i="1"/>
  <c r="AY41" i="1"/>
  <c r="AX41" i="1"/>
  <c r="AW41" i="1"/>
  <c r="U41" i="1" s="1"/>
  <c r="Z41" i="1" s="1"/>
  <c r="AA41" i="1" s="1"/>
  <c r="AK41" i="1" s="1"/>
  <c r="AJ41" i="1"/>
  <c r="AG41" i="1"/>
  <c r="AD41" i="1"/>
  <c r="V41" i="1"/>
  <c r="AY40" i="1"/>
  <c r="AX40" i="1"/>
  <c r="AW40" i="1"/>
  <c r="AJ40" i="1"/>
  <c r="AG40" i="1"/>
  <c r="AD40" i="1"/>
  <c r="V40" i="1"/>
  <c r="AY39" i="1"/>
  <c r="AX39" i="1"/>
  <c r="AW39" i="1"/>
  <c r="AJ39" i="1"/>
  <c r="AG39" i="1"/>
  <c r="AD39" i="1"/>
  <c r="V39" i="1"/>
  <c r="AY38" i="1"/>
  <c r="AX38" i="1"/>
  <c r="AW38" i="1"/>
  <c r="AJ38" i="1"/>
  <c r="AG38" i="1"/>
  <c r="AD38" i="1"/>
  <c r="V38" i="1"/>
  <c r="AG37" i="1"/>
  <c r="AD37" i="1"/>
  <c r="AK37" i="1" s="1"/>
  <c r="R37" i="1"/>
  <c r="P37" i="1"/>
  <c r="M37" i="1"/>
  <c r="K37" i="1"/>
  <c r="P19" i="11" s="1"/>
  <c r="G37" i="1"/>
  <c r="E37" i="1"/>
  <c r="P20" i="10" s="1"/>
  <c r="AY36" i="1"/>
  <c r="AX36" i="1"/>
  <c r="U36" i="1" s="1"/>
  <c r="Z36" i="1" s="1"/>
  <c r="AA36" i="1" s="1"/>
  <c r="AK36" i="1" s="1"/>
  <c r="AW36" i="1"/>
  <c r="AJ36" i="1"/>
  <c r="AG36" i="1"/>
  <c r="AD36" i="1"/>
  <c r="V36" i="1"/>
  <c r="AY35" i="1"/>
  <c r="AX35" i="1"/>
  <c r="AW35" i="1"/>
  <c r="AJ35" i="1"/>
  <c r="AG35" i="1"/>
  <c r="AD35" i="1"/>
  <c r="V35" i="1"/>
  <c r="AY34" i="1"/>
  <c r="AX34" i="1"/>
  <c r="AW34" i="1"/>
  <c r="AJ34" i="1"/>
  <c r="AG34" i="1"/>
  <c r="AD34" i="1"/>
  <c r="V34" i="1"/>
  <c r="AY33" i="1"/>
  <c r="AX33" i="1"/>
  <c r="AW33" i="1"/>
  <c r="AJ33" i="1"/>
  <c r="AG33" i="1"/>
  <c r="AD33" i="1"/>
  <c r="V33" i="1"/>
  <c r="AY32" i="1"/>
  <c r="AX32" i="1"/>
  <c r="AW32" i="1"/>
  <c r="AJ32" i="1"/>
  <c r="AG32" i="1"/>
  <c r="AD32" i="1"/>
  <c r="V32" i="1"/>
  <c r="AY31" i="1"/>
  <c r="AX31" i="1"/>
  <c r="AW31" i="1"/>
  <c r="AJ31" i="1"/>
  <c r="AG31" i="1"/>
  <c r="AD31" i="1"/>
  <c r="V31" i="1"/>
  <c r="AG30" i="1"/>
  <c r="AD30" i="1"/>
  <c r="AK30" i="1" s="1"/>
  <c r="R30" i="1"/>
  <c r="P30" i="1"/>
  <c r="M30" i="1"/>
  <c r="K30" i="1"/>
  <c r="G30" i="1"/>
  <c r="E30" i="1"/>
  <c r="AY29" i="1"/>
  <c r="AX29" i="1"/>
  <c r="AW29" i="1"/>
  <c r="AJ29" i="1"/>
  <c r="AG29" i="1"/>
  <c r="AD29" i="1"/>
  <c r="V29" i="1"/>
  <c r="AY28" i="1"/>
  <c r="AX28" i="1"/>
  <c r="AW28" i="1"/>
  <c r="U28" i="1" s="1"/>
  <c r="Z28" i="1" s="1"/>
  <c r="AA28" i="1" s="1"/>
  <c r="AK28" i="1" s="1"/>
  <c r="AJ28" i="1"/>
  <c r="AG28" i="1"/>
  <c r="AD28" i="1"/>
  <c r="V28" i="1"/>
  <c r="AY27" i="1"/>
  <c r="AX27" i="1"/>
  <c r="AW27" i="1"/>
  <c r="AJ27" i="1"/>
  <c r="AG27" i="1"/>
  <c r="AD27" i="1"/>
  <c r="V27" i="1"/>
  <c r="AK26" i="1"/>
  <c r="AG26" i="1"/>
  <c r="AD26" i="1"/>
  <c r="R26" i="1"/>
  <c r="P26" i="1"/>
  <c r="M26" i="1"/>
  <c r="K26" i="1"/>
  <c r="H26" i="1"/>
  <c r="G26" i="1"/>
  <c r="E26" i="1"/>
  <c r="AY25" i="1"/>
  <c r="U25" i="1" s="1"/>
  <c r="Z25" i="1" s="1"/>
  <c r="AA25" i="1" s="1"/>
  <c r="AK25" i="1" s="1"/>
  <c r="AX25" i="1"/>
  <c r="AW25" i="1"/>
  <c r="AJ25" i="1"/>
  <c r="AG25" i="1"/>
  <c r="AD25" i="1"/>
  <c r="V25" i="1"/>
  <c r="AY24" i="1"/>
  <c r="AX24" i="1"/>
  <c r="AW24" i="1"/>
  <c r="AJ24" i="1"/>
  <c r="AG24" i="1"/>
  <c r="AD24" i="1"/>
  <c r="V24" i="1"/>
  <c r="AY23" i="1"/>
  <c r="AX23" i="1"/>
  <c r="AW23" i="1"/>
  <c r="AJ23" i="1"/>
  <c r="AG23" i="1"/>
  <c r="AD23" i="1"/>
  <c r="V23" i="1"/>
  <c r="AY22" i="1"/>
  <c r="AX22" i="1"/>
  <c r="AW22" i="1"/>
  <c r="AJ22" i="1"/>
  <c r="AG22" i="1"/>
  <c r="AD22" i="1"/>
  <c r="V22" i="1"/>
  <c r="AG21" i="1"/>
  <c r="AD21" i="1"/>
  <c r="AK21" i="1" s="1"/>
  <c r="R21" i="1"/>
  <c r="P21" i="1"/>
  <c r="M21" i="1"/>
  <c r="K21" i="1"/>
  <c r="H21" i="1"/>
  <c r="G21" i="1"/>
  <c r="E21" i="1"/>
  <c r="AY20" i="1"/>
  <c r="AX20" i="1"/>
  <c r="AW20" i="1"/>
  <c r="AJ20" i="1"/>
  <c r="AG20" i="1"/>
  <c r="AD20" i="1"/>
  <c r="V20" i="1"/>
  <c r="AY19" i="1"/>
  <c r="AX19" i="1"/>
  <c r="AW19" i="1"/>
  <c r="AJ19" i="1"/>
  <c r="AG19" i="1"/>
  <c r="AD19" i="1"/>
  <c r="V19" i="1"/>
  <c r="AY18" i="1"/>
  <c r="AX18" i="1"/>
  <c r="AW18" i="1"/>
  <c r="U18" i="1" s="1"/>
  <c r="Z18" i="1" s="1"/>
  <c r="AA18" i="1" s="1"/>
  <c r="AK18" i="1" s="1"/>
  <c r="AJ18" i="1"/>
  <c r="AG18" i="1"/>
  <c r="AD18" i="1"/>
  <c r="V18" i="1"/>
  <c r="AY17" i="1"/>
  <c r="AX17" i="1"/>
  <c r="AW17" i="1"/>
  <c r="AJ17" i="1"/>
  <c r="AG17" i="1"/>
  <c r="AD17" i="1"/>
  <c r="V17" i="1"/>
  <c r="AK16" i="1"/>
  <c r="AG16" i="1"/>
  <c r="AD16" i="1"/>
  <c r="R16" i="1"/>
  <c r="P16" i="1"/>
  <c r="M16" i="1"/>
  <c r="K16" i="1"/>
  <c r="H16" i="1"/>
  <c r="G16" i="1"/>
  <c r="E16" i="1"/>
  <c r="AY15" i="1"/>
  <c r="U15" i="1" s="1"/>
  <c r="Z15" i="1" s="1"/>
  <c r="AA15" i="1" s="1"/>
  <c r="AK15" i="1" s="1"/>
  <c r="AX15" i="1"/>
  <c r="AW15" i="1"/>
  <c r="AJ15" i="1"/>
  <c r="AG15" i="1"/>
  <c r="AD15" i="1"/>
  <c r="V15" i="1"/>
  <c r="AY14" i="1"/>
  <c r="AX14" i="1"/>
  <c r="AW14" i="1"/>
  <c r="AJ14" i="1"/>
  <c r="AG14" i="1"/>
  <c r="AD14" i="1"/>
  <c r="V14" i="1"/>
  <c r="AY13" i="1"/>
  <c r="AX13" i="1"/>
  <c r="AW13" i="1"/>
  <c r="AJ13" i="1"/>
  <c r="AG13" i="1"/>
  <c r="AD13" i="1"/>
  <c r="V13" i="1"/>
  <c r="AY12" i="1"/>
  <c r="AX12" i="1"/>
  <c r="AW12" i="1"/>
  <c r="AJ12" i="1"/>
  <c r="AG12" i="1"/>
  <c r="AD12" i="1"/>
  <c r="V12" i="1"/>
  <c r="AY11" i="1"/>
  <c r="AX11" i="1"/>
  <c r="AW11" i="1"/>
  <c r="AJ11" i="1"/>
  <c r="AG11" i="1"/>
  <c r="AD11" i="1"/>
  <c r="V11" i="1"/>
  <c r="AY10" i="1"/>
  <c r="AX10" i="1"/>
  <c r="AW10" i="1"/>
  <c r="AJ10" i="1"/>
  <c r="AG10" i="1"/>
  <c r="AD10" i="1"/>
  <c r="V10" i="1"/>
  <c r="AY9" i="1"/>
  <c r="AX9" i="1"/>
  <c r="AW9" i="1"/>
  <c r="AJ9" i="1"/>
  <c r="AG9" i="1"/>
  <c r="AD9" i="1"/>
  <c r="V9" i="1"/>
  <c r="AY8" i="1"/>
  <c r="AX8" i="1"/>
  <c r="AW8" i="1"/>
  <c r="AJ8" i="1"/>
  <c r="AG8" i="1"/>
  <c r="AD8" i="1"/>
  <c r="V8" i="1"/>
  <c r="AY7" i="1"/>
  <c r="U7" i="1" s="1"/>
  <c r="Z7" i="1" s="1"/>
  <c r="AA7" i="1" s="1"/>
  <c r="AK7" i="1" s="1"/>
  <c r="AX7" i="1"/>
  <c r="AW7" i="1"/>
  <c r="AJ7" i="1"/>
  <c r="AG7" i="1"/>
  <c r="AD7" i="1"/>
  <c r="V7" i="1"/>
  <c r="AY6" i="1"/>
  <c r="AX6" i="1"/>
  <c r="AW6" i="1"/>
  <c r="AJ6" i="1"/>
  <c r="AG6" i="1"/>
  <c r="AD6" i="1"/>
  <c r="V6" i="1"/>
  <c r="U55" i="1" l="1"/>
  <c r="Z55" i="1" s="1"/>
  <c r="AA55" i="1" s="1"/>
  <c r="AK55" i="1" s="1"/>
  <c r="U59" i="1"/>
  <c r="Z59" i="1" s="1"/>
  <c r="AA59" i="1" s="1"/>
  <c r="AK59" i="1" s="1"/>
  <c r="U63" i="1"/>
  <c r="Z63" i="1" s="1"/>
  <c r="AA63" i="1" s="1"/>
  <c r="AK63" i="1" s="1"/>
  <c r="U69" i="1"/>
  <c r="Z69" i="1" s="1"/>
  <c r="AA69" i="1" s="1"/>
  <c r="AK69" i="1" s="1"/>
  <c r="U73" i="1"/>
  <c r="Z73" i="1" s="1"/>
  <c r="AA73" i="1" s="1"/>
  <c r="AK73" i="1" s="1"/>
  <c r="U76" i="1"/>
  <c r="Z76" i="1" s="1"/>
  <c r="AA76" i="1" s="1"/>
  <c r="AK76" i="1" s="1"/>
  <c r="U31" i="1"/>
  <c r="Z31" i="1" s="1"/>
  <c r="AA31" i="1" s="1"/>
  <c r="AK31" i="1" s="1"/>
  <c r="U35" i="1"/>
  <c r="Z35" i="1" s="1"/>
  <c r="AA35" i="1" s="1"/>
  <c r="AK35" i="1" s="1"/>
  <c r="U40" i="1"/>
  <c r="Z40" i="1" s="1"/>
  <c r="AA40" i="1" s="1"/>
  <c r="AK40" i="1" s="1"/>
  <c r="U11" i="1"/>
  <c r="Z11" i="1" s="1"/>
  <c r="AA11" i="1" s="1"/>
  <c r="AK11" i="1" s="1"/>
  <c r="U29" i="1"/>
  <c r="Z29" i="1" s="1"/>
  <c r="AA29" i="1" s="1"/>
  <c r="AK29" i="1" s="1"/>
  <c r="U34" i="1"/>
  <c r="Z34" i="1" s="1"/>
  <c r="AA34" i="1" s="1"/>
  <c r="AK34" i="1" s="1"/>
  <c r="U48" i="1"/>
  <c r="Z48" i="1" s="1"/>
  <c r="AA48" i="1" s="1"/>
  <c r="AK48" i="1" s="1"/>
  <c r="U54" i="1"/>
  <c r="Z54" i="1" s="1"/>
  <c r="AA54" i="1" s="1"/>
  <c r="AK54" i="1" s="1"/>
  <c r="U58" i="1"/>
  <c r="Z58" i="1" s="1"/>
  <c r="AA58" i="1" s="1"/>
  <c r="AK58" i="1" s="1"/>
  <c r="U62" i="1"/>
  <c r="Z62" i="1" s="1"/>
  <c r="AA62" i="1" s="1"/>
  <c r="AK62" i="1" s="1"/>
  <c r="U68" i="1"/>
  <c r="Z68" i="1" s="1"/>
  <c r="AA68" i="1" s="1"/>
  <c r="AK68" i="1" s="1"/>
  <c r="U75" i="1"/>
  <c r="Z75" i="1" s="1"/>
  <c r="AA75" i="1" s="1"/>
  <c r="AK75" i="1" s="1"/>
  <c r="U82" i="1"/>
  <c r="Z82" i="1" s="1"/>
  <c r="AA82" i="1" s="1"/>
  <c r="AK82" i="1" s="1"/>
  <c r="U96" i="1"/>
  <c r="Z96" i="1" s="1"/>
  <c r="AA96" i="1" s="1"/>
  <c r="AK96" i="1" s="1"/>
  <c r="U86" i="1"/>
  <c r="Z86" i="1" s="1"/>
  <c r="AA86" i="1" s="1"/>
  <c r="AK86" i="1" s="1"/>
  <c r="U9" i="1"/>
  <c r="Z9" i="1" s="1"/>
  <c r="AA9" i="1" s="1"/>
  <c r="AK9" i="1" s="1"/>
  <c r="U14" i="1"/>
  <c r="Z14" i="1" s="1"/>
  <c r="AA14" i="1" s="1"/>
  <c r="AK14" i="1" s="1"/>
  <c r="U24" i="1"/>
  <c r="Z24" i="1" s="1"/>
  <c r="AA24" i="1" s="1"/>
  <c r="AK24" i="1" s="1"/>
  <c r="U46" i="1"/>
  <c r="Z46" i="1" s="1"/>
  <c r="AA46" i="1" s="1"/>
  <c r="AK46" i="1" s="1"/>
  <c r="U52" i="1"/>
  <c r="Z52" i="1" s="1"/>
  <c r="AA52" i="1" s="1"/>
  <c r="AK52" i="1" s="1"/>
  <c r="U56" i="1"/>
  <c r="Z56" i="1" s="1"/>
  <c r="AA56" i="1" s="1"/>
  <c r="AK56" i="1" s="1"/>
  <c r="U60" i="1"/>
  <c r="Z60" i="1" s="1"/>
  <c r="AA60" i="1" s="1"/>
  <c r="AK60" i="1" s="1"/>
  <c r="U71" i="1"/>
  <c r="Z71" i="1" s="1"/>
  <c r="AA71" i="1" s="1"/>
  <c r="AK71" i="1" s="1"/>
  <c r="U8" i="1"/>
  <c r="Z8" i="1" s="1"/>
  <c r="AA8" i="1" s="1"/>
  <c r="AK8" i="1" s="1"/>
  <c r="U13" i="1"/>
  <c r="Z13" i="1" s="1"/>
  <c r="AA13" i="1" s="1"/>
  <c r="AK13" i="1" s="1"/>
  <c r="U23" i="1"/>
  <c r="Z23" i="1" s="1"/>
  <c r="AA23" i="1" s="1"/>
  <c r="AK23" i="1" s="1"/>
  <c r="U6" i="1"/>
  <c r="Z6" i="1" s="1"/>
  <c r="AA6" i="1" s="1"/>
  <c r="AK6" i="1" s="1"/>
  <c r="U12" i="1"/>
  <c r="Z12" i="1" s="1"/>
  <c r="AA12" i="1" s="1"/>
  <c r="AK12" i="1" s="1"/>
  <c r="U17" i="1"/>
  <c r="Z17" i="1" s="1"/>
  <c r="AA17" i="1" s="1"/>
  <c r="AK17" i="1" s="1"/>
  <c r="U20" i="1"/>
  <c r="Z20" i="1" s="1"/>
  <c r="AA20" i="1" s="1"/>
  <c r="AK20" i="1" s="1"/>
  <c r="U22" i="1"/>
  <c r="Z22" i="1" s="1"/>
  <c r="AA22" i="1" s="1"/>
  <c r="AK22" i="1" s="1"/>
  <c r="U27" i="1"/>
  <c r="Z27" i="1" s="1"/>
  <c r="AA27" i="1" s="1"/>
  <c r="AK27" i="1" s="1"/>
  <c r="U50" i="1"/>
  <c r="Z50" i="1" s="1"/>
  <c r="AA50" i="1" s="1"/>
  <c r="AK50" i="1" s="1"/>
  <c r="U70" i="1"/>
  <c r="Z70" i="1" s="1"/>
  <c r="AA70" i="1" s="1"/>
  <c r="AK70" i="1" s="1"/>
  <c r="U77" i="1"/>
  <c r="Z77" i="1" s="1"/>
  <c r="AA77" i="1" s="1"/>
  <c r="AK77" i="1" s="1"/>
  <c r="U91" i="1"/>
  <c r="Z91" i="1" s="1"/>
  <c r="AA91" i="1" s="1"/>
  <c r="AK91" i="1" s="1"/>
  <c r="U92" i="1"/>
  <c r="Z92" i="1" s="1"/>
  <c r="AA92" i="1" s="1"/>
  <c r="AK92" i="1" s="1"/>
  <c r="U102" i="1"/>
  <c r="Z102" i="1" s="1"/>
  <c r="AA102" i="1" s="1"/>
  <c r="AK102" i="1" s="1"/>
  <c r="U103" i="1"/>
  <c r="Z103" i="1" s="1"/>
  <c r="AA103" i="1" s="1"/>
  <c r="AK103" i="1" s="1"/>
  <c r="U10" i="1"/>
  <c r="Z10" i="1" s="1"/>
  <c r="AA10" i="1" s="1"/>
  <c r="AK10" i="1" s="1"/>
  <c r="U19" i="1"/>
  <c r="Z19" i="1" s="1"/>
  <c r="AA19" i="1" s="1"/>
  <c r="AK19" i="1" s="1"/>
  <c r="U32" i="1"/>
  <c r="Z32" i="1" s="1"/>
  <c r="AA32" i="1" s="1"/>
  <c r="AK32" i="1" s="1"/>
  <c r="U33" i="1"/>
  <c r="Z33" i="1" s="1"/>
  <c r="AA33" i="1" s="1"/>
  <c r="AK33" i="1" s="1"/>
  <c r="U39" i="1"/>
  <c r="Z39" i="1" s="1"/>
  <c r="AA39" i="1" s="1"/>
  <c r="AK39" i="1" s="1"/>
  <c r="U44" i="1"/>
  <c r="Z44" i="1" s="1"/>
  <c r="AA44" i="1" s="1"/>
  <c r="AK44" i="1" s="1"/>
  <c r="U84" i="1"/>
  <c r="Z84" i="1" s="1"/>
  <c r="AA84" i="1" s="1"/>
  <c r="AK84" i="1" s="1"/>
  <c r="U90" i="1"/>
  <c r="Z90" i="1" s="1"/>
  <c r="AA90" i="1" s="1"/>
  <c r="AK90" i="1" s="1"/>
  <c r="U106" i="1"/>
  <c r="Z106" i="1" s="1"/>
  <c r="AA106" i="1" s="1"/>
  <c r="AK106" i="1" s="1"/>
  <c r="AW112" i="1"/>
  <c r="U83" i="1"/>
  <c r="Z83" i="1" s="1"/>
  <c r="AA83" i="1" s="1"/>
  <c r="AK83" i="1" s="1"/>
  <c r="U87" i="1"/>
  <c r="Z87" i="1" s="1"/>
  <c r="AA87" i="1" s="1"/>
  <c r="AK87" i="1" s="1"/>
  <c r="U64" i="1"/>
  <c r="Z64" i="1" s="1"/>
  <c r="AA64" i="1" s="1"/>
  <c r="AK64" i="1" s="1"/>
  <c r="AX112" i="1"/>
  <c r="AY112" i="1"/>
  <c r="U38" i="1"/>
  <c r="Z38" i="1" s="1"/>
  <c r="AA38" i="1" s="1"/>
  <c r="AK38" i="1" s="1"/>
  <c r="U42" i="1"/>
  <c r="Z42" i="1" s="1"/>
  <c r="AA42" i="1" s="1"/>
  <c r="AK42" i="1" s="1"/>
  <c r="M9" i="5"/>
  <c r="E9" i="5"/>
</calcChain>
</file>

<file path=xl/sharedStrings.xml><?xml version="1.0" encoding="utf-8"?>
<sst xmlns="http://schemas.openxmlformats.org/spreadsheetml/2006/main" count="3437" uniqueCount="1153">
  <si>
    <t>TỔNG HỢP ĐỀ XUẤT PHÂN CÔNG NHIỆM VỤ</t>
  </si>
  <si>
    <t>NĂM HỌC: 2026 - 2027</t>
  </si>
  <si>
    <t>TỔ</t>
  </si>
  <si>
    <t>STT</t>
  </si>
  <si>
    <t>GIÁO VIÊN</t>
  </si>
  <si>
    <t>CN</t>
  </si>
  <si>
    <t>KHỐI 12</t>
  </si>
  <si>
    <t>KHỐI 11</t>
  </si>
  <si>
    <t>KHỐI 10</t>
  </si>
  <si>
    <t>SỐ TIẾT 
DẠY</t>
  </si>
  <si>
    <t>SỐ TIẾT CHỦ NHIỆM</t>
  </si>
  <si>
    <t>CHỨC VỤ</t>
  </si>
  <si>
    <t>SỐ TIẾT CHÍNH QUYỀN - ĐOÀN THỂ</t>
  </si>
  <si>
    <t>TỔNG 
SỐ TIẾT / TUẦN</t>
  </si>
  <si>
    <t>SỐ TIẾT PHỤ TRỘI THEO / TUẦN</t>
  </si>
  <si>
    <t>DẠY HSG, MTCT, OLYMPIC, NCKH</t>
  </si>
  <si>
    <t>PHỤ ĐẠO</t>
  </si>
  <si>
    <t>QUY ĐỔI CHUYÊN MÔN KHÁC</t>
  </si>
  <si>
    <t>TỔNG SỐ TIẾT PHỤ TRỘI</t>
  </si>
  <si>
    <t>HSG
OLYMPIC
NCKH
MTCT</t>
  </si>
  <si>
    <t>THAO GIẢNG
GVG
GVCNG</t>
  </si>
  <si>
    <t>RA ĐỀ KIỂM TRA  HỌC KỲ 1</t>
  </si>
  <si>
    <t>RA ĐỀ KIỂM TRA  HỌC KỲ 2</t>
  </si>
  <si>
    <t>LẬP KHGD</t>
  </si>
  <si>
    <t>XÂY DỰNG KẾ HOẠCH
NGOẠI KHÓA</t>
  </si>
  <si>
    <t>PHỤ TRÁCH
HOẠT ĐỘNG CLB</t>
  </si>
  <si>
    <t>THỰC HIỆN HỌC LIỆU SỐ</t>
  </si>
  <si>
    <t>THỰC HIỆN NHIỆM VỤ KHÁC</t>
  </si>
  <si>
    <t>GHI CHÚ</t>
  </si>
  <si>
    <t>TIẾT TNHN THỰC TẾ</t>
  </si>
  <si>
    <t>SL</t>
  </si>
  <si>
    <t>CĐ</t>
  </si>
  <si>
    <t>ÔN TN</t>
  </si>
  <si>
    <t>TNHN</t>
  </si>
  <si>
    <t>GDĐP</t>
  </si>
  <si>
    <t>CHÍNH QUYỀN</t>
  </si>
  <si>
    <t>ĐOÀN THỂ</t>
  </si>
  <si>
    <t>SỐ TIẾT/TUẦN</t>
  </si>
  <si>
    <t>SỐ TUẦN</t>
  </si>
  <si>
    <t>TỔNG SỐ</t>
  </si>
  <si>
    <t>K12</t>
  </si>
  <si>
    <t>K11</t>
  </si>
  <si>
    <t>K10</t>
  </si>
  <si>
    <t>TIẾNG ANH</t>
  </si>
  <si>
    <t>NGUYỄN VĂN HÙNG</t>
  </si>
  <si>
    <t>TTCM</t>
  </si>
  <si>
    <t>X</t>
  </si>
  <si>
    <t>NGUYỄN MINH THANH TÙNG</t>
  </si>
  <si>
    <t>Olympic 11</t>
  </si>
  <si>
    <t>ĐOÀN VĂN CHẤT</t>
  </si>
  <si>
    <t>NGUYỄN XUÂN THU</t>
  </si>
  <si>
    <t>TPCM</t>
  </si>
  <si>
    <t>Khối 10</t>
  </si>
  <si>
    <t>PHẠM THỊ PHƯƠNG ĐIỀN</t>
  </si>
  <si>
    <t>TTCĐ</t>
  </si>
  <si>
    <t>Khôi 12</t>
  </si>
  <si>
    <t>MAI LAN ANH</t>
  </si>
  <si>
    <t>Khối 11</t>
  </si>
  <si>
    <t>VĂN HUỲNH BẢO PHƯƠNG</t>
  </si>
  <si>
    <t>Nghỉ thai sản từ 01/4 - 01/10/2025</t>
  </si>
  <si>
    <t>TRẦN THỊ MỸ THANH</t>
  </si>
  <si>
    <t>LÊ THỊ TƯỜNG VY</t>
  </si>
  <si>
    <t>NGUYỄN THỊ THUỲ DƯƠNG</t>
  </si>
  <si>
    <t>UV BCH</t>
  </si>
  <si>
    <t>HSG 12</t>
  </si>
  <si>
    <t>Số lớp</t>
  </si>
  <si>
    <t>ĐỊA LÍ</t>
  </si>
  <si>
    <t>ĐÀO THỊ THÀNH</t>
  </si>
  <si>
    <t>PHẠM THỊ THU HƯỜNG</t>
  </si>
  <si>
    <t>HUỲNH THỊ BÍCH HUYỀN</t>
  </si>
  <si>
    <t>Khối 12</t>
  </si>
  <si>
    <t>BÙI THỊ THỦY TIÊN</t>
  </si>
  <si>
    <t>GD KT&amp;PL</t>
  </si>
  <si>
    <t>MAI THỊ BÍCH PHƯƠNG</t>
  </si>
  <si>
    <t>x</t>
  </si>
  <si>
    <t>Ôn thi TN</t>
  </si>
  <si>
    <t>TRẦN THỊ XUÂN ĐÀO</t>
  </si>
  <si>
    <t>LÊ THỊ TUYẾT THU</t>
  </si>
  <si>
    <t>TRẦN THỊ HẰNG</t>
  </si>
  <si>
    <t>GD QP&amp;AN</t>
  </si>
  <si>
    <t>HOÀNG THỊ TỨ</t>
  </si>
  <si>
    <t>PCT CĐ</t>
  </si>
  <si>
    <t>Hội thi 11</t>
  </si>
  <si>
    <t>Thao Giảng</t>
  </si>
  <si>
    <t>LĐTT</t>
  </si>
  <si>
    <t>HỒ VĂN VĨNH</t>
  </si>
  <si>
    <t>PTPM</t>
  </si>
  <si>
    <t>Hội thi 12</t>
  </si>
  <si>
    <t>CSTĐ</t>
  </si>
  <si>
    <t>HỒ PHƯƠNG THẢO</t>
  </si>
  <si>
    <t>Hội thi 10</t>
  </si>
  <si>
    <t>Giáo Viên Giỏi</t>
  </si>
  <si>
    <t>Thanh tra toàn diện; VC HTXSNV</t>
  </si>
  <si>
    <t>GD THỂ CHẤT</t>
  </si>
  <si>
    <t>DIỆP KIM HẢI</t>
  </si>
  <si>
    <t>NGUYỄN HỮU HIỆP</t>
  </si>
  <si>
    <t>TRƯƠNG VĂN THƠ</t>
  </si>
  <si>
    <t>BÙI VĂN CƯỜNG</t>
  </si>
  <si>
    <t>ĐỖ BÁ KHANG</t>
  </si>
  <si>
    <t>NGUYỄN NGỌC TUẤN</t>
  </si>
  <si>
    <t>HÓA HỌC</t>
  </si>
  <si>
    <t>NGUYỄN QUỐC DŨNG</t>
  </si>
  <si>
    <t>NGUYỄN THỊ DIẾN</t>
  </si>
  <si>
    <t>LÂM GIA HÂN</t>
  </si>
  <si>
    <t>TRƯƠNG NGỌC ANH LUÂN</t>
  </si>
  <si>
    <t>Phụ đạo 12</t>
  </si>
  <si>
    <t>Thao giảng</t>
  </si>
  <si>
    <t>LĐTT; Thư ký tổng hợp/các cuộc họp, hội nghị (QĐ 297); Thư ký HĐTV chuyên môn (QĐ 294).</t>
  </si>
  <si>
    <t>NGUYỄN THỊ NGỌC MINH</t>
  </si>
  <si>
    <t>NGUYỄN TRẦN MAI THANH</t>
  </si>
  <si>
    <t>Phụ đạo 10</t>
  </si>
  <si>
    <t>NGUYỄN VĂN TRỌNG</t>
  </si>
  <si>
    <t>Phụ đạo 11</t>
  </si>
  <si>
    <t>Phụ trách PTN- LĐTT</t>
  </si>
  <si>
    <t>LỊCH SỬ</t>
  </si>
  <si>
    <t>NGUYỄN THỊ DIỆP LÀI</t>
  </si>
  <si>
    <t>PHẠM VĂN HẢI</t>
  </si>
  <si>
    <t>NGÔ THÚY DUY</t>
  </si>
  <si>
    <t>LÊ THỊ NHẬT THẢO</t>
  </si>
  <si>
    <t>NGUYỄN PHƯỚC KHÔI</t>
  </si>
  <si>
    <t>BCH CĐGV</t>
  </si>
  <si>
    <t>NCKH</t>
  </si>
  <si>
    <t>NGỮ VĂN</t>
  </si>
  <si>
    <t>NGUYỄN ĐÌNH KHOA</t>
  </si>
  <si>
    <t>PHT</t>
  </si>
  <si>
    <t>CUV</t>
  </si>
  <si>
    <t>PHT phụ trách chuyên môn theo QĐ 291; phụ trách khảo thí, KTĐG, chuyển đổi số, dữ liệu/CNTT, ĐBCL, STEM/NCKH, thư viện.</t>
  </si>
  <si>
    <t>LÊ THỊ PHUỢNG</t>
  </si>
  <si>
    <t>PBTCB</t>
  </si>
  <si>
    <t>PHT phụ trách CSVC, an toàn trường học và công tác học sinh theo QĐ 291.</t>
  </si>
  <si>
    <t>DƯƠNG THỊ THẮM</t>
  </si>
  <si>
    <t>UV BCHCĐ</t>
  </si>
  <si>
    <t>HSG 12, NCKH</t>
  </si>
  <si>
    <t>NGUYỄN HỮU BẮC</t>
  </si>
  <si>
    <t>NGUYỄN HỒNG GIANG</t>
  </si>
  <si>
    <t>NGUYỄN THỊ GIANG</t>
  </si>
  <si>
    <t>NGUYỄN THỊ NGÂN</t>
  </si>
  <si>
    <t>LÝ DIỆP TRƯỜNG PHÚ</t>
  </si>
  <si>
    <t>TLTN</t>
  </si>
  <si>
    <t>Trợ lý thanh niên (QĐ 296); Thành viên HĐTV chuyên môn (QĐ 294).</t>
  </si>
  <si>
    <t>QUÁCH THỊ THỦY</t>
  </si>
  <si>
    <t>LƯU BÍCH HOÀI THÊM</t>
  </si>
  <si>
    <t>LƯU THỊ ANH THƯ</t>
  </si>
  <si>
    <t>TRƯƠNG THU TRANG</t>
  </si>
  <si>
    <t>HOÀNG THỊ HẢI YẾN</t>
  </si>
  <si>
    <t>PHẠM CHÍ NGUYỆN</t>
  </si>
  <si>
    <t>Có phân công giảng dạy 17/09/2026 nhưng không có tên trong Phụ lục QĐ 292 - cần rà soát.</t>
  </si>
  <si>
    <t>HĐ TNHN &amp; GDĐP</t>
  </si>
  <si>
    <t>NGUYỄN THỤY DIỄM LINH</t>
  </si>
  <si>
    <t>TVTL</t>
  </si>
  <si>
    <t>Sinh hoạt Tổ Ngữ văn theo QĐ 292; tư vấn, hỗ trợ học sinh và Nhóm trưởng HĐTN-HN, GDĐP theo QĐ 291.</t>
  </si>
  <si>
    <t>SINH HỌC</t>
  </si>
  <si>
    <t>TRẦN THỊ MỸ SƯƠNG</t>
  </si>
  <si>
    <t>Khối 12 - Tổng hợp</t>
  </si>
  <si>
    <t>Nhóm trưởng</t>
  </si>
  <si>
    <t>NGUYỄN THỊ QUỲNH DIỄM</t>
  </si>
  <si>
    <t>PBT CĐGV</t>
  </si>
  <si>
    <t>STEM</t>
  </si>
  <si>
    <t>TG Tổ</t>
  </si>
  <si>
    <t>Khối 10 -11</t>
  </si>
  <si>
    <t>Khối 10-11</t>
  </si>
  <si>
    <t>NT10</t>
  </si>
  <si>
    <t>TRẦN THỊ KHUYÊN</t>
  </si>
  <si>
    <t>Khối 10- 12</t>
  </si>
  <si>
    <t>PT PTN</t>
  </si>
  <si>
    <t>NGUYỄN THỊ TUYẾT NHUNG</t>
  </si>
  <si>
    <t>Khối 10-12</t>
  </si>
  <si>
    <t>NGUYỄN BẢO TRANG</t>
  </si>
  <si>
    <t>MÃ THỊ MINH THI</t>
  </si>
  <si>
    <t>Khối 11-12</t>
  </si>
  <si>
    <t>NT11</t>
  </si>
  <si>
    <t>TIN HỌC</t>
  </si>
  <si>
    <t>TRƯƠNG VĂN PHÚC</t>
  </si>
  <si>
    <t>Chuyên đề HK1</t>
  </si>
  <si>
    <t>NGUYỄN PHI HÙNG</t>
  </si>
  <si>
    <t>Thao giảng HK2</t>
  </si>
  <si>
    <t>Dạy lớp TN 12</t>
  </si>
  <si>
    <t>HUỲNH CHÍ CƯỜNG</t>
  </si>
  <si>
    <t>PTHN</t>
  </si>
  <si>
    <t>Chuyên đề HK2</t>
  </si>
  <si>
    <t>KIM VĨNH ANH KHOA</t>
  </si>
  <si>
    <t>HK2</t>
  </si>
  <si>
    <t>CLB Cờ vua</t>
  </si>
  <si>
    <t>NGUYỄN NGỌC BẢO TRÂN</t>
  </si>
  <si>
    <t>Thao giảng HK1</t>
  </si>
  <si>
    <t>HK1</t>
  </si>
  <si>
    <t>CLB Tin học</t>
  </si>
  <si>
    <t>Xin không làm Chủ nhiệm.</t>
  </si>
  <si>
    <t>TOÁN HỌC</t>
  </si>
  <si>
    <t>ĐINH VĂN TRÍ</t>
  </si>
  <si>
    <t>MTCT</t>
  </si>
  <si>
    <t>Báo Cáo Chuyên Đề</t>
  </si>
  <si>
    <t>Mỗi khối dạy đều có lớp chuyên đề để dễ theo dõi chương trình</t>
  </si>
  <si>
    <t>PHAN QUANG ÁNH</t>
  </si>
  <si>
    <t>Thanh tra toàn diện</t>
  </si>
  <si>
    <t>NGUYỄN THỊ THU BA</t>
  </si>
  <si>
    <t>PHẠM LÊ THÙY DUNG</t>
  </si>
  <si>
    <t>ĐOÀN THỊ KIM HẠNH</t>
  </si>
  <si>
    <t>NGUYỄN DUY HƯNG</t>
  </si>
  <si>
    <t>HUỲNH THỊ DIỄM LINH</t>
  </si>
  <si>
    <t>KhỐi 12</t>
  </si>
  <si>
    <t>NGUYỄN VĂN TÂM</t>
  </si>
  <si>
    <t>Do tỷ Lệ dạy 12 bên trường cũ chưa cao , mới về môi trường mới từ từ bắt nhịp, dạy BDHS giỏi có giải</t>
  </si>
  <si>
    <t>TRẦN ĐẠI NGHĨA</t>
  </si>
  <si>
    <t>TRẦN PHƯƠNG NHƯ</t>
  </si>
  <si>
    <t>NGUYỄN VIỆT PHƯƠNG</t>
  </si>
  <si>
    <t>TRƯƠNG THÚC QUẢNG</t>
  </si>
  <si>
    <t>ĐỖ ỨC TUỆ</t>
  </si>
  <si>
    <t>TRẦN ANH NGA MY</t>
  </si>
  <si>
    <t>VẬT LÍ</t>
  </si>
  <si>
    <t>DƯƠNG ANH QUANG</t>
  </si>
  <si>
    <t>MTCT 12, HSG 12</t>
  </si>
  <si>
    <t>BC chuyên đề</t>
  </si>
  <si>
    <t>HỒ VĂN BÌNH</t>
  </si>
  <si>
    <t>TRẦN THỊ HẠNH</t>
  </si>
  <si>
    <t>CAO ĐÌNH TRUNG HẬU</t>
  </si>
  <si>
    <t>NGUYỄN MINH HOÀNG</t>
  </si>
  <si>
    <t>CTCĐ</t>
  </si>
  <si>
    <t>TRẦN THỊ LAM HỒNG</t>
  </si>
  <si>
    <t>NGUYỄN THỊ XUÂN HƯƠNG</t>
  </si>
  <si>
    <t>NGÔ PHÁT THƯƠNG</t>
  </si>
  <si>
    <t>TBTTND</t>
  </si>
  <si>
    <t>TRẦN HỒNG UYÊN</t>
  </si>
  <si>
    <t>VŨ THANH VÂN</t>
  </si>
  <si>
    <t>Khôi 11</t>
  </si>
  <si>
    <t>TƯỞNG ĐÔNG DIỆM</t>
  </si>
  <si>
    <t>NGUYỄN TƯỜNG THỊNH</t>
  </si>
  <si>
    <t>HT</t>
  </si>
  <si>
    <t>BT</t>
  </si>
  <si>
    <t>Hiệu trưởng; chịu trách nhiệm toàn diện, định hướng chiến lược và điều hành chung theo QĐ 291.</t>
  </si>
  <si>
    <t>CÔNG NGHỆ</t>
  </si>
  <si>
    <t>TRẦN NHƯ THẢO</t>
  </si>
  <si>
    <t>VŨ ĐÌNH HOÀI THANH</t>
  </si>
  <si>
    <t>TỔNG SỐ LỚP</t>
  </si>
  <si>
    <t>GHI CHÚ: CÁC VIẾT TẮT ĐƯỢC SỬ SỤNG</t>
  </si>
  <si>
    <t>SL: SỐ LỚP</t>
  </si>
  <si>
    <t>Vườn Lài, ngày 22 tháng 8 năm 2026</t>
  </si>
  <si>
    <t>CN: CHỦ NHIỆM</t>
  </si>
  <si>
    <t>Phê duyệt của Hiệu trưởng</t>
  </si>
  <si>
    <t>Phó Hiệu trưởng Chuyên môn</t>
  </si>
  <si>
    <t>CĐ: CHUYÊN ĐỀ</t>
  </si>
  <si>
    <t>HSG: HỌC SINH GIỎI</t>
  </si>
  <si>
    <t>NCKH: NGHIÊN CỨU KHOA HỌC</t>
  </si>
  <si>
    <t>MTCT: MÁY TÍNH CẦM TAY</t>
  </si>
  <si>
    <t>Nguyễn Tường Thịnh</t>
  </si>
  <si>
    <t>Nguyễn Đình Khoa</t>
  </si>
  <si>
    <t>GVG: GIÁO VIÊN GIỎI</t>
  </si>
  <si>
    <t>GVCNG: GIÁO VIÊN CHỦ NHIỆM GIỎI</t>
  </si>
  <si>
    <t>TNHN: TRẢI NGHIỆM HƯỚNG NGHIỆP</t>
  </si>
  <si>
    <t>GDĐP: GIÁO DỤC ĐỊA PHƯƠNG</t>
  </si>
  <si>
    <t>BT: BÍ THƯ</t>
  </si>
  <si>
    <t>PBT: PHÓ BÍ THƯ</t>
  </si>
  <si>
    <t>CUV: CHI UỶ VIÊN</t>
  </si>
  <si>
    <t>TVTL: TƯ VẤN TÂM LÝ</t>
  </si>
  <si>
    <t xml:space="preserve">DANH SÁCH PHÂN CÔNG GIÁO VIÊN CHỦ NHIỆM </t>
  </si>
  <si>
    <t>NĂM HỌC 2026 - 2027</t>
  </si>
  <si>
    <t>HỌ VÀ TÊN</t>
  </si>
  <si>
    <t>LỚP</t>
  </si>
  <si>
    <t>SĨ SỐ</t>
  </si>
  <si>
    <t>SỐ ĐIỆN THOẠI</t>
  </si>
  <si>
    <t>MÃ TỔ HỢP MÔN</t>
  </si>
  <si>
    <t>MÔN TỰ CHỌN</t>
  </si>
  <si>
    <t xml:space="preserve">MÔN CHUYÊN ĐỀ </t>
  </si>
  <si>
    <t>Nguyễn Thị Quỳnh Diễm</t>
  </si>
  <si>
    <t>10A1</t>
  </si>
  <si>
    <t>0858343251</t>
  </si>
  <si>
    <t>TH1</t>
  </si>
  <si>
    <t>Vật lí - Hóa học - Sinh học - Tin học</t>
  </si>
  <si>
    <t>Toán - Vật lí - Hóa học</t>
  </si>
  <si>
    <t>Trần Thị Khuyên</t>
  </si>
  <si>
    <t>10A2</t>
  </si>
  <si>
    <t>0344540368</t>
  </si>
  <si>
    <t>Nguyễn Minh Thanh Tùng</t>
  </si>
  <si>
    <t>10A3</t>
  </si>
  <si>
    <t>0934139847</t>
  </si>
  <si>
    <t>TH2</t>
  </si>
  <si>
    <t>Vật lí - Hóa học - GD KT&amp;PL - Tin học</t>
  </si>
  <si>
    <t>Trần Thị Lam Hồng</t>
  </si>
  <si>
    <t>10A4</t>
  </si>
  <si>
    <t>0903108627</t>
  </si>
  <si>
    <t>Lâm Gia Hân</t>
  </si>
  <si>
    <t>10A5</t>
  </si>
  <si>
    <t>0389025462</t>
  </si>
  <si>
    <t>Nguyễn Xuân Thu</t>
  </si>
  <si>
    <t>10A6</t>
  </si>
  <si>
    <t>0772791345</t>
  </si>
  <si>
    <t>Nguyễn Trần Mai Thanh</t>
  </si>
  <si>
    <t>10A7</t>
  </si>
  <si>
    <t>0987243564</t>
  </si>
  <si>
    <t>Mai Lan Anh</t>
  </si>
  <si>
    <t>10A8</t>
  </si>
  <si>
    <t>0339565856</t>
  </si>
  <si>
    <t>TH3</t>
  </si>
  <si>
    <t>Vật lí - Địa lí - GD KT&amp;PL - Tin học</t>
  </si>
  <si>
    <t>Ngữ văn - Lịch sử - Địa lí</t>
  </si>
  <si>
    <t>Hồ Phương Thảo</t>
  </si>
  <si>
    <t>10A9</t>
  </si>
  <si>
    <t>0356944835</t>
  </si>
  <si>
    <t>Lưu Bích Hoài Thêm</t>
  </si>
  <si>
    <t>10A10</t>
  </si>
  <si>
    <t>0765697790</t>
  </si>
  <si>
    <t>Trương Thu Trang</t>
  </si>
  <si>
    <t>10A11</t>
  </si>
  <si>
    <t>0989628806</t>
  </si>
  <si>
    <t>Nguyễn Thị Xuân Hương</t>
  </si>
  <si>
    <t>10A12</t>
  </si>
  <si>
    <t>0932641477</t>
  </si>
  <si>
    <t>Văn Huỳnh Bảo Phương</t>
  </si>
  <si>
    <t>10A13</t>
  </si>
  <si>
    <t>0706894695</t>
  </si>
  <si>
    <t>Văn Huỳnh Bảo Phương thay Nguyễn Phi Hùng làm CN từ 05/10/2026</t>
  </si>
  <si>
    <t>Phan Quang Ánh</t>
  </si>
  <si>
    <t>10A14</t>
  </si>
  <si>
    <t>0938988741</t>
  </si>
  <si>
    <t>TH4</t>
  </si>
  <si>
    <t>Vật lí - Sinh học - Tin học - Công nghệ</t>
  </si>
  <si>
    <t>Toán - Vật lí - Sinh học</t>
  </si>
  <si>
    <t>Trần Hồng Uyên</t>
  </si>
  <si>
    <t>10A15</t>
  </si>
  <si>
    <t>0963910023</t>
  </si>
  <si>
    <t>Nguyễn Việt Phương</t>
  </si>
  <si>
    <t>10A16</t>
  </si>
  <si>
    <t>0395326758</t>
  </si>
  <si>
    <t>TH5</t>
  </si>
  <si>
    <t>Hóa học - Sinh học - Tin học - Công nghệ</t>
  </si>
  <si>
    <t>Toán - Hóa học - Sinh học</t>
  </si>
  <si>
    <t>Nguyễn Bảo Trang</t>
  </si>
  <si>
    <t>10A17</t>
  </si>
  <si>
    <t>0368425857</t>
  </si>
  <si>
    <t>Nguyễn Văn Tâm</t>
  </si>
  <si>
    <t>10A18</t>
  </si>
  <si>
    <t>0909117376</t>
  </si>
  <si>
    <t>TH6</t>
  </si>
  <si>
    <t>Sinh học - Địa lí - GD KT&amp;PL - Tin học</t>
  </si>
  <si>
    <t>Toán - Ngữ văn - Sinh học</t>
  </si>
  <si>
    <t>Phạm Lê Thùy Dung</t>
  </si>
  <si>
    <t>10A19</t>
  </si>
  <si>
    <t>0859499292</t>
  </si>
  <si>
    <t>Lê Thị Tuyết Thu</t>
  </si>
  <si>
    <t>10A20</t>
  </si>
  <si>
    <t>0963046777</t>
  </si>
  <si>
    <t>Huỳnh Thị Diễm Linh</t>
  </si>
  <si>
    <t>10A21</t>
  </si>
  <si>
    <t>0349402397</t>
  </si>
  <si>
    <t>TH7</t>
  </si>
  <si>
    <t>Hóa học - Địa lí - GD KT&amp;PL - Tin học</t>
  </si>
  <si>
    <t>Toán - Ngữ văn - Hóa học</t>
  </si>
  <si>
    <t>Nguyễn Phước Khôi</t>
  </si>
  <si>
    <t>11A1</t>
  </si>
  <si>
    <t>0825146786</t>
  </si>
  <si>
    <t>Vật lí - Hóa học - Tin học - Công nghệ</t>
  </si>
  <si>
    <t>Nguyễn Thị Ngân</t>
  </si>
  <si>
    <t>11A2</t>
  </si>
  <si>
    <t>0943028628</t>
  </si>
  <si>
    <t>Địa lí - GD KT&amp;PL - Tin học - Công nghệ</t>
  </si>
  <si>
    <t>Mã Thị Minh Thi</t>
  </si>
  <si>
    <t>11A3</t>
  </si>
  <si>
    <t>0932731745</t>
  </si>
  <si>
    <t>Vật lí - Hóa học - Sinh học - GD KT&amp;PL</t>
  </si>
  <si>
    <t>Nguyễn Thị Diến</t>
  </si>
  <si>
    <t>11A4</t>
  </si>
  <si>
    <t>0978127766</t>
  </si>
  <si>
    <t>Nguyễn Duy Hưng</t>
  </si>
  <si>
    <t>11A5</t>
  </si>
  <si>
    <t>0908211020</t>
  </si>
  <si>
    <t>Vật lí - Hóa học - Tin học - GD KT&amp;PL</t>
  </si>
  <si>
    <t>Nguyễn Văn Trọng</t>
  </si>
  <si>
    <t>11A6</t>
  </si>
  <si>
    <t>0978555025</t>
  </si>
  <si>
    <t>Kim Vĩnh Anh Khoa</t>
  </si>
  <si>
    <t>11A7</t>
  </si>
  <si>
    <t>0345735829</t>
  </si>
  <si>
    <t>Nguyễn Thị Ngọc Minh</t>
  </si>
  <si>
    <t>11A8</t>
  </si>
  <si>
    <t>0918481084</t>
  </si>
  <si>
    <t>Trần Thị Hạnh</t>
  </si>
  <si>
    <t>11A9</t>
  </si>
  <si>
    <t>0902709704</t>
  </si>
  <si>
    <t>Vật lí - Sinh học - Địa lí - Tin học</t>
  </si>
  <si>
    <t>Vũ Thanh Vân</t>
  </si>
  <si>
    <t>11A10</t>
  </si>
  <si>
    <t>0374374012</t>
  </si>
  <si>
    <t>Nguyễn Hồng Giang</t>
  </si>
  <si>
    <t>11A11</t>
  </si>
  <si>
    <t>0908492679</t>
  </si>
  <si>
    <t>Trần Đại Nghĩa</t>
  </si>
  <si>
    <t>11A12</t>
  </si>
  <si>
    <t>0938445673</t>
  </si>
  <si>
    <t>Đỗ Ức Tuệ</t>
  </si>
  <si>
    <t>11A13</t>
  </si>
  <si>
    <t>0913829179</t>
  </si>
  <si>
    <t>Trần Thị Hằng</t>
  </si>
  <si>
    <t>11A14</t>
  </si>
  <si>
    <t>0344910804</t>
  </si>
  <si>
    <t>Trương Ngọc Anh Luân</t>
  </si>
  <si>
    <t>12A1</t>
  </si>
  <si>
    <t>0969294767</t>
  </si>
  <si>
    <t>Trần Phương Như</t>
  </si>
  <si>
    <t>12A2</t>
  </si>
  <si>
    <t>0835883438</t>
  </si>
  <si>
    <t>Trương Thúc Quảng</t>
  </si>
  <si>
    <t>12A3</t>
  </si>
  <si>
    <t>0325734081</t>
  </si>
  <si>
    <t>Hồ Văn Bình</t>
  </si>
  <si>
    <t>12A4</t>
  </si>
  <si>
    <t>0779991357</t>
  </si>
  <si>
    <t>Nguyễn Thị Thu Ba</t>
  </si>
  <si>
    <t>12A5</t>
  </si>
  <si>
    <t>0902383824</t>
  </si>
  <si>
    <t>Vật lí - Hóa học - Địa lí - Tin học</t>
  </si>
  <si>
    <t>Nguyễn Hữu Bắc</t>
  </si>
  <si>
    <t>12A6</t>
  </si>
  <si>
    <t>0906354689</t>
  </si>
  <si>
    <t>Toán - Ngữ văn - Vật lí</t>
  </si>
  <si>
    <t>Lưu Thị Anh Thư</t>
  </si>
  <si>
    <t>12A7</t>
  </si>
  <si>
    <t>0903021170</t>
  </si>
  <si>
    <t>Lê Thị Tường Vy</t>
  </si>
  <si>
    <t>12A8</t>
  </si>
  <si>
    <t>0938919691</t>
  </si>
  <si>
    <t>Vật lí - GD KT&amp;PL - Tin học - Công nghệ</t>
  </si>
  <si>
    <t>Trần Thị Mỹ Thanh</t>
  </si>
  <si>
    <t>12A9</t>
  </si>
  <si>
    <t>0932540496</t>
  </si>
  <si>
    <t>TH8</t>
  </si>
  <si>
    <t>Nguyễn Thị Tuyết Nhung</t>
  </si>
  <si>
    <t>12A10</t>
  </si>
  <si>
    <t>0982583068</t>
  </si>
  <si>
    <t>TH9</t>
  </si>
  <si>
    <t>Hóa học - Sinh học - GD KT&amp;PL - Tin học</t>
  </si>
  <si>
    <t>Đoàn Thị Kim Hạnh</t>
  </si>
  <si>
    <t>12A11</t>
  </si>
  <si>
    <t>0946756007</t>
  </si>
  <si>
    <t>TH10</t>
  </si>
  <si>
    <t>Hóa học - Sinh học - Địa lí - GD KT&amp;PL</t>
  </si>
  <si>
    <t>Nguyễn Thị Thuỳ Dương</t>
  </si>
  <si>
    <t>12A12</t>
  </si>
  <si>
    <t>0774940313</t>
  </si>
  <si>
    <t>TH11</t>
  </si>
  <si>
    <t>Hoàng Thị Hải Yến</t>
  </si>
  <si>
    <t>12A13</t>
  </si>
  <si>
    <t>0987875874</t>
  </si>
  <si>
    <t>TH12</t>
  </si>
  <si>
    <t>Sinh học - Địa lí - GD KT&amp;PL - Công nghệ</t>
  </si>
  <si>
    <t>Phạm Thị Phương Điền</t>
  </si>
  <si>
    <t>12A14</t>
  </si>
  <si>
    <t>0908878593</t>
  </si>
  <si>
    <t>TH13</t>
  </si>
  <si>
    <t>Quách Thị Thuỷ</t>
  </si>
  <si>
    <t>12A15</t>
  </si>
  <si>
    <t>0974438146</t>
  </si>
  <si>
    <t>PHÂN CÔNG KHỐI 12</t>
  </si>
  <si>
    <t xml:space="preserve">LỚP </t>
  </si>
  <si>
    <t>MÃ TỔ HỢP</t>
  </si>
  <si>
    <t>TỔ HỢP MÔN</t>
  </si>
  <si>
    <t>MÔN CHUYÊN ĐỀ</t>
  </si>
  <si>
    <t>CHỦ NHIỆM</t>
  </si>
  <si>
    <t xml:space="preserve">NGỮ VĂN </t>
  </si>
  <si>
    <t>GDTC</t>
  </si>
  <si>
    <t>GDQO&amp;AN</t>
  </si>
  <si>
    <t>T. Nghĩa</t>
  </si>
  <si>
    <t>T. Thương</t>
  </si>
  <si>
    <t>T. Luân</t>
  </si>
  <si>
    <t>C. Khuyên</t>
  </si>
  <si>
    <t>C. Điền</t>
  </si>
  <si>
    <t>C. Thư</t>
  </si>
  <si>
    <t>C. Nhật Thảo</t>
  </si>
  <si>
    <t>C. Đào</t>
  </si>
  <si>
    <t>C. Tứ</t>
  </si>
  <si>
    <t>C. Thi</t>
  </si>
  <si>
    <t>C. Như</t>
  </si>
  <si>
    <t>T. Quang</t>
  </si>
  <si>
    <t>T. Dũng</t>
  </si>
  <si>
    <t>T. Phi Hùng</t>
  </si>
  <si>
    <t>C. Dương</t>
  </si>
  <si>
    <t>T. Phú</t>
  </si>
  <si>
    <t>C. Duy</t>
  </si>
  <si>
    <t>T. Vĩnh</t>
  </si>
  <si>
    <t>T. Quảng</t>
  </si>
  <si>
    <t>T. Bình</t>
  </si>
  <si>
    <t>C. Trân</t>
  </si>
  <si>
    <t>C. Xuân Thu</t>
  </si>
  <si>
    <t>C. Thủy</t>
  </si>
  <si>
    <t>T. Văn Hải</t>
  </si>
  <si>
    <t>C. Như Thảo</t>
  </si>
  <si>
    <t>C. Sương</t>
  </si>
  <si>
    <t>Đổi chuyên đề tứ Ngữ văn sang Toán</t>
  </si>
  <si>
    <t>T. Tuệ</t>
  </si>
  <si>
    <t>C. Hân</t>
  </si>
  <si>
    <t>T. Phúc</t>
  </si>
  <si>
    <t>T. Văn Hùng</t>
  </si>
  <si>
    <t>T. Bắc</t>
  </si>
  <si>
    <t>C. Lài</t>
  </si>
  <si>
    <t>C. Bích Phương</t>
  </si>
  <si>
    <t>C. Ba</t>
  </si>
  <si>
    <t>T. Trọng</t>
  </si>
  <si>
    <t>C. Vy</t>
  </si>
  <si>
    <t>C. Thêm</t>
  </si>
  <si>
    <t>C. Thành</t>
  </si>
  <si>
    <t>T. Hoàng</t>
  </si>
  <si>
    <t>T. Tùng</t>
  </si>
  <si>
    <t>C. Tuyết Thu</t>
  </si>
  <si>
    <t>T. Trí</t>
  </si>
  <si>
    <t>C. Huyền</t>
  </si>
  <si>
    <t>C. Vy (1 tiết) + T. Quang (2 tiết)</t>
  </si>
  <si>
    <t>Đổi lớp 12A8 lấy 12a14 của cô Thêm</t>
  </si>
  <si>
    <t>C. Mỹ Thanh</t>
  </si>
  <si>
    <t>C. Ngân</t>
  </si>
  <si>
    <t>C. Hường</t>
  </si>
  <si>
    <t>C. Nhung</t>
  </si>
  <si>
    <t>C. Dung</t>
  </si>
  <si>
    <t>C. Thắm</t>
  </si>
  <si>
    <t>C. Kim Hạnh</t>
  </si>
  <si>
    <t>C. Yến</t>
  </si>
  <si>
    <t>T. Diệm</t>
  </si>
  <si>
    <t>C. Điền (1 tiết) + T. Tuệ (2 tiết)</t>
  </si>
  <si>
    <t>Đổi lớp 12A14 lấy 12a8 của cô Ngân</t>
  </si>
  <si>
    <t>C. Thuỷ</t>
  </si>
  <si>
    <t>SỐ LỚP CHUYÊN ĐỀ</t>
  </si>
  <si>
    <t>SỐ LỚP ÔN THI TN</t>
  </si>
  <si>
    <t xml:space="preserve">GHI CHÚ: </t>
  </si>
  <si>
    <t>CHUYÊN ĐỀ - Ô VÀNG</t>
  </si>
  <si>
    <t>IN ĐẬM + SIZE 12</t>
  </si>
  <si>
    <t>ÔN THI TN - Ô XANH</t>
  </si>
  <si>
    <t>CHỮ MÀU ĐỎ</t>
  </si>
  <si>
    <t>CĐ + ÔN TN - Ô XANH LÁ</t>
  </si>
  <si>
    <t>PHÂN CÔNG KHỐI 11</t>
  </si>
  <si>
    <t>T. Hưng</t>
  </si>
  <si>
    <t>C. Hạnh</t>
  </si>
  <si>
    <t>C. Minh</t>
  </si>
  <si>
    <t>T. Chí Cường</t>
  </si>
  <si>
    <t>C. Phương</t>
  </si>
  <si>
    <t>T. Nguyện</t>
  </si>
  <si>
    <t>T. Khôi</t>
  </si>
  <si>
    <t>T. Khôi (1 tiết) + GV. Trung Hậu (2 tiết)</t>
  </si>
  <si>
    <t>T. Hậu</t>
  </si>
  <si>
    <t>C. Anh</t>
  </si>
  <si>
    <t>C. Hằng</t>
  </si>
  <si>
    <t>C. Ngân (1 tiết) + C. Tứ (2 tiết)</t>
  </si>
  <si>
    <t>C. Nguyễn Thụy Diễm Linh</t>
  </si>
  <si>
    <t>C. Hồng</t>
  </si>
  <si>
    <t>C. Uyên</t>
  </si>
  <si>
    <t>C. Diễm Linh</t>
  </si>
  <si>
    <t>C. Diến</t>
  </si>
  <si>
    <t>T. Chất</t>
  </si>
  <si>
    <t>C. Hồng Giang</t>
  </si>
  <si>
    <t>C. Phương Thảo</t>
  </si>
  <si>
    <t>C. Diễm</t>
  </si>
  <si>
    <t>C. Việt Phương</t>
  </si>
  <si>
    <t>C. Vân</t>
  </si>
  <si>
    <t>C. Mai Thanh</t>
  </si>
  <si>
    <t>T. Anh Khoa</t>
  </si>
  <si>
    <t>T. Thanh</t>
  </si>
  <si>
    <t>T. Anh Khoa (1 tiết) + T. Chất (2 tiết)</t>
  </si>
  <si>
    <t>T. Tâm</t>
  </si>
  <si>
    <t>C. Thu Trang</t>
  </si>
  <si>
    <t>C. Giang</t>
  </si>
  <si>
    <t>C. Bảo Trang</t>
  </si>
  <si>
    <t>C. Tiên</t>
  </si>
  <si>
    <t>C. Vân (1 tiết) + C. Bảo Trang (2 tiết)</t>
  </si>
  <si>
    <t>C. Hồng Giang (1 tiết) + GV. Trung Hậu (2 tiết)</t>
  </si>
  <si>
    <t>T. Nghĩa (1 tiết) + C. Hương (2 tiết)</t>
  </si>
  <si>
    <t>T. Tuệ (1 tiết) + C. Giang (2 tiết)</t>
  </si>
  <si>
    <t>C. Hằng (1 tiết) + GV. Đông Diệm (2 tiết)</t>
  </si>
  <si>
    <t>ÔN THI TN - Ô XANH (KHỐI 12)</t>
  </si>
  <si>
    <t>THAY DỔI SO VỚI FILE CŨ</t>
  </si>
  <si>
    <t>PHÂN CÔNG KHỐI 10</t>
  </si>
  <si>
    <t>T. Tùng (1 tiết) + GV. Diễm Linh (2 tiết)</t>
  </si>
  <si>
    <t>T. Ánh</t>
  </si>
  <si>
    <t>C. Hương</t>
  </si>
  <si>
    <t>C. Xuân Thu (1 tiết) + GV. Trung Hậu (2 tiết)</t>
  </si>
  <si>
    <t>C. Mai Thanh (1 tiết) + GV. Đông Diệm (2 tiết)</t>
  </si>
  <si>
    <t>C. My</t>
  </si>
  <si>
    <t>C. Anh (1 tiết) + T. Ánh (2 tiết)</t>
  </si>
  <si>
    <t>C. Phương Thảo (1 tiết) + T. Thương (2 tiết)</t>
  </si>
  <si>
    <t>C. Thêm (1 tiết) + GV. Diễm Linh (2 tiết)</t>
  </si>
  <si>
    <t>C. Thu Trang (1 tiết) + GV. Thị Phuợng (2 tiết)</t>
  </si>
  <si>
    <t>C. Uyên (1 tiết) + C. Khuyên (2 tiết)</t>
  </si>
  <si>
    <t>C. Việt Phương (1 tiết) + GV. Thị Phuợng (2 tiết)</t>
  </si>
  <si>
    <t>T. Tâm (1 tiết) + GV. Diễm Linh (2 tiết)</t>
  </si>
  <si>
    <t>T. Khoa</t>
  </si>
  <si>
    <t>C. Dung (1 tiết) + C. Hạnh (2 tiết)</t>
  </si>
  <si>
    <t>T. Hùng</t>
  </si>
  <si>
    <t>C. Tuyết Thu (1 tiết) + C. Vân (2 tiết)</t>
  </si>
  <si>
    <t>C. Diễm Linh (1 tiết) + GV. Trung Hậu (2 tiết)</t>
  </si>
  <si>
    <t>DẠY OLYMPIC</t>
  </si>
  <si>
    <t>DỰ KIẾNTỔNG SỐ LỚP CÁC MÔN TỰ CHỌN</t>
  </si>
  <si>
    <t>KHỐI/MÔN</t>
  </si>
  <si>
    <t>HOÁ HỌC</t>
  </si>
  <si>
    <t>DỰ KIẾNTỔNG SỐ LỚP CÁC MÔN CHUYÊN ĐỀ</t>
  </si>
  <si>
    <t>TOÁN</t>
  </si>
  <si>
    <t>GD KTPL</t>
  </si>
  <si>
    <t>DỰ KIẾN TỔNG SỐ LỚP CÁC MÔN TỰ CHỌN MÔN THI TỐT NGHIỆP THPT - KHỐI 12</t>
  </si>
  <si>
    <t>MÔN/SỐ LỚP</t>
  </si>
  <si>
    <t>SỐ HỌC SINH</t>
  </si>
  <si>
    <t>SỐ HS MỖI LỚP</t>
  </si>
  <si>
    <t>SỐ LỚP</t>
  </si>
  <si>
    <t>Chia lớp</t>
  </si>
  <si>
    <t>TỔNG SỐ LỚP CÁC MÔN TỰ CHỌN</t>
  </si>
  <si>
    <t>CẦU LÔNG</t>
  </si>
  <si>
    <t>BÓNG RỔ</t>
  </si>
  <si>
    <t>BÓNG CHUYỀN</t>
  </si>
  <si>
    <t>BÓNG ĐÁ</t>
  </si>
  <si>
    <t>TỔNG SĨ SỐ</t>
  </si>
  <si>
    <t>SỐ LƯỢNG</t>
  </si>
  <si>
    <t>Còn 2 HS chưa có đăng ký GDTC</t>
  </si>
  <si>
    <t>Còn 14 HS chưa có đăng ký GDTC</t>
  </si>
  <si>
    <t>Còn 3 HS chưa có đăng ký GDTC</t>
  </si>
  <si>
    <t>PHÂN BỔ SỐ TIẾT</t>
  </si>
  <si>
    <t>Môn</t>
  </si>
  <si>
    <t>KHÔI 11</t>
  </si>
  <si>
    <t>MÔN HỌC K12ONLINE</t>
  </si>
  <si>
    <t>SỐ TIẾT</t>
  </si>
  <si>
    <t>K12ONLINE</t>
  </si>
  <si>
    <t>TRỰC TIẾP</t>
  </si>
  <si>
    <t>B2</t>
  </si>
  <si>
    <t>HKI</t>
  </si>
  <si>
    <t>HKII</t>
  </si>
  <si>
    <t>HĐTNHN</t>
  </si>
  <si>
    <t>Ngữ văn</t>
  </si>
  <si>
    <t>Toán học</t>
  </si>
  <si>
    <t>Tiếng Anh</t>
  </si>
  <si>
    <t>Lịch sử</t>
  </si>
  <si>
    <t>632</t>
  </si>
  <si>
    <t>GDQP&amp;AN</t>
  </si>
  <si>
    <t>Vật lí</t>
  </si>
  <si>
    <t>Hóa học</t>
  </si>
  <si>
    <t>Sinh học</t>
  </si>
  <si>
    <t>Địa lí</t>
  </si>
  <si>
    <t>GDKT&amp;PL</t>
  </si>
  <si>
    <t>Công nghệ</t>
  </si>
  <si>
    <t>Tin học</t>
  </si>
  <si>
    <t>Môn tự chọn</t>
  </si>
  <si>
    <t>HĐ HN&amp;TN</t>
  </si>
  <si>
    <t>Chuyên đề</t>
  </si>
  <si>
    <t>Kỹ năng sống</t>
  </si>
  <si>
    <t>Tiếng Anh bản ngữ</t>
  </si>
  <si>
    <t>Tin học Quốc tế</t>
  </si>
  <si>
    <t>GD Stem</t>
  </si>
  <si>
    <t>Môn thi TN</t>
  </si>
  <si>
    <t>Chủ nhiệm</t>
  </si>
  <si>
    <t>Tổng cộng</t>
  </si>
  <si>
    <t>Thời gian</t>
  </si>
  <si>
    <t>Tiết</t>
  </si>
  <si>
    <t>Buổi</t>
  </si>
  <si>
    <t>Tổng</t>
  </si>
  <si>
    <t>Sáng</t>
  </si>
  <si>
    <t>Chiều</t>
  </si>
  <si>
    <t>RÀ SOÁT PHÂN CÔNG CHUYÊN MÔN NĂM HỌC 2026 - 2027</t>
  </si>
  <si>
    <t>HẠNG MỤC</t>
  </si>
  <si>
    <t>KẾT QUẢ</t>
  </si>
  <si>
    <t>KHỚP</t>
  </si>
  <si>
    <t>Theo danh sách lớp hiện hành</t>
  </si>
  <si>
    <t>SL GVBM so với Tổng hợp</t>
  </si>
  <si>
    <t>KHỚP 100%</t>
  </si>
  <si>
    <t>0 trường hợp chênh lệch</t>
  </si>
  <si>
    <t>GVCN dạy bộ môn lớp CN</t>
  </si>
  <si>
    <t>50/50 KHỚP</t>
  </si>
  <si>
    <t>CĐ - số lượt</t>
  </si>
  <si>
    <t>Tổng 150; khớp Tổng hợp - CĐ - CN/PL theo từng môn</t>
  </si>
  <si>
    <t>TNHN - số lớp chia 1+2</t>
  </si>
  <si>
    <t>Tổng 31 lớp; theo phân công TNHN nguồn</t>
  </si>
  <si>
    <t>TNHN - tổng tiết/tuần</t>
  </si>
  <si>
    <t>Đỏ: GVCN 1 tiết + GV2 2 tiết; không đỏ: 3 tiết</t>
  </si>
  <si>
    <t>GVCN nhóm 1+đỏ chỉ dạy TNHN</t>
  </si>
  <si>
    <t>31/31 lớp chia đúng 1+2</t>
  </si>
  <si>
    <t>GDĐP - số lớp</t>
  </si>
  <si>
    <t>0 trường hợp lệch Tổng hợp</t>
  </si>
  <si>
    <t>Mã TH/Môn tự chọn/Môn CĐ CN ↔ PL</t>
  </si>
  <si>
    <t>50/50 lớp đồng nhất</t>
  </si>
  <si>
    <t>CĐ điều chỉnh</t>
  </si>
  <si>
    <t>Bắc 1; Quách 0</t>
  </si>
  <si>
    <t>ĐÃ ÁP DỤNG</t>
  </si>
  <si>
    <t>Nguyễn Hữu Bắc CĐ12 = 1; Quách Thị Thủy CĐ12 = 0</t>
  </si>
  <si>
    <t>CĐ điều chỉnh Vật lí</t>
  </si>
  <si>
    <t>Uyên 0</t>
  </si>
  <si>
    <t>Trần Hồng Uyên CĐ10 = 0; 10A12 chuyển 1 CĐ Vật lí (Nguyễn Thị Xuân Hương) sang CĐ Ngữ văn (Nguyễn Hữu Bắc).</t>
  </si>
  <si>
    <t>ĐĂNG KÝ MÔN DỰ KIẾN THI TỐT NGHIỆP - KHỐI 12 (660 HS)</t>
  </si>
  <si>
    <t>MÔN</t>
  </si>
  <si>
    <t>SỐ HS</t>
  </si>
  <si>
    <t>SỐ LỚP ÔN TN</t>
  </si>
  <si>
    <t>SỐ HS/LỚP DỰ KIẾN</t>
  </si>
  <si>
    <t>Chốt 3 nhóm × 46 HS; tổng 138 HS.</t>
  </si>
  <si>
    <t>ĐĂNG KÝ GDTC TỰ CHỌN</t>
  </si>
  <si>
    <t>KHỐI</t>
  </si>
  <si>
    <t>910/912 HS đã có đăng ký</t>
  </si>
  <si>
    <t>566/580 HS đã có đăng ký</t>
  </si>
  <si>
    <t>657/660 HS đã có đăng ký</t>
  </si>
  <si>
    <t>CẬP NHẬT CÔNG THỨC VÀ PHÂN CÔNG - 28/8/2026</t>
  </si>
  <si>
    <t>NỘI DUNG</t>
  </si>
  <si>
    <t>Tiết TNHN thực tế/tuần</t>
  </si>
  <si>
    <t>Tính tự động từ PL10/PL11/PL12</t>
  </si>
  <si>
    <t>TNHN đỏ/đen</t>
  </si>
  <si>
    <t>Đỏ = 1+2; không đỏ = 3 tiết</t>
  </si>
  <si>
    <t>Chuyển TNHN</t>
  </si>
  <si>
    <t>Không thay đổi số liệu TNHN trong Tổng hợp</t>
  </si>
  <si>
    <t>CĐ ↔ PL</t>
  </si>
  <si>
    <t>Giữ nguyên chỉ tiêu CĐ trong Tổng hợp; PL/CN đã đồng bộ theo từng GV</t>
  </si>
  <si>
    <t>GVCN</t>
  </si>
  <si>
    <t>10A16: Nguyễn Việt Phương</t>
  </si>
  <si>
    <t>11A7: Kim Vĩnh Anh Khoa</t>
  </si>
  <si>
    <t>12A6↔12A15: Quách/Bắc</t>
  </si>
  <si>
    <t>ĐÃ CẬP NHẬT</t>
  </si>
  <si>
    <t>Theo Tổng hợp + yêu cầu mới</t>
  </si>
  <si>
    <t>Công thức U</t>
  </si>
  <si>
    <t>AY</t>
  </si>
  <si>
    <t>AX</t>
  </si>
  <si>
    <t>AW</t>
  </si>
  <si>
    <t>ĐÃ KIỂM TRA</t>
  </si>
  <si>
    <t>TNHN thực tế: K10=AY, K11=AX, K12=AW; U chỉ tham chiếu các ô helper</t>
  </si>
  <si>
    <t>BÍ DANH K12</t>
  </si>
  <si>
    <t>BÍ DANH K11</t>
  </si>
  <si>
    <t>BÍ DANH K10</t>
  </si>
  <si>
    <t>GV. Diễm Linh</t>
  </si>
  <si>
    <t>ĐỐ BÁ KHANG</t>
  </si>
  <si>
    <t>GV. Thị Phuợng</t>
  </si>
  <si>
    <t>GV. Trung Hậu</t>
  </si>
  <si>
    <t>GV. Đông Diệm</t>
  </si>
  <si>
    <t>GHI CHÚ THAY ĐỔI SO VỚI FILE 28/08/2026 – CẬP NHẬT THEO TKB CHÍNH THỨC</t>
  </si>
  <si>
    <t>Ô thay đổi được tô đỏ trong các sheet gốc. Các ô công thức dẫn xuất được giữ nguyên công thức; dữ liệu nguồn được cập nhật theo chốt mới nhất.</t>
  </si>
  <si>
    <t>Sheet</t>
  </si>
  <si>
    <t>Ô</t>
  </si>
  <si>
    <t>Nội dung</t>
  </si>
  <si>
    <t>Giá trị cũ</t>
  </si>
  <si>
    <t>Giá trị mới</t>
  </si>
  <si>
    <t>Ghi chú/căn cứ</t>
  </si>
  <si>
    <t>PL10</t>
  </si>
  <si>
    <t>D16</t>
  </si>
  <si>
    <t>10A12 – Môn chuyên đề</t>
  </si>
  <si>
    <t>Vật lí - Lịch sử - Địa lí</t>
  </si>
  <si>
    <t>Chốt 06/09: 10A12 không có CĐ Vật lí.</t>
  </si>
  <si>
    <t>K19</t>
  </si>
  <si>
    <t>Tiếng Anh 10A15</t>
  </si>
  <si>
    <t>C. Bảo Phương</t>
  </si>
  <si>
    <t>Đoàn Văn Chất dạy thay Bảo Phương đến hết 01/10; khớp TKB chính thức.</t>
  </si>
  <si>
    <t>K20</t>
  </si>
  <si>
    <t>Tiếng Anh 10A16</t>
  </si>
  <si>
    <t>K24</t>
  </si>
  <si>
    <t>Tiếng Anh 10A20</t>
  </si>
  <si>
    <t>PL11</t>
  </si>
  <si>
    <t>K5</t>
  </si>
  <si>
    <t>Tiếng Anh 11A1</t>
  </si>
  <si>
    <t>Mai Lan Anh dạy thay Bảo Phương đến hết 01/10.</t>
  </si>
  <si>
    <t>K7</t>
  </si>
  <si>
    <t>Tiếng Anh 11A3</t>
  </si>
  <si>
    <t>Nguyễn Xuân Thu dạy thay Bảo Phương đến hết 01/10.</t>
  </si>
  <si>
    <t>K13</t>
  </si>
  <si>
    <t>Tiếng Anh 11A9</t>
  </si>
  <si>
    <t>Nguyễn Thị Thuỳ Dương dạy thay Bảo Phương đến hết 01/10.</t>
  </si>
  <si>
    <t>PL12</t>
  </si>
  <si>
    <t>L14</t>
  </si>
  <si>
    <t>Ngữ văn 12A10</t>
  </si>
  <si>
    <t>Chốt TKB chính thức: Dương Thị Thắm (VAN03).</t>
  </si>
  <si>
    <t>L15</t>
  </si>
  <si>
    <t>Ngữ văn 12A11</t>
  </si>
  <si>
    <t>Chốt TKB chính thức: Hoàng Thị Hải Yến (VAN13).</t>
  </si>
  <si>
    <t>I16</t>
  </si>
  <si>
    <t>Đồng bộ với PL10 và chốt chuyên đề 06/09.</t>
  </si>
  <si>
    <t>Tổng hợp</t>
  </si>
  <si>
    <t>MAI LAN ANH – K11 số lớp môn chính</t>
  </si>
  <si>
    <t>Thêm 11A1 dạy thay Bảo Phương.</t>
  </si>
  <si>
    <t>P8</t>
  </si>
  <si>
    <t>ĐOÀN VĂN CHẤT – K10 số lớp môn chính</t>
  </si>
  <si>
    <t>Nhận 10A15, 10A16, 10A20.</t>
  </si>
  <si>
    <t>E35</t>
  </si>
  <si>
    <t>BÙI VĂN CƯỜNG – K12 số nhóm GDTC</t>
  </si>
  <si>
    <t>Theo 50 nhóm GDTC hiện hành.</t>
  </si>
  <si>
    <t>P35</t>
  </si>
  <si>
    <t>BÙI VĂN CƯỜNG – K10 số nhóm GDTC</t>
  </si>
  <si>
    <t>K15</t>
  </si>
  <si>
    <t>NGUYỄN THỊ THUỲ DƯƠNG – K11 số lớp môn chính</t>
  </si>
  <si>
    <t>Thêm 11A9 dạy thay Bảo Phương.</t>
  </si>
  <si>
    <t>E32</t>
  </si>
  <si>
    <t>DIỆP KIM HẢI – K12 số nhóm GDTC</t>
  </si>
  <si>
    <t>K32</t>
  </si>
  <si>
    <t>DIỆP KIM HẢI – K11 số nhóm GDTC</t>
  </si>
  <si>
    <t>0 nhóm; theo 50 nhóm GDTC hiện hành.</t>
  </si>
  <si>
    <t>P32</t>
  </si>
  <si>
    <t>DIỆP KIM HẢI – K10 số nhóm GDTC</t>
  </si>
  <si>
    <t>E33</t>
  </si>
  <si>
    <t>NGUYỄN HỮU HIỆP – K12 số nhóm GDTC</t>
  </si>
  <si>
    <t>K33</t>
  </si>
  <si>
    <t>NGUYỄN HỮU HIỆP – K11 số nhóm GDTC</t>
  </si>
  <si>
    <t>P33</t>
  </si>
  <si>
    <t>NGUYỄN HỮU HIỆP – K10 số nhóm GDTC</t>
  </si>
  <si>
    <t>E36</t>
  </si>
  <si>
    <t>ĐỖ BÁ KHANG – K12 số nhóm GDTC</t>
  </si>
  <si>
    <t>K36</t>
  </si>
  <si>
    <t>ĐỖ BÁ KHANG – K11 số nhóm GDTC</t>
  </si>
  <si>
    <t>P36</t>
  </si>
  <si>
    <t>ĐỖ BÁ KHANG – K10 số nhóm GDTC</t>
  </si>
  <si>
    <t>J21</t>
  </si>
  <si>
    <t>NGUYỄN THUỴ DIỄM LINH – K12 GDĐP</t>
  </si>
  <si>
    <t>0 lớp GDĐP K12 theo phân công chính thức.</t>
  </si>
  <si>
    <t>VĂN HUỲNH BẢO PHƯƠNG – K11 số lớp môn chính</t>
  </si>
  <si>
    <t>Nghỉ thai sản đến hết 01/10; lớp đã phân GV dạy thay.</t>
  </si>
  <si>
    <t>P12</t>
  </si>
  <si>
    <t>VĂN HUỲNH BẢO PHƯƠNG – K10 số lớp môn chính</t>
  </si>
  <si>
    <t>K9</t>
  </si>
  <si>
    <t>NGUYỄN XUÂN THU – K11 số lớp môn chính</t>
  </si>
  <si>
    <t>Thêm 11A3 dạy thay Bảo Phương.</t>
  </si>
  <si>
    <t>E37</t>
  </si>
  <si>
    <t>NGUYỄN NGỌC TUẤN – K12 số nhóm GDTC</t>
  </si>
  <si>
    <t>K37</t>
  </si>
  <si>
    <t>NGUYỄN NGỌC TUẤN – K11 số nhóm GDTC</t>
  </si>
  <si>
    <t>P37</t>
  </si>
  <si>
    <t>NGUYỄN NGỌC TUẤN – K10 số nhóm GDTC</t>
  </si>
  <si>
    <t>J14</t>
  </si>
  <si>
    <t>LÊ THỊ TƯỜNG VY – K12 GDĐP</t>
  </si>
  <si>
    <t>GDĐP lớp 12A5 theo phân công chính thức.</t>
  </si>
  <si>
    <t>R56</t>
  </si>
  <si>
    <t>NGUYỄN HỮU BẮC – K10 số lớp chuyên đề</t>
  </si>
  <si>
    <t>10A12 chuyển CĐ Vật lí → CĐ Ngữ văn.</t>
  </si>
  <si>
    <t>R102</t>
  </si>
  <si>
    <t>NGUYỄN THỊ XUÂN HƯƠNG – K10 số lớp chuyên đề</t>
  </si>
  <si>
    <t>10A12 không còn CĐ Vật lí.</t>
  </si>
  <si>
    <t>C36</t>
  </si>
  <si>
    <t>Chuẩn hóa tên giáo viên</t>
  </si>
  <si>
    <t>Sửa 'ĐỐ BÁ KHANG' → 'ĐỖ BÁ KHANG' theo bảng phân công/danh mục GDTC.</t>
  </si>
  <si>
    <t>TN</t>
  </si>
  <si>
    <t>G6</t>
  </si>
  <si>
    <t>Ôn TN Địa lí – Số HS</t>
  </si>
  <si>
    <t>Dữ liệu hiện hành: 138 HS.</t>
  </si>
  <si>
    <t>G7</t>
  </si>
  <si>
    <t>Ôn TN Địa lí – Số HS mỗi lớp</t>
  </si>
  <si>
    <t>3 nhóm × 46 HS.</t>
  </si>
  <si>
    <t>G9</t>
  </si>
  <si>
    <t>Ôn TN Địa lí – Chia lớp</t>
  </si>
  <si>
    <t>138/46 = 3.</t>
  </si>
  <si>
    <t>RA_SOAT</t>
  </si>
  <si>
    <t>B21</t>
  </si>
  <si>
    <t>Rà soát Địa lí – Số HS</t>
  </si>
  <si>
    <t>Đồng bộ dữ liệu Ôn TN Địa lí hiện hành.</t>
  </si>
  <si>
    <t>C21</t>
  </si>
  <si>
    <t>Rà soát Địa lí – Số lớp Ôn TN</t>
  </si>
  <si>
    <t>Chốt 3 nhóm.</t>
  </si>
  <si>
    <t>D21</t>
  </si>
  <si>
    <t>Rà soát Địa lí – Số HS/lớp</t>
  </si>
  <si>
    <t>F21</t>
  </si>
  <si>
    <t>Rà soát Địa lí – Ghi chú</t>
  </si>
  <si>
    <t>Theo bộ danh sách Ôn TN hiện hành.</t>
  </si>
  <si>
    <t>D8</t>
  </si>
  <si>
    <t>K10 – Số lớp CĐ Ngữ văn (công thức)</t>
  </si>
  <si>
    <t>Tự động từ Tổng hợp; +1 do 10A12.</t>
  </si>
  <si>
    <t>E8</t>
  </si>
  <si>
    <t>K10 – Số lớp CĐ Vật lí (công thức)</t>
  </si>
  <si>
    <t>Tự động từ Tổng hợp; -1 do 10A12.</t>
  </si>
  <si>
    <t>D9</t>
  </si>
  <si>
    <t>Tổng số lớp CĐ Ngữ văn</t>
  </si>
  <si>
    <t>K10 tăng 1 do 10A12.</t>
  </si>
  <si>
    <t>E9</t>
  </si>
  <si>
    <t>Tổng số lớp CĐ Vật lí</t>
  </si>
  <si>
    <t>K10 giảm 1 do 10A12.</t>
  </si>
  <si>
    <t>I54</t>
  </si>
  <si>
    <t>12A15 – Môn chuyên đề</t>
  </si>
  <si>
    <t>Toán - Lịch sử - Địa lí</t>
  </si>
  <si>
    <t>Chốt TKB 06/09: 12A15 không có CĐ Toán; CĐ = Ngữ văn - Lịch sử - Địa lí.</t>
  </si>
  <si>
    <t>S10</t>
  </si>
  <si>
    <t>12A6 – HĐTN-HN</t>
  </si>
  <si>
    <t>C. Thủy (1 tiết) + T. Hoàng (2 tiết)</t>
  </si>
  <si>
    <t>T. Bắc (1 tiết) + T. Hoàng (2 tiết)</t>
  </si>
  <si>
    <t>Đồng bộ GVCN 12A6 = Nguyễn Hữu Bắc và TKB chính thức.</t>
  </si>
  <si>
    <t>S19</t>
  </si>
  <si>
    <t>12A15 – HĐTN-HN</t>
  </si>
  <si>
    <t>T. Bắc (1 tiết) + T. Dũng (2 tiết)</t>
  </si>
  <si>
    <t>C. Thủy (1 tiết) + T. Dũng (2 tiết)</t>
  </si>
  <si>
    <t>Đồng bộ GVCN 12A15 = Quách Thị Thủy và TKB chính thức.</t>
  </si>
  <si>
    <t>F13</t>
  </si>
  <si>
    <t>Ghi chú điều chỉnh CĐ Vật lí K10</t>
  </si>
  <si>
    <t>Trần Hồng Uyên CĐ10 = 0</t>
  </si>
  <si>
    <t>Trần Hồng Uyên CĐ10 = 0; 10A12 chuyển 1 CĐ Vật lí sang CĐ Ngữ văn.</t>
  </si>
  <si>
    <t>Làm rõ thay đổi 10A12 trong bảng rà soát.</t>
  </si>
  <si>
    <t>Ôn TN Ngữ văn</t>
  </si>
  <si>
    <t>TN12-VAN-10</t>
  </si>
  <si>
    <t>VAN13 – Hoàng Thị Hải Yến</t>
  </si>
  <si>
    <t>VAN03 – Dương Thị Thắm</t>
  </si>
  <si>
    <t>Chỉ đổi GV trong cùng block Thứ Ba tiết 3–4; lịch/phòng/HS giữ nguyên.</t>
  </si>
  <si>
    <t>TN12-VAN-11</t>
  </si>
  <si>
    <t>MAHS 102127</t>
  </si>
  <si>
    <t>Lớp chính khóa</t>
  </si>
  <si>
    <t>TH7 → TH6</t>
  </si>
  <si>
    <t>Chuyển lớp quản lý; TKB toàn trường không dịch tiết. Giữ nhóm GDTC/AVBN hiện hành.</t>
  </si>
  <si>
    <t>GIỮ NGUYÊN</t>
  </si>
  <si>
    <t>Không điều chỉnh</t>
  </si>
  <si>
    <t>Theo yêu cầu: tạm thời chưa sửa chuyên đề 10A15.</t>
  </si>
  <si>
    <t>DANH SÁCH PHÂN CÔNG NHIỆM VỤ - ĐỒNG BỘ CHỨC VỤ, NHÂN SỰ THEO CÁC QUYẾT ĐỊNH ĐÃ KÝ</t>
  </si>
  <si>
    <t>Nguồn tổ chức và chức vụ: QĐ 291, 292, 293, 294, 296, 297; đối chiếu phân công giảng dạy hiện hành ngày 17/09/2026. Không thay đổi TKB/phân công lớp, chỉ đồng bộ thông tin tổ chức, chức vụ và nhiệm vụ kiêm nhiệm. Các điểm mâu thuẫn giữa văn bản được giữ nguyên theo nguồn và chuyển sang sheet CAN_RA_SOAT_QD.</t>
  </si>
  <si>
    <t>Họ và tên</t>
  </si>
  <si>
    <t>Tổ/đơn vị theo QĐ 292</t>
  </si>
  <si>
    <t>Chức danh/vị trí theo QĐ 292</t>
  </si>
  <si>
    <t>Chức vụ tổ theo QĐ 293</t>
  </si>
  <si>
    <t>Vai trò HĐTV chuyên môn theo QĐ 294</t>
  </si>
  <si>
    <t>Kiêm nhiệm/vai trò khác</t>
  </si>
  <si>
    <t>Môn/nhóm dạy chính</t>
  </si>
  <si>
    <t>Lớp chủ nhiệm</t>
  </si>
  <si>
    <t>Phân công hiện hành 17/09/2026</t>
  </si>
  <si>
    <t>Trạng thái đối chiếu</t>
  </si>
  <si>
    <t>Nguồn căn cứ</t>
  </si>
  <si>
    <t>Đinh Văn Trí</t>
  </si>
  <si>
    <t>Tổ Toán học</t>
  </si>
  <si>
    <t>Giáo viên</t>
  </si>
  <si>
    <t>Thành viên HĐTV CM</t>
  </si>
  <si>
    <t>Toán</t>
  </si>
  <si>
    <t>Môn/nhóm: Toán | Dạy: 10A1, 10A20, 12A7, 12A8 | Ôn TN: TN12-TOAN-07, TN12-TOAN-08</t>
  </si>
  <si>
    <t>Khớp file PCGD 17/09/2026</t>
  </si>
  <si>
    <t>QĐ 292; QĐ 293; QĐ 294</t>
  </si>
  <si>
    <t>Môn/nhóm: Toán | GVCN: 12A11 | Dạy: 10A13, 12A11, 12A13 | TNHN phụ trách chính: 12A11 | Ôn TN: TN12-TOAN-11, TN12-TOAN-13</t>
  </si>
  <si>
    <t>QĐ 292; QĐ 293</t>
  </si>
  <si>
    <t>Môn/nhóm: Toán | GVCN: 11A13 | Dạy: 11A13, 12A12, 12A15 | TNHN: 11A13 | TNHN phụ trách chính: 12A14 | Ôn TN: TN12-TOAN-12, TN12-TOAN-15</t>
  </si>
  <si>
    <t>QĐ 292</t>
  </si>
  <si>
    <t>Môn/nhóm: Toán | GVCN: 10A21 | Dạy: 10A6, 10A12, 10A21, 11A4, 11A10 | TNHN: 10A21</t>
  </si>
  <si>
    <t>Môn/nhóm: Toán | GVCN: 11A5 | Dạy: 10A5, 10A17, 11A1, 11A5 | TNHN phụ trách chính: 11A5</t>
  </si>
  <si>
    <t>Môn/nhóm: Toán | GVCN: 10A18 | Dạy: 10A2, 10A9, 10A18, 11A8, 11A14 | TNHN: 10A18</t>
  </si>
  <si>
    <t>Môn/nhóm: Toán | GVCN: 12A5 | Dạy: 10A3, 12A5, 12A9 | TNHN phụ trách chính: 12A5 | Ôn TN: TN12-TOAN-05, TN12-TOAN-09</t>
  </si>
  <si>
    <t>Môn/nhóm: Toán | GVCN: 10A16 | Dạy: 10A7, 10A16, 11A7, 11A11 | TNHN: 10A16</t>
  </si>
  <si>
    <t>Môn/nhóm: Toán | GVCN: 10A19 | Dạy: 10A19, 12A4, 12A10 | TNHN: 10A19 | TNHN phụ trách chính: 12A15 | Ôn TN: TN12-TOAN-04, TN12-TOAN-10</t>
  </si>
  <si>
    <t>Môn/nhóm: Toán | GVCN: 10A14 | Dạy: 10A4, 10A14 | TNHN phụ trách chính: 10A8, 10A14</t>
  </si>
  <si>
    <t>Môn/nhóm: Toán | GVCN: 11A12 | Dạy: 11A12, 12A1, 12A6 | TNHN: 11A12 | TNHN phụ trách chính: 12A6 | Ôn TN: TN12-TOAN-01, TN12-TOAN-06</t>
  </si>
  <si>
    <t>Môn/nhóm: Toán | GVCN: 12A2 | Dạy: 11A2, 11A6, 11A9, 12A2 | TNHN phụ trách chính: 12A2 | Ôn TN: TN12-TOAN-02</t>
  </si>
  <si>
    <t>Môn/nhóm: Toán | GVCN: 12A3 | Dạy: 11A3, 12A3, 12A14 | TNHN phụ trách chính: 12A3, 12A12 | Ôn TN: TN12-TOAN-03, TN12-TOAN-14</t>
  </si>
  <si>
    <t>Lê Thị Phượng</t>
  </si>
  <si>
    <t>Tổ Ngữ văn</t>
  </si>
  <si>
    <t>Phó Hiệu trưởng</t>
  </si>
  <si>
    <t>Phó Chủ tịch HĐTV CM</t>
  </si>
  <si>
    <t>PHT phụ trách CSVC, an toàn trường học và công tác học sinh (QĐ 291)</t>
  </si>
  <si>
    <t>Môn/nhóm: Ngữ văn | TNHN phụ trách chính: 10A11, 10A16</t>
  </si>
  <si>
    <t>QĐ 292; QĐ 294; QĐ 291</t>
  </si>
  <si>
    <t>PHT phụ trách chuyên môn; khảo thí, KTĐG, chuyển đổi số, dữ liệu/CNTT, ĐBCL, STEM/NCKH, thư viện (QĐ 291)</t>
  </si>
  <si>
    <t>Môn/nhóm: Ngữ văn | Dạy: 10A19</t>
  </si>
  <si>
    <t>Dương Thị Thắm</t>
  </si>
  <si>
    <t>Môn/nhóm: Ngữ văn | Dạy: 10A1, 10A7, 12A10, 12A12 | Ôn TN: TN12-VAN-10, TN12-VAN-12</t>
  </si>
  <si>
    <t>Môn/nhóm: Ngữ văn | GVCN: 12A13 | Dạy: 11A7, 11A14, 12A11, 12A13 | TNHN: 12A13 | Ôn TN: TN12-VAN-11, TN12-VAN-13</t>
  </si>
  <si>
    <t>Môn/nhóm: Ngữ văn | GVCN: 10A10 | Dạy: 10A9, 10A10, 12A5, 12A14 | TNHN: 10A10 | Ôn TN: TN12-VAN-05, TN12-VAN-14</t>
  </si>
  <si>
    <t>Môn/nhóm: Ngữ văn | GVCN: 12A7 | Dạy: 11A5, 11A13, 12A1, 12A7 | TNHN: 12A7 | Ôn TN: TN12-VAN-01, TN12-VAN-07</t>
  </si>
  <si>
    <t>Lý Diệp Trường Phú</t>
  </si>
  <si>
    <t>Trợ lý thanh niên (QĐ 296)</t>
  </si>
  <si>
    <t>Môn/nhóm: Ngữ văn | Dạy: 12A2 | Ôn TN: TN12-VAN-02</t>
  </si>
  <si>
    <t>QĐ 292; QĐ 294; QĐ 296</t>
  </si>
  <si>
    <t>Môn/nhóm: Ngữ văn | GVCN: 11A11 | Dạy: 10A5, 10A17, 10A20, 11A4, 11A11 | TNHN: 11A11</t>
  </si>
  <si>
    <t>Môn/nhóm: Ngữ văn | GVCN: 12A6 | Dạy: 10A12, 10A14, 10A16, 12A4, 12A6 | TNHN: 12A6 | Ôn TN: TN12-VAN-04, TN12-VAN-06</t>
  </si>
  <si>
    <t>Nguyễn Thị Giang</t>
  </si>
  <si>
    <t>Môn/nhóm: Ngữ văn | Dạy: 10A3, 10A18, 10A21, 11A9, 11A12 | TNHN phụ trách chính: 11A13</t>
  </si>
  <si>
    <t>Môn/nhóm: Ngữ văn | GVCN: 11A2 | Dạy: 11A2, 11A3, 12A8, 12A9 | TNHN: 11A2 | Ôn TN: TN12-VAN-08, TN12-VAN-09</t>
  </si>
  <si>
    <t>Quách Thị Thủy</t>
  </si>
  <si>
    <t>Môn/nhóm: Ngữ văn | GVCN: 12A15 | Dạy: 10A2, 10A13, 12A3, 12A15 | TNHN: 12A15 | Ôn TN: TN12-VAN-03, TN12-VAN-15</t>
  </si>
  <si>
    <t>Môn/nhóm: Ngữ văn | GVCN: 10A11 | Dạy: 10A8, 10A11, 11A8, 11A10 | TNHN: 10A11</t>
  </si>
  <si>
    <t>Nguyễn Thụy Diễm Linh</t>
  </si>
  <si>
    <t>Giáo viên tư vấn tâm lí</t>
  </si>
  <si>
    <t>Tư vấn, hỗ trợ học sinh; Nhóm trưởng HĐTN-HN và GDĐP; sinh hoạt Tổ Ngữ văn (QĐ 291/292)</t>
  </si>
  <si>
    <t>HĐTN-HN, GDĐP</t>
  </si>
  <si>
    <t>Môn/nhóm: HĐTN-HN, GDĐP | TNHN phụ trách chính: 10A3, 10A10, 10A18</t>
  </si>
  <si>
    <t>QĐ 292; QĐ 291</t>
  </si>
  <si>
    <t>Hoàng Thị Nữ</t>
  </si>
  <si>
    <t>Nhân viên thư viện</t>
  </si>
  <si>
    <t>Đoàn Văn Chất</t>
  </si>
  <si>
    <t>Tổ Tiếng Anh</t>
  </si>
  <si>
    <t>Môn/nhóm: Tiếng Anh | Dạy: 10A11, 10A12, 10A15, 10A16, 10A20, 11A4, 11A10, 11A11, 11A13 | TNHN phụ trách chính: 11A7</t>
  </si>
  <si>
    <t>Môn/nhóm: Tiếng Anh | GVCN: 12A8 | Dạy: 10A4, 10A9, 10A18, 12A5, 12A8 | TNHN: 12A8 | GDĐP: 12A5 | Ôn TN: TN12-ANH-05</t>
  </si>
  <si>
    <t>Môn/nhóm: Tiếng Anh | GVCN: 10A8 | Dạy: 10A5, 10A8, 10A10, 11A1, 11A2, 11A5 | TNHN: 10A8</t>
  </si>
  <si>
    <t>Môn/nhóm: Tiếng Anh | GVCN: 10A3 | Dạy: 10A1, 10A3, 10A14, 12A6, 12A13 | TNHN: 10A3 | Ôn TN: TN12-ANH-06</t>
  </si>
  <si>
    <t>Nguyễn Thị Thùy Dương</t>
  </si>
  <si>
    <t>Môn/nhóm: Tiếng Anh | GVCN: 12A12 | Dạy: 10A19, 10A21, 11A9, 12A2, 12A12 | TNHN: 12A12 | Ôn TN: TN12-ANH-04, TN12-ANH-09</t>
  </si>
  <si>
    <t>Nguyễn Văn Hùng</t>
  </si>
  <si>
    <t>Môn/nhóm: Tiếng Anh | Dạy: 10A2, 10A13, 12A4, 12A7, 12A15 | Ôn TN: TN12-ANH-01, TN12-ANH-10</t>
  </si>
  <si>
    <t>Môn/nhóm: Tiếng Anh | GVCN: 10A6 | Dạy: 10A6, 10A7, 10A17, 11A3, 12A3, 12A11 | TNHN: 10A6</t>
  </si>
  <si>
    <t>Môn/nhóm: Tiếng Anh | GVCN: 12A14 | Dạy: 11A6, 11A8, 12A1, 12A14 | TNHN: 12A14 | Ôn TN: TN12-ANH-02, TN12-ANH-03</t>
  </si>
  <si>
    <t>Môn/nhóm: Tiếng Anh | GVCN: 12A9 | Dạy: 11A7, 11A12, 11A14, 12A9, 12A10 | TNHN: 12A9 | Ôn TN: TN12-ANH-07, TN12-ANH-08</t>
  </si>
  <si>
    <t>Môn/nhóm: Tiếng Anh</t>
  </si>
  <si>
    <t>Tổ Vật lí - Công nghệ</t>
  </si>
  <si>
    <t>Hiệu trưởng</t>
  </si>
  <si>
    <t>Chủ tịch HĐTV CM</t>
  </si>
  <si>
    <t>Hiệu trưởng; chịu trách nhiệm toàn diện, định hướng chiến lược và điều hành chung (QĐ 291)</t>
  </si>
  <si>
    <t>Môn/nhóm: Vật lí | TNHN phụ trách chính: 10A13</t>
  </si>
  <si>
    <t>Cao Đình Trung Hậu</t>
  </si>
  <si>
    <t>Môn/nhóm: Vật lí | TNHN phụ trách chính: 10A6, 10A21, 11A1, 11A11 | GDĐP: 10A2, 10A5, 10A6, 10A12, 11A1, 11A8, 11A9, 11A11, 11A12</t>
  </si>
  <si>
    <t>Dương Anh Quang</t>
  </si>
  <si>
    <t>Môn/nhóm: Vật lí | Dạy: 10A14, 12A2, 12A7 | TNHN phụ trách chính: 12A8 | Ôn TN: TN12-LY-03, TN12-LY-06</t>
  </si>
  <si>
    <t>Môn/nhóm: Vật lí | GVCN: 12A4 | Dạy: 10A6, 12A3, 12A4 | TNHN phụ trách chính: 12A4 | Ôn TN: TN12-LY-01</t>
  </si>
  <si>
    <t>Ngô Phát Thương</t>
  </si>
  <si>
    <t>Môn/nhóm: Vật lí | Dạy: 10A3, 10A9, 12A1, 12A8 | TNHN phụ trách chính: 10A9 | Ôn TN: TN12-LY-02</t>
  </si>
  <si>
    <t>Nguyễn Minh Hoàng</t>
  </si>
  <si>
    <t>Môn/nhóm: Vật lí | Dạy: 11A4, 11A8, 12A5, 12A6 | TNHN phụ trách chính: 12A7 | Ôn TN: TN12-LY-04, TN12-LY-05</t>
  </si>
  <si>
    <t>Môn/nhóm: Vật lí | GVCN: 10A12 | Dạy: 10A5, 10A12 | TNHN phụ trách chính: 10A12, 11A4, 11A12 | GDĐP: 10A4, 11A2</t>
  </si>
  <si>
    <t>Môn/nhóm: Vật lí | GVCN: 10A15 | Dạy: 10A2, 10A8, 10A15, 11A6 | TNHN: 10A15 | GDĐP: 11A3, 11A6</t>
  </si>
  <si>
    <t>Trần Như Thảo</t>
  </si>
  <si>
    <t>Môn/nhóm: Công nghệ | Dạy: 10A14, 10A16, 11A1, 11A2, 11A11, 12A3, 12A8, 12A13, 12A14, 12A15</t>
  </si>
  <si>
    <t>Môn/nhóm: Vật lí | GVCN: 11A9 | Dạy: 10A1, 10A7, 11A1, 11A9 | TNHN phụ trách chính: 10A19, 11A9</t>
  </si>
  <si>
    <t>Môn/nhóm: Vật lí | GVCN: 10A4 | Dạy: 10A4, 10A11, 11A3, 11A5 | TNHN phụ trách chính: 10A4 | GDĐP: 10A19</t>
  </si>
  <si>
    <t>Môn/nhóm: Vật lí | GVCN: 11A10 | Dạy: 10A10, 10A13, 11A7, 11A10 | TNHN: 11A10 | TNHN phụ trách chính: 10A20</t>
  </si>
  <si>
    <t>Tưởng Đông Diệm</t>
  </si>
  <si>
    <t>Môn/nhóm: Vật lí | TNHN phụ trách chính: 10A7, 11A14 | GDĐP: 10A1, 10A3, 10A7, 10A8, 10A13, 10A15, 10A17, 10A18, 10A20, 10A21, 11A5, 11A13, 11A14, 12A11, 12A15</t>
  </si>
  <si>
    <t>Tổ Hóa học</t>
  </si>
  <si>
    <t>Môn/nhóm: Hóa học | GVCN: 10A5 | Dạy: 10A5, 12A4, 12A10 | TNHN phụ trách chính: 10A5, 12A10 | GDĐP: 10A16 | Ôn TN: TN12-HOA-02</t>
  </si>
  <si>
    <t>Nguyễn Quốc Dũng</t>
  </si>
  <si>
    <t>Môn/nhóm: Hóa học | Dạy: 10A4, 10A16, 12A2, 12A11 | Ôn TN: TN12-HOA-04</t>
  </si>
  <si>
    <t>Môn/nhóm: Hóa học | GVCN: 11A4 | Dạy: 10A1, 10A17, 11A4, 11A5 | TNHN: 11A4</t>
  </si>
  <si>
    <t>Môn/nhóm: Hóa học | GVCN: 11A8 | Dạy: 10A3, 10A6, 11A1, 11A8 | TNHN phụ trách chính: 11A8</t>
  </si>
  <si>
    <t>Môn/nhóm: Hóa học | GVCN: 10A7 | Dạy: 10A2, 10A7, 10A21, 11A7 | TNHN: 10A7</t>
  </si>
  <si>
    <t>Môn/nhóm: Hóa học | GVCN: 11A6 | Dạy: 11A6, 12A5, 12A9 | TNHN phụ trách chính: 11A6, 12A9 | GDĐP: 12A10 | Ôn TN: TN12-HOA-03</t>
  </si>
  <si>
    <t>Thư ký HĐTV CM</t>
  </si>
  <si>
    <t>Công tác tổng hợp, thư ký các cuộc họp/hội nghị (QĐ 297)</t>
  </si>
  <si>
    <t>Môn/nhóm: Hóa học | GVCN: 12A1 | Dạy: 11A3, 12A1, 12A3 | TNHN phụ trách chính: 12A1 | Ôn TN: TN12-HOA-01</t>
  </si>
  <si>
    <t>QĐ 292; QĐ 293; QĐ 294; QĐ 297</t>
  </si>
  <si>
    <t>Tổ Sinh học</t>
  </si>
  <si>
    <t>Môn/nhóm: Sinh học | GVCN: 11A3 | Dạy: 11A3, 11A4, 12A1, 12A13 | TNHN phụ trách chính: 11A3 | GDĐP: 12A1, 12A14</t>
  </si>
  <si>
    <t>Môn/nhóm: Sinh học | GVCN: 10A17 | Dạy: 10A16, 10A17, 11A10 | TNHN phụ trách chính: 10A17, 11A10 | GDĐP: 11A10</t>
  </si>
  <si>
    <t>Môn/nhóm: Sinh học | GVCN: 10A1 | Dạy: 10A1, 10A14, 11A9 | TNHN phụ trách chính: 10A1 | GDĐP: 10A10, 10A14, 11A4</t>
  </si>
  <si>
    <t>Môn/nhóm: Sinh học | GVCN: 12A10 | Dạy: 10A18, 10A19, 12A10 | TNHN: 12A10 | GDĐP: 12A9 | Ôn TN: TN12-SINH-01</t>
  </si>
  <si>
    <t>Môn/nhóm: Sinh học | GVCN: 10A2 | Dạy: 10A2, 10A15, 12A2 | TNHN phụ trách chính: 10A2, 10A15 | GDĐP: 12A2, 12A4, 12A7, 12A12</t>
  </si>
  <si>
    <t>Trần Thị Mỹ Sương</t>
  </si>
  <si>
    <t>Môn/nhóm: Sinh học | Dạy: 10A20, 12A11, 12A12 | TNHN phụ trách chính: 12A13 | GDĐP: 12A3, 12A6, 12A8, 12A13 | Ôn TN: TN12-SINH-02</t>
  </si>
  <si>
    <t>Trương Văn Phúc</t>
  </si>
  <si>
    <t>Tổ Tin học</t>
  </si>
  <si>
    <t>Môn/nhóm: Tin học | Dạy: 10A1, 10A3, 10A8, 10A9, 10A14, 10A18, 10A21, 12A4, 12A12 | THQT: CT11-THQT-01, CT11-THQT-02, CT11-THQT-03</t>
  </si>
  <si>
    <t>Huỳnh Chí Cường</t>
  </si>
  <si>
    <t>Môn/nhóm: Tin học | Dạy: 10A2, 10A4, 10A5, 10A7, 10A11, 10A19, 11A1, 11A6, 11A8 | THQT: CT10-THQT-13, CT10-THQT-14, CT10-THQT-15, CT12-THQT-04, CT12-THQT-05</t>
  </si>
  <si>
    <t>Môn/nhóm: Tin học | GVCN: 11A7 | Dạy: 10A10, 10A12, 10A15, 10A16, 10A17, 11A7, 11A10, 11A12, 11A14 | TNHN: 11A7 | THQT: CT10-THQT-06, CT10-THQT-07, CT10-THQT-08, CT10-THQT-09, CT10-THQT-10</t>
  </si>
  <si>
    <t>Nguyễn Ngọc Bảo Trân</t>
  </si>
  <si>
    <t>Môn/nhóm: Tin học | Dạy: 11A2, 11A5, 11A9, 11A11, 11A13, 12A3, 12A5, 12A6, 12A7, 12A15 | THQT: CT11-THQT-04, CT11-THQT-05, CT11-THQT-06, CT12-THQT-06, CT12-THQT-07</t>
  </si>
  <si>
    <t>Nguyễn Phi Hùng</t>
  </si>
  <si>
    <t>Môn/nhóm: Tin học | GVCN: 10A13 | Dạy: 10A6, 10A13, 10A20, 12A2, 12A8, 12A9, 12A10, 12A14 | TNHN: 10A13 | THQT: CT10-THQT-11, CT10-THQT-12, CT12-THQT-01, CT12-THQT-02, CT12-THQT-03 | Ôn TN: TN12-TIN-01</t>
  </si>
  <si>
    <t>Lê Thị Nhật Thảo</t>
  </si>
  <si>
    <t>Tổ Lịch sử</t>
  </si>
  <si>
    <t>Môn/nhóm: Lịch sử | Dạy: 11A2, 11A7, 11A10, 11A11, 11A12, 11A13, 12A1, 12A6, 12A7, 12A15 | Ôn TN: TN12-SU-04</t>
  </si>
  <si>
    <t>Ngô Thúy Duy</t>
  </si>
  <si>
    <t>Môn/nhóm: Lịch sử | Dạy: 10A3, 10A4, 10A7, 10A10, 10A11, 10A12, 10A14, 10A16, 12A2, 12A8, 12A9 | Ôn TN: TN12-SU-01</t>
  </si>
  <si>
    <t>Môn/nhóm: Lịch sử | GVCN: 11A1 | Dạy: 10A1, 10A5, 10A6, 10A9, 10A18, 10A19, 10A20, 11A1 | TNHN: 11A1</t>
  </si>
  <si>
    <t>QĐ 292; QĐ 294</t>
  </si>
  <si>
    <t>Nguyễn Thị Diệp Lài</t>
  </si>
  <si>
    <t>Môn/nhóm: Lịch sử | Dạy: 10A2, 10A8, 10A13, 10A15, 10A17, 10A21, 12A4, 12A11, 12A12, 12A14 | Ôn TN: TN12-SU-02</t>
  </si>
  <si>
    <t>Phạm Văn Hải</t>
  </si>
  <si>
    <t>Môn/nhóm: Lịch sử | Dạy: 11A3, 11A4, 11A5, 11A6, 11A8, 11A9, 11A14, 12A3, 12A5, 12A10, 12A13 | Ôn TN: TN12-SU-03</t>
  </si>
  <si>
    <t>Bùi Thị Thủy Tiên</t>
  </si>
  <si>
    <t>Tổ Địa lí</t>
  </si>
  <si>
    <t>Môn/nhóm: Địa lí | Dạy: 10A8, 10A9, 10A18, 11A10, 11A12, 11A13, 11A14 | GDĐP: 10A9</t>
  </si>
  <si>
    <t>Đào Thị Thành</t>
  </si>
  <si>
    <t>Môn/nhóm: Địa lí | Dạy: 10A10, 10A13, 12A5, 12A6, 12A11, 12A14 | Ôn TN: TN12-DIA-01</t>
  </si>
  <si>
    <t>Huỳnh Thị Bích Huyền</t>
  </si>
  <si>
    <t>Môn/nhóm: Địa lí | Dạy: 10A11, 10A12, 10A19, 10A20, 10A21, 12A7, 12A15 | Ôn TN: TN12-DIA-03</t>
  </si>
  <si>
    <t>Phạm Thị Thu Hường</t>
  </si>
  <si>
    <t>Môn/nhóm: Địa lí | Dạy: 11A2, 11A9, 11A11, 12A9, 12A12, 12A13 | Ôn TN: TN12-DIA-02</t>
  </si>
  <si>
    <t>Tổ Giáo dục Kinh tế và Pháp luật</t>
  </si>
  <si>
    <t>Môn/nhóm: GD KT&amp;PL | GVCN: 10A20 | Dạy: 10A3, 10A4, 10A10, 10A12, 10A20, 12A6, 12A7, 12A13, 12A15 | TNHN: 10A20</t>
  </si>
  <si>
    <t>Môn/nhóm: GD KT&amp;PL | GVCN: 11A14 | Dạy: 10A8, 10A9, 10A18, 11A2, 11A6, 11A11, 11A12, 11A13, 11A14 | TNHN: 11A14</t>
  </si>
  <si>
    <t>Mai Thị Bích Phương</t>
  </si>
  <si>
    <t>Môn/nhóm: GD KT&amp;PL | Dạy: 11A3, 11A4, 11A5, 12A4, 12A8, 12A11, 12A12, 12A14 | Ôn TN: TN12-KTPL-02</t>
  </si>
  <si>
    <t>Trần Thị Xuân Đào</t>
  </si>
  <si>
    <t>Môn/nhóm: GD KT&amp;PL | Dạy: 10A5, 10A6, 10A7, 10A11, 10A13, 10A19, 10A21, 12A1, 12A9, 12A10 | Ôn TN: TN12-KTPL-01</t>
  </si>
  <si>
    <t>Bùi Văn Cường</t>
  </si>
  <si>
    <t>Tổ Giáo dục Thể chất</t>
  </si>
  <si>
    <t>Môn/nhóm: GDTC | Dạy: TC10-BC-01, TC10-BC-02, TC11-BC-01, TC11-BC-02, TC12-BC-01, TC12-BC-02, TC12-CL-07, TC12-CL-08 | GDTC vào điểm: 10A17, 10A19, 11A4, 11A7, 12A12, 12A13, 12A14, 12A15</t>
  </si>
  <si>
    <t>Diệp Kim Hải</t>
  </si>
  <si>
    <t>Môn/nhóm: GDTC | Dạy: TC10-CL-01, TC10-CL-02, TC10-CL-03, TC10-CL-04, TC10-CL-05, TC10-CL-06, TC10-CL-07, TC12-CL-05 | GDTC vào điểm: 10A6, 10A7, 10A8, 10A9, 10A10, 10A11, 10A12, 12A9</t>
  </si>
  <si>
    <t>Đỗ Bá Khang</t>
  </si>
  <si>
    <t>Môn/nhóm: GDTC | Dạy: TC11-CL-04, TC11-CL-05, TC11-CL-06, TC11-CL-07, TC12-CL-01, TC12-CL-02, TC12-CL-03, TC12-CL-04, TC12-CL-06 | GDTC vào điểm: 11A9, 11A11, 11A12, 11A14, 12A2, 12A3, 12A5, 12A8, 12A11</t>
  </si>
  <si>
    <t>Nguyễn Hữu Hiệp</t>
  </si>
  <si>
    <t>Môn/nhóm: GDTC | Dạy: TC10-BD-01, TC10-BD-02, TC10-BD-03, TC11-BD-01, TC11-BD-02, TC12-BD-01, TC12-BD-02, TC12-BD-03 | GDTC vào điểm: 10A2, 10A4, 10A13, 10A14, 11A6, 11A13, 12A4, 12A6</t>
  </si>
  <si>
    <t>Nguyễn Ngọc Tuấn</t>
  </si>
  <si>
    <t>Môn/nhóm: GDTC | Dạy: TC10-CL-08, TC10-CL-09, TC10-CL-10, TC10-CL-11, TC10-CL-12, TC11-CL-01, TC11-CL-02, TC11-CL-03 | GDTC vào điểm: 10A15, 10A16, 10A18, 10A20, 10A21, 11A2, 11A3, 11A5</t>
  </si>
  <si>
    <t>Trương Văn Thơ</t>
  </si>
  <si>
    <t>Môn/nhóm: GDTC | Dạy: TC10-BR-01, TC10-BR-02, TC10-BR-03, TC11-BR-01, TC11-BR-02, TC11-BR-03, TC12-BR-01, TC12-BR-02, TC12-BR-03 | GDTC vào điểm: 10A1, 10A3, 10A5, 11A1, 11A8, 11A10, 12A1, 12A7, 12A10</t>
  </si>
  <si>
    <t>Hoàng Thị Tứ</t>
  </si>
  <si>
    <t>Tổ Giáo dục Quốc phòng và An ninh</t>
  </si>
  <si>
    <t>Môn/nhóm: GDQP&amp;AN | Dạy: 10A2, 10A5, 10A6, 10A12, 11A2, 11A9, 11A11, 12A1, 12A3, 12A5, 12A6, 12A7, 12A13, 12A15 | TNHN phụ trách chính: 11A2 | GDĐP: 10A11</t>
  </si>
  <si>
    <t>Môn/nhóm: GDQP&amp;AN | GVCN: 10A9 | Dạy: 10A7, 10A9, 10A10, 10A11, 10A13, 10A17, 10A19, 10A20, 11A4, 11A6, 11A7, 11A8, 11A10, 11A12, 11A13, 11A14 | TNHN: 10A9 | GDĐP: 11A7</t>
  </si>
  <si>
    <t>Hồ Văn Vĩnh</t>
  </si>
  <si>
    <t>Môn/nhóm: GDQP&amp;AN | Dạy: 10A1, 10A3, 10A4, 10A8, 10A14, 10A15, 10A16, 10A18, 10A21, 11A1, 11A3, 11A5, 12A2, 12A4, 12A8, 12A9, 12A10, 12A11, 12A12, 12A14</t>
  </si>
  <si>
    <t>Chao Vỹ Quang</t>
  </si>
  <si>
    <t>Tổ Văn phòng</t>
  </si>
  <si>
    <t>Giám thị</t>
  </si>
  <si>
    <t>Lưu Công Hiếu</t>
  </si>
  <si>
    <t>Nguyễn Thanh Lợi</t>
  </si>
  <si>
    <t>Trần Công Hiếu</t>
  </si>
  <si>
    <t>Đoàn Duy Hiếu</t>
  </si>
  <si>
    <t>Nhân viên kế toán</t>
  </si>
  <si>
    <t>Lê Công Khanh</t>
  </si>
  <si>
    <t>Nhân viên bảo vệ</t>
  </si>
  <si>
    <t>Lê Thị Lan</t>
  </si>
  <si>
    <t>Nhân viên vệ sinh</t>
  </si>
  <si>
    <t>Lương Sơn Dũng</t>
  </si>
  <si>
    <t>Nhân viên công nghệ thông tin</t>
  </si>
  <si>
    <t>Lưu Thụy Thục Quyên</t>
  </si>
  <si>
    <t>Nhân viên văn thư</t>
  </si>
  <si>
    <t>TTVP</t>
  </si>
  <si>
    <t>Ngô Trưởng Thành</t>
  </si>
  <si>
    <t>Nhân viên điện, nước</t>
  </si>
  <si>
    <t>Nguyễn Anh Tuấn</t>
  </si>
  <si>
    <t>Nhân viên học vụ</t>
  </si>
  <si>
    <t>TPVP</t>
  </si>
  <si>
    <t>Nguyễn Hồng Quân</t>
  </si>
  <si>
    <t>Nguyễn Phi Công</t>
  </si>
  <si>
    <t>Nhân viên thủ quỹ</t>
  </si>
  <si>
    <t>Nguyễn Thị Kim Cúc</t>
  </si>
  <si>
    <t>Phạm Ngọc Hoàng</t>
  </si>
  <si>
    <t>Phạm Thị Bạch Tuyết</t>
  </si>
  <si>
    <t>Tăng Thị Hồng</t>
  </si>
  <si>
    <t>Trần Thị Tú Hằng</t>
  </si>
  <si>
    <t>Nhân viên y tế</t>
  </si>
  <si>
    <t>CÁC ĐIỂM CẦN RÀ SOÁT KHI ĐỒNG BỘ CHỨC VỤ, NHÂN SỰ</t>
  </si>
  <si>
    <t>Dữ liệu từ quyết định/file nguồn</t>
  </si>
  <si>
    <t>Cách xử lý trong file đồng bộ</t>
  </si>
  <si>
    <t>Đề nghị</t>
  </si>
  <si>
    <t>Mức độ</t>
  </si>
  <si>
    <t>Số lượng Tổ Ngữ văn chưa thống nhất</t>
  </si>
  <si>
    <t>Phụ lục QĐ 292: bảng cơ cấu ghi 14 thành viên; danh sách chi tiết ghi 15 người. QĐ 293 cũng ghi 14.</t>
  </si>
  <si>
    <t>Sheet đồng bộ dùng 15 người theo danh sách chi tiết QĐ 292, không tự loại ai.</t>
  </si>
  <si>
    <t>Đề nghị rà soát/đính chính số lượng chính thức trong QĐ 292/293.</t>
  </si>
  <si>
    <t>CẦN XÁC NHẬN</t>
  </si>
  <si>
    <t>Chức danh của Hoàng Thị Nữ có xung đột</t>
  </si>
  <si>
    <t>QĐ 292: Nhân viên thư viện, sinh hoạt Tổ Ngữ văn. QĐ 293: TPCM Tổ Ngữ văn.</t>
  </si>
  <si>
    <t>Sheet đồng bộ giữ đồng thời 'Nhân viên thư viện' và 'TPCM' theo đúng 2 QĐ đã ký.</t>
  </si>
  <si>
    <t>Đề nghị xác nhận tính phù hợp/chỉnh văn bản nếu QĐ 293 ghi nhầm.</t>
  </si>
  <si>
    <t>QUAN TRỌNG</t>
  </si>
  <si>
    <t>Số lượng Tổ Tin học chưa thống nhất</t>
  </si>
  <si>
    <t>QĐ 292 ghi 06 thành viên nhưng danh sách chi tiết chỉ có 05 người: Trương Văn Phúc, Huỳnh Chí Cường, Kim Vĩnh Anh Khoa, Nguyễn Ngọc Bảo Trân, Nguyễn Phi Hùng.</t>
  </si>
  <si>
    <t>Sheet đồng bộ chỉ ghi 05 người có tên; không tự suy đoán người thứ 6.</t>
  </si>
  <si>
    <t>Đề nghị rà soát tên thành viên còn thiếu hoặc điều chỉnh số lượng.</t>
  </si>
  <si>
    <t>Nguyễn Thụy Diễm Linh đang nằm trong khối Địa lí ở sheet Tổng hợp cũ</t>
  </si>
  <si>
    <t>QĐ 292 quy định sinh hoạt tại Tổ Ngữ văn; QĐ 291 giao nhiệm vụ tư vấn HS và Nhóm trưởng HĐTN-HN, GDĐP.</t>
  </si>
  <si>
    <t>Sheet đồng bộ đã chuyển về Tổ Ngữ văn theo QĐ; sheet Tổng hợp cũ chỉ bổ sung ghi chú để không phá cấu trúc/công thức.</t>
  </si>
  <si>
    <t>Dùng sheet DONG_BO_CHUC_VU_NS làm danh sách tổ chức chính thức.</t>
  </si>
  <si>
    <t>ĐÃ ĐỒNG BỘ</t>
  </si>
  <si>
    <t>Cơ cấu Tổ Vật lí - Công nghệ</t>
  </si>
  <si>
    <t>QĐ 292 thành lập 01 Tổ Vật lí - Công nghệ (13 thành viên).</t>
  </si>
  <si>
    <t>Sheet Tổng hợp cũ đang tách VẬT LÍ và CÔNG NGHỆ; sheet đồng bộ dùng đúng tên tổ theo QĐ 292.</t>
  </si>
  <si>
    <t>Không thay đổi phân công giảng dạy hiện hành để tránh tác động dữ liệu/TKB.</t>
  </si>
  <si>
    <t>Phạm Chí Nguyện có trong PCGD 17/09 nhưng không có tên trong PL QĐ 292</t>
  </si>
  <si>
    <t>PCGD: giáo viên Ngữ văn, đang có lớp dạy; PL QĐ 292 không liệt kê.</t>
  </si>
  <si>
    <t>Giữ nguyên phân công giảng dạy hiện hành; gắn cảnh báo trong sheet Tổng hợp.</t>
  </si>
  <si>
    <t>Đề nghị xác nhận bổ sung vào tổ chuyên môn bằng văn bản nếu thuộc biên chế/đội ngũ chính thức.</t>
  </si>
  <si>
    <t>Trần Anh Nga My có trong PCGD 17/09 nhưng không có tên trong PL QĐ 292</t>
  </si>
  <si>
    <t>PCGD: giáo viên Toán, có lớp dạy; PL QĐ 292 không liệt kê.</t>
  </si>
  <si>
    <t>Đề nghị xác nhận tình trạng nhân sự và tổ sinh hoạt.</t>
  </si>
  <si>
    <t>Nguyễn Thị Lý có trong PCGD 17/09 nhưng không có tên trong PL QĐ 292</t>
  </si>
  <si>
    <t>PCGD ghi môn Toán nhưng chưa có lớp dạy; PL QĐ 292 không liệt kê.</t>
  </si>
  <si>
    <t>Không tự thêm vào tổ chính thức trong sheet đồng bộ.</t>
  </si>
  <si>
    <t>Đề nghị xác nhận tình trạng nhân sự.</t>
  </si>
  <si>
    <t>Vũ Đình Hoài Thanh có trong PCGD 17/09 nhưng không có tên trong PL QĐ 292</t>
  </si>
  <si>
    <t>PCGD: giáo viên Công nghệ, có lớp dạy; PL QĐ 292 Tổ Vật lí - Công nghệ không liệt kê.</t>
  </si>
  <si>
    <t>Đề nghị xác nhận bổ sung nhân sự/tổ sinh hoạt nếu cần.</t>
  </si>
  <si>
    <t>Nhân sự chương trình nhà trường/đối tác không nằm trong QĐ 292</t>
  </si>
  <si>
    <t>Đặng Thị Xuân (THQT); Du Piesanie Nadia, Christopher Fitzsimons, Abdelrahman Ahmed Shaaban Elsayad (AVBN); Nguyễn Lê Diệu Tuyến, Lê Thiên Tân (STEM).</t>
  </si>
  <si>
    <t>Giữ trong file PCGD/TKB theo phân công chương trình; không đưa vào roster tổ chuyên môn chính thức từ QĐ 292.</t>
  </si>
  <si>
    <t>Theo dõi bằng hợp đồng/phân công chương trình riêng.</t>
  </si>
  <si>
    <t>THÔNG TIN</t>
  </si>
  <si>
    <t>T. Bắc (1 tiết) + T. Nghĩa (2 tiết)</t>
  </si>
  <si>
    <t>C. Thư (1 tiết) + T. Hoàng (2 tiết)</t>
  </si>
  <si>
    <t>C. Mỹ Thanh (1 tiết) + T. Trọng (2 tiết)</t>
  </si>
  <si>
    <t>C. Nhung (1 tiết) + C. Hân (2 tiết)</t>
  </si>
  <si>
    <t>C. Dương (1 tiết) + C. Thi (2 tiết)</t>
  </si>
  <si>
    <t>C. Yến (1 tiết) + C. Sương (2 tiết)</t>
  </si>
  <si>
    <t>C. Thủy (1 tiết) + C. Dung (2 tiết)</t>
  </si>
  <si>
    <t>C. Bảo Phương (1 tiết) + T. Thịnh (2 tiết)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</si>
</sst>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81" x14ac:knownFonts="1">
    <font>
      <sz val="11"/>
      <color theme="1"/>
      <name val="Calibri"/>
    </font>
    <font>
      <sz val="12"/>
      <color theme="1"/>
      <name val="Times New Roman"/>
      <family val="1"/>
    </font>
    <font>
      <b/>
      <sz val="12"/>
      <color theme="1"/>
      <name val="Times New Roman"/>
      <family val="1"/>
    </font>
    <font>
      <b/>
      <sz val="14"/>
      <color theme="1"/>
      <name val="Times New Roman"/>
      <family val="1"/>
    </font>
    <font>
      <sz val="12"/>
      <name val="Cambria"/>
      <family val="1"/>
    </font>
    <font>
      <b/>
      <sz val="12"/>
      <name val="Cambria"/>
      <family val="1"/>
    </font>
    <font>
      <b/>
      <sz val="16"/>
      <color theme="1"/>
      <name val="Times New Roman"/>
      <family val="1"/>
    </font>
    <font>
      <b/>
      <sz val="12"/>
      <color rgb="FFFF0000"/>
      <name val="Times New Roman"/>
      <family val="1"/>
    </font>
    <font>
      <sz val="12"/>
      <name val="Times New Roman"/>
      <family val="1"/>
    </font>
    <font>
      <sz val="10"/>
      <color theme="1"/>
      <name val="Times New Roman"/>
      <family val="1"/>
    </font>
    <font>
      <b/>
      <sz val="10"/>
      <color theme="1"/>
      <name val="Times New Roman"/>
      <family val="1"/>
    </font>
    <font>
      <sz val="10"/>
      <color rgb="FFFF0000"/>
      <name val="Times New Roman"/>
      <family val="1"/>
    </font>
    <font>
      <sz val="10"/>
      <color rgb="FF000000"/>
      <name val="Calibri"/>
      <family val="2"/>
    </font>
    <font>
      <sz val="10"/>
      <name val="Times New Roman"/>
      <family val="1"/>
    </font>
    <font>
      <b/>
      <sz val="18"/>
      <color theme="1"/>
      <name val="Times New Roman"/>
      <family val="1"/>
    </font>
    <font>
      <sz val="12"/>
      <color rgb="FFFF0000"/>
      <name val="Times New Roman"/>
      <family val="1"/>
    </font>
    <font>
      <sz val="14"/>
      <color theme="1"/>
      <name val="Times New Roman"/>
      <family val="1"/>
    </font>
    <font>
      <sz val="14"/>
      <color rgb="FFFF0000"/>
      <name val="Times New Roman"/>
      <family val="1"/>
    </font>
    <font>
      <b/>
      <sz val="10"/>
      <name val="Times New Roman"/>
      <family val="1"/>
    </font>
    <font>
      <b/>
      <i/>
      <sz val="12"/>
      <name val="Cambria"/>
      <family val="1"/>
    </font>
    <font>
      <sz val="10"/>
      <name val="Cambria"/>
      <family val="1"/>
    </font>
    <font>
      <sz val="12"/>
      <name val="Calibri"/>
      <family val="2"/>
    </font>
    <font>
      <sz val="12"/>
      <color theme="1"/>
      <name val="Times New Roman"/>
      <family val="1"/>
    </font>
    <font>
      <b/>
      <sz val="20"/>
      <color theme="1"/>
      <name val="Times New Roman"/>
      <family val="1"/>
    </font>
    <font>
      <sz val="12"/>
      <color rgb="FFFF0000"/>
      <name val="Cambria"/>
      <family val="1"/>
    </font>
    <font>
      <sz val="10"/>
      <color rgb="FF000000"/>
      <name val="Times New Roman"/>
      <family val="1"/>
    </font>
    <font>
      <sz val="12"/>
      <color rgb="FF000000"/>
      <name val="Times New Roman"/>
      <family val="1"/>
    </font>
    <font>
      <b/>
      <sz val="10"/>
      <color rgb="FFFF0000"/>
      <name val="Times New Roman"/>
      <family val="1"/>
    </font>
    <font>
      <b/>
      <sz val="11"/>
      <color theme="1"/>
      <name val="Calibri"/>
      <family val="2"/>
    </font>
    <font>
      <b/>
      <sz val="12"/>
      <name val="Cambria"/>
      <family val="1"/>
    </font>
    <font>
      <b/>
      <sz val="18"/>
      <name val="Cambria"/>
      <family val="1"/>
    </font>
    <font>
      <sz val="12"/>
      <name val="Cambria"/>
      <family val="1"/>
    </font>
    <font>
      <b/>
      <sz val="14"/>
      <name val="Cambria"/>
      <family val="1"/>
    </font>
    <font>
      <b/>
      <i/>
      <sz val="12"/>
      <name val="Cambria"/>
      <family val="1"/>
    </font>
    <font>
      <sz val="12"/>
      <color rgb="FF000000"/>
      <name val="Cambria"/>
      <family val="1"/>
    </font>
    <font>
      <sz val="12"/>
      <name val="Times New Roman"/>
      <family val="1"/>
    </font>
    <font>
      <b/>
      <sz val="12"/>
      <name val="Times New Roman"/>
      <family val="1"/>
    </font>
    <font>
      <b/>
      <sz val="10"/>
      <color rgb="FF006100"/>
      <name val="Times New Roman"/>
      <family val="1"/>
    </font>
    <font>
      <b/>
      <sz val="10"/>
      <color rgb="FF000000"/>
      <name val="Times New Roman"/>
      <family val="1"/>
    </font>
    <font>
      <b/>
      <sz val="10"/>
      <color rgb="FF1F4E78"/>
      <name val="Times New Roman"/>
      <family val="1"/>
    </font>
    <font>
      <b/>
      <sz val="12"/>
      <color rgb="FF000000"/>
      <name val="Times New Roman"/>
      <family val="1"/>
    </font>
    <font>
      <sz val="12"/>
      <color rgb="FF000000"/>
      <name val="Calibri"/>
      <family val="2"/>
    </font>
    <font>
      <b/>
      <sz val="12"/>
      <color rgb="FFFF0000"/>
      <name val="Cambria"/>
      <family val="1"/>
    </font>
    <font>
      <b/>
      <sz val="12"/>
      <color rgb="FF1F4E78"/>
      <name val="Times New Roman"/>
      <family val="1"/>
    </font>
    <font>
      <b/>
      <sz val="14"/>
      <color rgb="FF1F4E78"/>
      <name val="Times New Roman"/>
      <family val="1"/>
    </font>
    <font>
      <sz val="11"/>
      <color theme="1"/>
      <name val="Times New Roman"/>
      <family val="1"/>
    </font>
    <font>
      <b/>
      <sz val="11"/>
      <color rgb="FFFFFFFF"/>
      <name val="Times New Roman"/>
      <family val="1"/>
    </font>
    <font>
      <b/>
      <sz val="11"/>
      <color theme="1"/>
      <name val="Times New Roman"/>
      <family val="1"/>
    </font>
    <font>
      <b/>
      <sz val="12"/>
      <color rgb="FF000000"/>
      <name val="Cambria"/>
      <family val="1"/>
    </font>
    <font>
      <sz val="12"/>
      <color rgb="FFFF0000"/>
      <name val="Cambria"/>
      <family val="1"/>
    </font>
    <font>
      <sz val="12"/>
      <name val="Times New Roman"/>
      <family val="1"/>
    </font>
    <font>
      <b/>
      <sz val="12"/>
      <color rgb="FFC00000"/>
      <name val="Times New Roman"/>
      <family val="1"/>
    </font>
    <font>
      <b/>
      <sz val="10"/>
      <color rgb="FFC00000"/>
      <name val="Times New Roman"/>
      <family val="1"/>
    </font>
    <font>
      <b/>
      <sz val="12"/>
      <color rgb="FFC00000"/>
      <name val="Cambria"/>
      <family val="1"/>
    </font>
    <font>
      <b/>
      <sz val="12"/>
      <color rgb="FFC00000"/>
      <name val="Calibri"/>
      <family val="2"/>
    </font>
    <font>
      <b/>
      <sz val="11"/>
      <color rgb="FFC00000"/>
      <name val="Times New Roman"/>
      <family val="1"/>
    </font>
    <font>
      <b/>
      <sz val="13"/>
      <color theme="1"/>
      <name val="Times New Roman"/>
      <family val="1"/>
    </font>
    <font>
      <i/>
      <sz val="10"/>
      <color theme="1"/>
      <name val="Times New Roman"/>
      <family val="1"/>
    </font>
    <font>
      <sz val="10"/>
      <color rgb="FF000000"/>
      <name val="Times New Roman"/>
      <family val="1"/>
    </font>
    <font>
      <sz val="10"/>
      <color theme="1"/>
      <name val="Times New Roman"/>
      <family val="1"/>
    </font>
    <font>
      <b/>
      <sz val="14"/>
      <color rgb="FFFFFFFF"/>
      <name val="Times New Roman"/>
      <family val="1"/>
    </font>
    <font>
      <i/>
      <sz val="11"/>
      <color theme="1"/>
      <name val="Times New Roman"/>
      <family val="1"/>
    </font>
    <font>
      <sz val="11"/>
      <color theme="1"/>
      <name val="Calibri"/>
      <family val="2"/>
    </font>
    <font>
      <sz val="11"/>
      <color theme="1"/>
      <name val="Calibri"/>
      <family val="2"/>
    </font>
    <font>
      <b/>
      <sz val="12"/>
      <color rgb="FFC00000"/>
      <name val="Times New Roman"/>
      <family val="1"/>
    </font>
    <font>
      <b/>
      <sz val="10"/>
      <color rgb="FFC00000"/>
      <name val="Times New Roman"/>
      <family val="1"/>
    </font>
    <font>
      <sz val="10"/>
      <name val="Times New Roman"/>
      <family val="1"/>
    </font>
    <font>
      <sz val="10"/>
      <color rgb="FFFF0000"/>
      <name val="Times New Roman"/>
      <family val="1"/>
    </font>
    <font>
      <sz val="12"/>
      <color rgb="FF000000"/>
      <name val="Times New Roman"/>
      <family val="1"/>
    </font>
    <font>
      <b/>
      <sz val="12"/>
      <color rgb="FF000000"/>
      <name val="Times New Roman"/>
      <family val="1"/>
    </font>
    <font>
      <sz val="12"/>
      <name val="Times New Roman"/>
      <family val="1"/>
    </font>
    <font>
      <b/>
      <sz val="12"/>
      <color rgb="FFFF0000"/>
      <name val="Times New Roman"/>
      <family val="1"/>
    </font>
    <font>
      <sz val="10"/>
      <color theme="1"/>
      <name val="Times New Roman"/>
      <family val="1"/>
    </font>
    <font>
      <b/>
      <sz val="16"/>
      <color theme="1"/>
      <name val="Times New Roman"/>
      <family val="1"/>
    </font>
    <font>
      <sz val="12"/>
      <color theme="1"/>
      <name val="Times New Roman"/>
      <family val="1"/>
    </font>
    <font>
      <b/>
      <sz val="12"/>
      <color theme="1"/>
      <name val="Times New Roman"/>
      <family val="1"/>
    </font>
    <font>
      <b/>
      <sz val="10"/>
      <color theme="1"/>
      <name val="Times New Roman"/>
      <family val="1"/>
    </font>
    <font>
      <b/>
      <sz val="10"/>
      <color rgb="FF1F4E78"/>
      <name val="Times New Roman"/>
      <family val="1"/>
    </font>
    <font>
      <b/>
      <sz val="10"/>
      <color rgb="FF006100"/>
      <name val="Times New Roman"/>
      <family val="1"/>
    </font>
    <font>
      <sz val="10"/>
      <color rgb="FF000000"/>
      <name val="Times New Roman"/>
      <family val="1"/>
    </font>
    <font>
      <b/>
      <sz val="10"/>
      <color rgb="FF000000"/>
      <name val="Times New Roman"/>
      <family val="1"/>
    </font>
  </fonts>
  <fills count="43">
    <fill>
      <patternFill patternType="none"/>
    </fill>
    <fill>
      <patternFill patternType="gray125"/>
    </fill>
    <fill>
      <patternFill patternType="solid">
        <fgColor theme="0"/>
      </patternFill>
    </fill>
    <fill>
      <patternFill patternType="solid">
        <fgColor rgb="FFFFFF00"/>
      </patternFill>
    </fill>
    <fill>
      <patternFill patternType="solid">
        <fgColor theme="6" tint="0.79985961485641044"/>
        <bgColor indexed="65"/>
      </patternFill>
    </fill>
    <fill>
      <patternFill patternType="solid">
        <fgColor theme="9" tint="0.79985961485641044"/>
        <bgColor indexed="65"/>
      </patternFill>
    </fill>
    <fill>
      <patternFill patternType="solid">
        <fgColor theme="8" tint="0.79985961485641044"/>
        <bgColor indexed="65"/>
      </patternFill>
    </fill>
    <fill>
      <patternFill patternType="solid">
        <fgColor theme="3" tint="0.79985961485641044"/>
        <bgColor indexed="65"/>
      </patternFill>
    </fill>
    <fill>
      <patternFill patternType="solid">
        <fgColor theme="5" tint="0.79985961485641044"/>
        <bgColor indexed="65"/>
      </patternFill>
    </fill>
    <fill>
      <patternFill patternType="solid">
        <fgColor theme="8" tint="0.79985961485641044"/>
        <bgColor indexed="65"/>
      </patternFill>
    </fill>
    <fill>
      <patternFill patternType="solid">
        <fgColor theme="9" tint="0.79985961485641044"/>
        <bgColor indexed="65"/>
      </patternFill>
    </fill>
    <fill>
      <patternFill patternType="solid">
        <fgColor rgb="FFFFFF00"/>
      </patternFill>
    </fill>
    <fill>
      <patternFill patternType="solid">
        <fgColor theme="6" tint="0.79985961485641044"/>
        <bgColor indexed="65"/>
      </patternFill>
    </fill>
    <fill>
      <patternFill patternType="solid">
        <fgColor rgb="FFFFFF00"/>
      </patternFill>
    </fill>
    <fill>
      <patternFill patternType="solid">
        <fgColor theme="9" tint="0.79985961485641044"/>
        <bgColor indexed="65"/>
      </patternFill>
    </fill>
    <fill>
      <patternFill patternType="solid">
        <fgColor theme="8" tint="0.79985961485641044"/>
        <bgColor indexed="65"/>
      </patternFill>
    </fill>
    <fill>
      <patternFill patternType="solid">
        <fgColor theme="5" tint="0.79985961485641044"/>
        <bgColor indexed="65"/>
      </patternFill>
    </fill>
    <fill>
      <patternFill patternType="solid">
        <fgColor theme="6" tint="0.79985961485641044"/>
        <bgColor indexed="65"/>
      </patternFill>
    </fill>
    <fill>
      <patternFill patternType="solid">
        <fgColor rgb="FFE2F0D9"/>
      </patternFill>
    </fill>
    <fill>
      <patternFill patternType="solid">
        <fgColor rgb="FFDDEBF7"/>
      </patternFill>
    </fill>
    <fill>
      <patternFill patternType="solid">
        <fgColor rgb="FF1F4E78"/>
      </patternFill>
    </fill>
    <fill>
      <patternFill patternType="solid">
        <fgColor rgb="FFD9EAF7"/>
      </patternFill>
    </fill>
    <fill>
      <patternFill patternType="solid">
        <fgColor rgb="FFD9EAF7"/>
      </patternFill>
    </fill>
    <fill>
      <patternFill patternType="solid">
        <fgColor rgb="FFFFF2CC"/>
      </patternFill>
    </fill>
    <fill>
      <patternFill patternType="solid">
        <fgColor rgb="FFE2F0D9"/>
      </patternFill>
    </fill>
    <fill>
      <patternFill patternType="solid">
        <fgColor rgb="FFDDEBF7"/>
      </patternFill>
    </fill>
    <fill>
      <patternFill patternType="solid">
        <fgColor rgb="FF1F4E78"/>
      </patternFill>
    </fill>
    <fill>
      <patternFill patternType="solid">
        <fgColor rgb="FFFFFFFF"/>
      </patternFill>
    </fill>
    <fill>
      <patternFill patternType="solid">
        <fgColor rgb="FFFFF2CC"/>
      </patternFill>
    </fill>
    <fill>
      <patternFill patternType="solid">
        <fgColor rgb="FFE2F0D9"/>
      </patternFill>
    </fill>
    <fill>
      <patternFill patternType="solid">
        <fgColor rgb="FFDDEBF7"/>
      </patternFill>
    </fill>
    <fill>
      <patternFill patternType="solid">
        <fgColor rgb="FFFFFF00"/>
      </patternFill>
    </fill>
    <fill>
      <patternFill patternType="solid">
        <fgColor theme="9" tint="0.59990234076967686"/>
        <bgColor indexed="65"/>
      </patternFill>
    </fill>
    <fill>
      <patternFill patternType="solid">
        <fgColor rgb="FFFCE8E6"/>
      </patternFill>
    </fill>
    <fill>
      <patternFill patternType="solid">
        <fgColor rgb="FFFCE8E6"/>
      </patternFill>
    </fill>
    <fill>
      <patternFill patternType="solid">
        <fgColor rgb="FFD9EAF7"/>
      </patternFill>
    </fill>
    <fill>
      <patternFill patternType="solid">
        <fgColor rgb="FFF2F2F2"/>
      </patternFill>
    </fill>
    <fill>
      <patternFill patternType="solid">
        <fgColor rgb="FFFCE8E6"/>
      </patternFill>
    </fill>
    <fill>
      <patternFill patternType="solid">
        <fgColor rgb="FF1F4E78"/>
      </patternFill>
    </fill>
    <fill>
      <patternFill patternType="solid">
        <fgColor rgb="FFFFF2CC"/>
      </patternFill>
    </fill>
    <fill>
      <patternFill patternType="solid">
        <fgColor rgb="FFFFFF00"/>
      </patternFill>
    </fill>
    <fill>
      <patternFill patternType="solid">
        <fgColor rgb="FFFFF3CD"/>
      </patternFill>
    </fill>
    <fill>
      <patternFill patternType="solid">
        <fgColor rgb="FFFFF2CC"/>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4">
    <xf numFmtId="0" fontId="0" fillId="0" borderId="0"/>
    <xf numFmtId="0" fontId="12" fillId="0" borderId="0"/>
    <xf numFmtId="0" fontId="22" fillId="0" borderId="0"/>
    <xf numFmtId="43" fontId="62" fillId="0" borderId="0" applyFont="0" applyFill="0" applyBorder="0" applyAlignment="0" applyProtection="0"/>
  </cellStyleXfs>
  <cellXfs count="378">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4" fillId="5"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6"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left" vertical="center" wrapText="1"/>
    </xf>
    <xf numFmtId="1" fontId="1"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0" fontId="9" fillId="0" borderId="0" xfId="0" applyFont="1"/>
    <xf numFmtId="0" fontId="9" fillId="0" borderId="0" xfId="0" applyFont="1" applyAlignment="1">
      <alignment horizontal="center" vertical="center"/>
    </xf>
    <xf numFmtId="0" fontId="7" fillId="0" borderId="1" xfId="0" applyFont="1" applyBorder="1" applyAlignment="1">
      <alignment horizontal="center" vertical="center"/>
    </xf>
    <xf numFmtId="0" fontId="4"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9" fillId="0" borderId="0" xfId="0" applyFont="1" applyAlignment="1">
      <alignment vertical="center"/>
    </xf>
    <xf numFmtId="0" fontId="4" fillId="2" borderId="1" xfId="0" applyFont="1" applyFill="1" applyBorder="1" applyAlignment="1">
      <alignment vertical="center" wrapText="1"/>
    </xf>
    <xf numFmtId="0" fontId="15" fillId="0" borderId="1" xfId="0" applyFont="1" applyBorder="1" applyAlignment="1">
      <alignment horizontal="center" vertical="center"/>
    </xf>
    <xf numFmtId="0" fontId="8" fillId="0" borderId="1" xfId="0" applyFont="1" applyBorder="1" applyAlignment="1">
      <alignment horizontal="center" vertical="center"/>
    </xf>
    <xf numFmtId="0" fontId="16" fillId="0" borderId="1" xfId="0" applyFont="1" applyBorder="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9" fillId="2" borderId="1" xfId="0" applyFont="1" applyFill="1" applyBorder="1" applyAlignment="1">
      <alignment horizontal="center" vertical="center"/>
    </xf>
    <xf numFmtId="0" fontId="10" fillId="0" borderId="1" xfId="0" applyFont="1" applyBorder="1" applyAlignment="1">
      <alignment vertical="center"/>
    </xf>
    <xf numFmtId="0" fontId="5" fillId="0" borderId="1" xfId="0" applyFont="1" applyBorder="1" applyAlignment="1">
      <alignment horizontal="center" vertical="center" wrapText="1"/>
    </xf>
    <xf numFmtId="0" fontId="5" fillId="0" borderId="0" xfId="0" applyFont="1" applyAlignment="1">
      <alignment vertical="center" wrapText="1"/>
    </xf>
    <xf numFmtId="0" fontId="4" fillId="0" borderId="0" xfId="0" applyFont="1" applyAlignment="1">
      <alignment vertical="center" wrapText="1"/>
    </xf>
    <xf numFmtId="0" fontId="19" fillId="0" borderId="0" xfId="0" applyFont="1" applyAlignment="1">
      <alignment vertical="center" wrapText="1"/>
    </xf>
    <xf numFmtId="0" fontId="18" fillId="0" borderId="1" xfId="0" applyFont="1" applyBorder="1" applyAlignment="1">
      <alignment horizontal="center" vertical="center"/>
    </xf>
    <xf numFmtId="0" fontId="5" fillId="0" borderId="0" xfId="0" applyFont="1" applyAlignment="1">
      <alignment horizontal="center" vertical="center" wrapText="1"/>
    </xf>
    <xf numFmtId="0" fontId="19" fillId="0" borderId="0" xfId="0" applyFont="1" applyAlignment="1">
      <alignment horizontal="center" vertical="center" wrapText="1"/>
    </xf>
    <xf numFmtId="0" fontId="4" fillId="0" borderId="0" xfId="0" applyFont="1" applyAlignment="1">
      <alignment horizontal="center" vertical="center" wrapText="1"/>
    </xf>
    <xf numFmtId="0" fontId="4"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4" fillId="6"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21" fillId="6"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64" fontId="1" fillId="0" borderId="1" xfId="0" applyNumberFormat="1" applyFont="1" applyBorder="1" applyAlignment="1">
      <alignment horizontal="center" vertical="center"/>
    </xf>
    <xf numFmtId="1" fontId="2" fillId="9" borderId="1" xfId="0" applyNumberFormat="1" applyFont="1" applyFill="1" applyBorder="1" applyAlignment="1">
      <alignment horizontal="center" vertical="center"/>
    </xf>
    <xf numFmtId="1" fontId="7" fillId="10" borderId="1" xfId="0" applyNumberFormat="1" applyFont="1" applyFill="1" applyBorder="1" applyAlignment="1">
      <alignment horizontal="center" vertical="center"/>
    </xf>
    <xf numFmtId="1" fontId="7" fillId="11" borderId="1" xfId="0" applyNumberFormat="1" applyFont="1" applyFill="1" applyBorder="1" applyAlignment="1">
      <alignment horizontal="center" vertical="center"/>
    </xf>
    <xf numFmtId="1" fontId="2" fillId="10" borderId="1" xfId="0" applyNumberFormat="1" applyFont="1" applyFill="1" applyBorder="1" applyAlignment="1">
      <alignment horizontal="center" vertical="center"/>
    </xf>
    <xf numFmtId="0" fontId="5" fillId="0" borderId="1" xfId="0" applyFont="1" applyBorder="1" applyAlignment="1">
      <alignment vertical="center" wrapText="1"/>
    </xf>
    <xf numFmtId="3" fontId="7" fillId="0" borderId="1" xfId="0" applyNumberFormat="1" applyFont="1" applyBorder="1" applyAlignment="1">
      <alignment horizontal="center" vertical="center"/>
    </xf>
    <xf numFmtId="1" fontId="2" fillId="3" borderId="1" xfId="0" applyNumberFormat="1" applyFont="1" applyFill="1" applyBorder="1" applyAlignment="1">
      <alignment horizontal="center" vertical="center"/>
    </xf>
    <xf numFmtId="0" fontId="1" fillId="0" borderId="0" xfId="2" applyFont="1" applyAlignment="1">
      <alignment vertical="center"/>
    </xf>
    <xf numFmtId="0" fontId="2" fillId="0" borderId="1" xfId="2" applyFont="1" applyBorder="1" applyAlignment="1">
      <alignment horizontal="center" vertical="center"/>
    </xf>
    <xf numFmtId="0" fontId="2" fillId="5" borderId="1" xfId="2" applyFont="1" applyFill="1" applyBorder="1" applyAlignment="1">
      <alignment horizontal="center" vertical="center"/>
    </xf>
    <xf numFmtId="0" fontId="2" fillId="8" borderId="1" xfId="2" applyFont="1" applyFill="1" applyBorder="1" applyAlignment="1">
      <alignment horizontal="center" vertical="center"/>
    </xf>
    <xf numFmtId="0" fontId="2" fillId="6" borderId="1" xfId="2" applyFont="1" applyFill="1" applyBorder="1" applyAlignment="1">
      <alignment horizontal="center" vertical="center"/>
    </xf>
    <xf numFmtId="0" fontId="2" fillId="0" borderId="0" xfId="2" applyFont="1" applyAlignment="1">
      <alignment vertical="center"/>
    </xf>
    <xf numFmtId="0" fontId="10" fillId="5" borderId="1" xfId="2" applyFont="1" applyFill="1" applyBorder="1" applyAlignment="1">
      <alignment horizontal="center" vertical="center"/>
    </xf>
    <xf numFmtId="0" fontId="10" fillId="8" borderId="1" xfId="2" applyFont="1" applyFill="1" applyBorder="1" applyAlignment="1">
      <alignment horizontal="center" vertical="center"/>
    </xf>
    <xf numFmtId="0" fontId="1" fillId="0" borderId="0" xfId="2" applyFont="1" applyAlignment="1">
      <alignment horizontal="center" vertical="center"/>
    </xf>
    <xf numFmtId="0" fontId="1" fillId="8" borderId="1" xfId="2" applyFont="1" applyFill="1" applyBorder="1" applyAlignment="1">
      <alignment horizontal="center" vertical="center"/>
    </xf>
    <xf numFmtId="0" fontId="1" fillId="5" borderId="1" xfId="2" applyFont="1" applyFill="1" applyBorder="1" applyAlignment="1">
      <alignment horizontal="center" vertical="center"/>
    </xf>
    <xf numFmtId="0" fontId="1" fillId="6" borderId="1" xfId="2" applyFont="1" applyFill="1" applyBorder="1" applyAlignment="1">
      <alignment horizontal="center" vertical="center"/>
    </xf>
    <xf numFmtId="0" fontId="7" fillId="0" borderId="1" xfId="2" applyFont="1" applyBorder="1" applyAlignment="1">
      <alignment horizontal="center" vertical="center"/>
    </xf>
    <xf numFmtId="0" fontId="7" fillId="5" borderId="1" xfId="2" applyFont="1" applyFill="1" applyBorder="1" applyAlignment="1">
      <alignment horizontal="center" vertical="center"/>
    </xf>
    <xf numFmtId="0" fontId="7" fillId="8" borderId="1" xfId="2" applyFont="1" applyFill="1" applyBorder="1" applyAlignment="1">
      <alignment horizontal="center" vertical="center"/>
    </xf>
    <xf numFmtId="0" fontId="7" fillId="6" borderId="1" xfId="2" applyFont="1" applyFill="1" applyBorder="1" applyAlignment="1">
      <alignment horizontal="center" vertical="center"/>
    </xf>
    <xf numFmtId="0" fontId="1" fillId="0" borderId="8" xfId="2" applyFont="1" applyBorder="1" applyAlignment="1">
      <alignment vertical="center"/>
    </xf>
    <xf numFmtId="0" fontId="2" fillId="2" borderId="1" xfId="2" applyFont="1" applyFill="1" applyBorder="1" applyAlignment="1">
      <alignment horizontal="center" vertical="center"/>
    </xf>
    <xf numFmtId="0" fontId="1" fillId="2" borderId="0" xfId="2" applyFont="1" applyFill="1" applyAlignment="1">
      <alignment vertical="center"/>
    </xf>
    <xf numFmtId="0" fontId="2" fillId="2" borderId="1" xfId="2" applyFont="1" applyFill="1" applyBorder="1" applyAlignment="1">
      <alignment horizontal="center" vertical="center" wrapText="1"/>
    </xf>
    <xf numFmtId="0" fontId="2" fillId="0" borderId="1" xfId="2" applyFont="1" applyBorder="1" applyAlignment="1">
      <alignment horizontal="center" vertical="center" wrapText="1"/>
    </xf>
    <xf numFmtId="0" fontId="4" fillId="12" borderId="1" xfId="0" applyFont="1" applyFill="1" applyBorder="1" applyAlignment="1">
      <alignment horizontal="center" vertical="center"/>
    </xf>
    <xf numFmtId="0" fontId="24" fillId="0" borderId="1" xfId="0" applyFont="1" applyBorder="1" applyAlignment="1">
      <alignment horizontal="center" vertical="center" wrapText="1"/>
    </xf>
    <xf numFmtId="0" fontId="4" fillId="13" borderId="1" xfId="0" applyFont="1" applyFill="1" applyBorder="1" applyAlignment="1">
      <alignment horizontal="center" vertical="center" wrapText="1"/>
    </xf>
    <xf numFmtId="0" fontId="4" fillId="13" borderId="1" xfId="0" applyFont="1" applyFill="1" applyBorder="1" applyAlignment="1">
      <alignment vertical="center" wrapText="1"/>
    </xf>
    <xf numFmtId="0" fontId="4" fillId="13" borderId="1" xfId="0" applyFont="1" applyFill="1" applyBorder="1" applyAlignment="1">
      <alignment horizontal="center" vertical="center"/>
    </xf>
    <xf numFmtId="0" fontId="5" fillId="13" borderId="1" xfId="0" applyFont="1" applyFill="1" applyBorder="1" applyAlignment="1">
      <alignment horizontal="center" vertical="center" wrapText="1"/>
    </xf>
    <xf numFmtId="0" fontId="4" fillId="13" borderId="0" xfId="0" applyFont="1" applyFill="1" applyAlignment="1">
      <alignment vertical="center" wrapText="1"/>
    </xf>
    <xf numFmtId="0" fontId="5" fillId="13" borderId="3"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21" fillId="13" borderId="1" xfId="0" applyFont="1" applyFill="1" applyBorder="1" applyAlignment="1">
      <alignment horizontal="center" vertical="center"/>
    </xf>
    <xf numFmtId="0" fontId="4" fillId="13" borderId="1" xfId="0" applyFont="1" applyFill="1" applyBorder="1" applyAlignment="1">
      <alignment vertical="center"/>
    </xf>
    <xf numFmtId="0" fontId="20" fillId="13" borderId="1" xfId="0" applyFont="1" applyFill="1" applyBorder="1" applyAlignment="1">
      <alignment horizontal="center" vertical="center" wrapText="1"/>
    </xf>
    <xf numFmtId="0" fontId="5" fillId="13" borderId="1" xfId="0" applyFont="1" applyFill="1" applyBorder="1" applyAlignment="1">
      <alignment vertical="center" wrapText="1"/>
    </xf>
    <xf numFmtId="0" fontId="9" fillId="0" borderId="9" xfId="0" applyFont="1" applyBorder="1" applyAlignment="1">
      <alignment horizontal="center" vertical="center"/>
    </xf>
    <xf numFmtId="0" fontId="10" fillId="0" borderId="9" xfId="0" applyFont="1" applyBorder="1" applyAlignment="1">
      <alignment horizontal="center" vertical="center"/>
    </xf>
    <xf numFmtId="0" fontId="10" fillId="0" borderId="9" xfId="0" applyFont="1" applyBorder="1" applyAlignment="1">
      <alignment vertical="center"/>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0" fillId="0" borderId="0" xfId="0" applyAlignment="1">
      <alignment horizontal="center" vertical="center" wrapText="1"/>
    </xf>
    <xf numFmtId="0" fontId="3" fillId="0" borderId="1" xfId="0" applyFont="1" applyBorder="1" applyAlignment="1">
      <alignment horizontal="center" vertical="center" wrapText="1"/>
    </xf>
    <xf numFmtId="0" fontId="16" fillId="6"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0" borderId="9" xfId="0" applyFont="1" applyBorder="1"/>
    <xf numFmtId="0" fontId="9" fillId="0" borderId="2" xfId="0" applyFont="1" applyBorder="1" applyAlignment="1">
      <alignment horizontal="center" vertical="center" wrapText="1"/>
    </xf>
    <xf numFmtId="0" fontId="10" fillId="0" borderId="2" xfId="0" applyFont="1" applyBorder="1" applyAlignment="1">
      <alignment horizontal="center" vertical="center"/>
    </xf>
    <xf numFmtId="0" fontId="10" fillId="7" borderId="1" xfId="0" applyFont="1" applyFill="1" applyBorder="1" applyAlignment="1">
      <alignment horizontal="center" vertical="center"/>
    </xf>
    <xf numFmtId="0" fontId="10" fillId="0" borderId="9" xfId="0" applyFont="1" applyBorder="1" applyAlignment="1">
      <alignment horizontal="center"/>
    </xf>
    <xf numFmtId="0" fontId="27"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28" fillId="0" borderId="0" xfId="0" applyFont="1"/>
    <xf numFmtId="0" fontId="0" fillId="0" borderId="9" xfId="0" applyBorder="1" applyAlignment="1">
      <alignment horizontal="center" vertical="center"/>
    </xf>
    <xf numFmtId="0" fontId="28" fillId="0" borderId="9" xfId="0" applyFont="1" applyBorder="1" applyAlignment="1">
      <alignment horizontal="center" vertical="center"/>
    </xf>
    <xf numFmtId="0" fontId="29" fillId="0" borderId="0" xfId="0" applyFont="1" applyAlignment="1">
      <alignment vertical="center" wrapText="1"/>
    </xf>
    <xf numFmtId="0" fontId="30" fillId="0" borderId="0" xfId="0" applyFont="1" applyAlignment="1">
      <alignment vertical="center" wrapText="1"/>
    </xf>
    <xf numFmtId="0" fontId="31" fillId="0" borderId="0" xfId="0" applyFont="1" applyAlignment="1">
      <alignment vertical="center" wrapText="1"/>
    </xf>
    <xf numFmtId="0" fontId="32" fillId="0" borderId="0" xfId="0" applyFont="1" applyAlignment="1">
      <alignment vertical="center" wrapText="1"/>
    </xf>
    <xf numFmtId="0" fontId="31" fillId="0" borderId="0" xfId="0" applyFont="1" applyAlignment="1">
      <alignment horizontal="center" vertical="center" wrapText="1"/>
    </xf>
    <xf numFmtId="0" fontId="33" fillId="10" borderId="9" xfId="0" applyFont="1" applyFill="1" applyBorder="1" applyAlignment="1">
      <alignment vertical="center" wrapText="1"/>
    </xf>
    <xf numFmtId="0" fontId="33" fillId="0" borderId="9" xfId="0" applyFont="1" applyBorder="1" applyAlignment="1">
      <alignment vertical="center" wrapText="1"/>
    </xf>
    <xf numFmtId="0" fontId="33" fillId="0" borderId="4" xfId="0" applyFont="1" applyBorder="1" applyAlignment="1">
      <alignment vertical="center" wrapText="1"/>
    </xf>
    <xf numFmtId="0" fontId="33" fillId="0" borderId="10" xfId="0" applyFont="1" applyBorder="1" applyAlignment="1">
      <alignment vertical="center" wrapText="1"/>
    </xf>
    <xf numFmtId="0" fontId="33" fillId="0" borderId="6" xfId="0" applyFont="1" applyBorder="1" applyAlignment="1">
      <alignment vertical="center" wrapText="1"/>
    </xf>
    <xf numFmtId="0" fontId="33" fillId="9" borderId="9" xfId="0" applyFont="1" applyFill="1" applyBorder="1" applyAlignment="1">
      <alignment horizontal="center" vertical="center" wrapText="1"/>
    </xf>
    <xf numFmtId="0" fontId="33" fillId="10" borderId="9" xfId="0" applyFont="1" applyFill="1" applyBorder="1" applyAlignment="1">
      <alignment horizontal="center" vertical="center" wrapText="1"/>
    </xf>
    <xf numFmtId="0" fontId="33" fillId="17" borderId="9" xfId="0" applyFont="1" applyFill="1" applyBorder="1" applyAlignment="1">
      <alignment horizontal="center" vertical="center" wrapText="1"/>
    </xf>
    <xf numFmtId="0" fontId="33" fillId="0" borderId="9" xfId="0" applyFont="1" applyBorder="1" applyAlignment="1">
      <alignment horizontal="center" vertical="center" wrapText="1"/>
    </xf>
    <xf numFmtId="0" fontId="10" fillId="0" borderId="12" xfId="0" applyFont="1" applyBorder="1" applyAlignment="1">
      <alignment horizontal="center" vertical="center"/>
    </xf>
    <xf numFmtId="0" fontId="10" fillId="0" borderId="11" xfId="0" applyFont="1" applyBorder="1" applyAlignment="1">
      <alignment horizontal="center" vertical="center"/>
    </xf>
    <xf numFmtId="0" fontId="25" fillId="0" borderId="12" xfId="0" applyFont="1" applyBorder="1" applyAlignment="1">
      <alignment horizontal="center" vertical="center" wrapText="1"/>
    </xf>
    <xf numFmtId="0" fontId="10" fillId="0" borderId="12" xfId="0" applyFont="1" applyBorder="1" applyAlignment="1">
      <alignment horizontal="center" vertical="center" wrapText="1"/>
    </xf>
    <xf numFmtId="0" fontId="13" fillId="0" borderId="12" xfId="0" applyFont="1" applyBorder="1" applyAlignment="1">
      <alignment horizontal="center" vertical="center" wrapText="1"/>
    </xf>
    <xf numFmtId="0" fontId="10" fillId="0" borderId="14" xfId="0" applyFont="1" applyBorder="1" applyAlignment="1">
      <alignment horizontal="center" vertical="center"/>
    </xf>
    <xf numFmtId="0" fontId="34" fillId="4" borderId="1" xfId="0" applyFont="1" applyFill="1" applyBorder="1" applyAlignment="1">
      <alignment horizontal="center" vertical="center" wrapText="1"/>
    </xf>
    <xf numFmtId="0" fontId="34" fillId="5" borderId="1" xfId="0" applyFont="1" applyFill="1" applyBorder="1" applyAlignment="1">
      <alignment horizontal="center" vertical="center" wrapText="1"/>
    </xf>
    <xf numFmtId="0" fontId="10" fillId="7" borderId="11" xfId="0" applyFont="1" applyFill="1" applyBorder="1" applyAlignment="1">
      <alignment horizontal="center" vertical="center"/>
    </xf>
    <xf numFmtId="0" fontId="11" fillId="0" borderId="11" xfId="0" applyFont="1" applyBorder="1" applyAlignment="1">
      <alignment horizontal="center" vertical="center"/>
    </xf>
    <xf numFmtId="0" fontId="13" fillId="0" borderId="9" xfId="0" applyFont="1" applyBorder="1" applyAlignment="1">
      <alignment vertical="center"/>
    </xf>
    <xf numFmtId="0" fontId="13" fillId="0" borderId="9" xfId="0" applyFont="1" applyBorder="1" applyAlignment="1">
      <alignment vertical="center" wrapText="1"/>
    </xf>
    <xf numFmtId="0" fontId="13" fillId="0" borderId="9" xfId="0" applyFont="1" applyBorder="1" applyAlignment="1">
      <alignment horizontal="left" vertical="center" wrapText="1"/>
    </xf>
    <xf numFmtId="0" fontId="35" fillId="0" borderId="13" xfId="0" applyFont="1" applyBorder="1" applyAlignment="1">
      <alignment vertical="center" wrapText="1"/>
    </xf>
    <xf numFmtId="0" fontId="35" fillId="0" borderId="12" xfId="0" applyFont="1" applyBorder="1" applyAlignment="1">
      <alignment horizontal="center" vertical="center" wrapText="1"/>
    </xf>
    <xf numFmtId="0" fontId="35" fillId="0" borderId="0" xfId="0" applyFont="1"/>
    <xf numFmtId="0" fontId="36" fillId="0" borderId="12" xfId="0" applyFont="1" applyBorder="1" applyAlignment="1">
      <alignment horizontal="center" vertical="center"/>
    </xf>
    <xf numFmtId="0" fontId="36" fillId="0" borderId="12" xfId="0" applyFont="1" applyBorder="1" applyAlignment="1">
      <alignment horizontal="center" vertical="center" wrapText="1"/>
    </xf>
    <xf numFmtId="0" fontId="35" fillId="0" borderId="0" xfId="0" applyFont="1" applyAlignment="1">
      <alignment horizontal="center" vertical="center"/>
    </xf>
    <xf numFmtId="0" fontId="35" fillId="0" borderId="12" xfId="0" applyFont="1" applyBorder="1" applyAlignment="1">
      <alignment horizontal="center" vertical="center"/>
    </xf>
    <xf numFmtId="0" fontId="35" fillId="0" borderId="12" xfId="0" applyFont="1" applyBorder="1" applyAlignment="1">
      <alignment horizontal="left" vertical="center" wrapText="1"/>
    </xf>
    <xf numFmtId="0" fontId="36" fillId="0" borderId="11" xfId="0" applyFont="1" applyBorder="1" applyAlignment="1">
      <alignment horizontal="center" vertical="center"/>
    </xf>
    <xf numFmtId="0" fontId="35" fillId="0" borderId="11" xfId="0" applyFont="1" applyBorder="1"/>
    <xf numFmtId="0" fontId="35" fillId="0" borderId="11" xfId="0" applyFont="1" applyBorder="1" applyAlignment="1">
      <alignment horizontal="center" vertical="center"/>
    </xf>
    <xf numFmtId="0" fontId="35" fillId="0" borderId="1" xfId="0" applyFont="1" applyBorder="1" applyAlignment="1">
      <alignment horizontal="center" vertical="center"/>
    </xf>
    <xf numFmtId="0" fontId="36" fillId="0" borderId="1" xfId="0" applyFont="1" applyBorder="1" applyAlignment="1">
      <alignment horizontal="center" vertical="center"/>
    </xf>
    <xf numFmtId="0" fontId="35" fillId="6" borderId="1" xfId="0" applyFont="1" applyFill="1" applyBorder="1" applyAlignment="1">
      <alignment horizontal="center" vertical="center"/>
    </xf>
    <xf numFmtId="0" fontId="34" fillId="6" borderId="1"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34" fillId="6" borderId="1" xfId="0" applyFont="1" applyFill="1" applyBorder="1" applyAlignment="1">
      <alignment horizontal="center" vertical="center"/>
    </xf>
    <xf numFmtId="0" fontId="34" fillId="3" borderId="1" xfId="0" applyFont="1" applyFill="1" applyBorder="1" applyAlignment="1">
      <alignment horizontal="center" vertical="center"/>
    </xf>
    <xf numFmtId="0" fontId="41" fillId="3" borderId="1" xfId="0" applyFont="1" applyFill="1" applyBorder="1" applyAlignment="1">
      <alignment horizontal="center" vertical="center"/>
    </xf>
    <xf numFmtId="0" fontId="34" fillId="5" borderId="1" xfId="0" applyFont="1" applyFill="1" applyBorder="1" applyAlignment="1">
      <alignment horizontal="center" vertical="center"/>
    </xf>
    <xf numFmtId="0" fontId="34" fillId="4" borderId="1" xfId="0" applyFont="1" applyFill="1" applyBorder="1" applyAlignment="1">
      <alignment horizontal="center" vertical="center"/>
    </xf>
    <xf numFmtId="0" fontId="42" fillId="4" borderId="1" xfId="0" applyFont="1" applyFill="1" applyBorder="1" applyAlignment="1">
      <alignment horizontal="center" vertical="center" wrapText="1"/>
    </xf>
    <xf numFmtId="0" fontId="42" fillId="4" borderId="1" xfId="0" applyFont="1" applyFill="1" applyBorder="1" applyAlignment="1">
      <alignment horizontal="center" vertical="center"/>
    </xf>
    <xf numFmtId="0" fontId="42" fillId="5" borderId="1" xfId="0" applyFont="1" applyFill="1" applyBorder="1" applyAlignment="1">
      <alignment horizontal="center" vertical="center"/>
    </xf>
    <xf numFmtId="0" fontId="42" fillId="5" borderId="1" xfId="0" applyFont="1" applyFill="1" applyBorder="1" applyAlignment="1">
      <alignment horizontal="center" vertical="center" wrapText="1"/>
    </xf>
    <xf numFmtId="0" fontId="43" fillId="19" borderId="1" xfId="0" applyFont="1" applyFill="1" applyBorder="1" applyAlignment="1">
      <alignment horizontal="center" vertical="center"/>
    </xf>
    <xf numFmtId="0" fontId="44" fillId="19" borderId="1" xfId="0" applyFont="1" applyFill="1" applyBorder="1" applyAlignment="1">
      <alignment horizontal="center" vertical="center"/>
    </xf>
    <xf numFmtId="0" fontId="47" fillId="21" borderId="15" xfId="0" applyFont="1" applyFill="1" applyBorder="1" applyAlignment="1">
      <alignment horizontal="center" vertical="center" wrapText="1"/>
    </xf>
    <xf numFmtId="0" fontId="47" fillId="21" borderId="16" xfId="0" applyFont="1" applyFill="1" applyBorder="1" applyAlignment="1">
      <alignment horizontal="center" vertical="center" wrapText="1"/>
    </xf>
    <xf numFmtId="0" fontId="47" fillId="21" borderId="17" xfId="0" applyFont="1" applyFill="1" applyBorder="1" applyAlignment="1">
      <alignment horizontal="center" vertical="center" wrapText="1"/>
    </xf>
    <xf numFmtId="0" fontId="45" fillId="0" borderId="18" xfId="0" applyFont="1" applyBorder="1" applyAlignment="1">
      <alignment wrapText="1"/>
    </xf>
    <xf numFmtId="0" fontId="45" fillId="0" borderId="19" xfId="0" applyFont="1" applyBorder="1" applyAlignment="1">
      <alignment wrapText="1"/>
    </xf>
    <xf numFmtId="0" fontId="45" fillId="0" borderId="20" xfId="0" applyFont="1" applyBorder="1" applyAlignment="1">
      <alignment wrapText="1"/>
    </xf>
    <xf numFmtId="0" fontId="45" fillId="0" borderId="21" xfId="0" applyFont="1" applyBorder="1" applyAlignment="1">
      <alignment wrapText="1"/>
    </xf>
    <xf numFmtId="0" fontId="45" fillId="0" borderId="0" xfId="0" applyFont="1" applyAlignment="1">
      <alignment wrapText="1"/>
    </xf>
    <xf numFmtId="0" fontId="45" fillId="0" borderId="22" xfId="0" applyFont="1" applyBorder="1" applyAlignment="1">
      <alignment wrapText="1"/>
    </xf>
    <xf numFmtId="0" fontId="45" fillId="0" borderId="23" xfId="0" applyFont="1" applyBorder="1" applyAlignment="1">
      <alignment wrapText="1"/>
    </xf>
    <xf numFmtId="0" fontId="45" fillId="0" borderId="24" xfId="0" applyFont="1" applyBorder="1" applyAlignment="1">
      <alignment wrapText="1"/>
    </xf>
    <xf numFmtId="0" fontId="45" fillId="0" borderId="25" xfId="0" applyFont="1" applyBorder="1" applyAlignment="1">
      <alignment wrapText="1"/>
    </xf>
    <xf numFmtId="0" fontId="47" fillId="22" borderId="0" xfId="0" applyFont="1" applyFill="1" applyAlignment="1">
      <alignment horizontal="center" vertical="center"/>
    </xf>
    <xf numFmtId="0" fontId="45" fillId="0" borderId="0" xfId="0" applyFont="1"/>
    <xf numFmtId="0" fontId="47" fillId="22" borderId="29" xfId="0" applyFont="1" applyFill="1" applyBorder="1" applyAlignment="1">
      <alignment horizontal="center" vertical="center" wrapText="1"/>
    </xf>
    <xf numFmtId="0" fontId="47" fillId="22" borderId="30" xfId="0" applyFont="1" applyFill="1" applyBorder="1" applyAlignment="1">
      <alignment horizontal="center" vertical="center" wrapText="1"/>
    </xf>
    <xf numFmtId="0" fontId="47" fillId="22" borderId="31" xfId="0" applyFont="1" applyFill="1" applyBorder="1" applyAlignment="1">
      <alignment horizontal="center" vertical="center" wrapText="1"/>
    </xf>
    <xf numFmtId="0" fontId="36" fillId="23" borderId="1" xfId="0" applyFont="1" applyFill="1" applyBorder="1" applyAlignment="1">
      <alignment horizontal="center" vertical="center"/>
    </xf>
    <xf numFmtId="0" fontId="3" fillId="23" borderId="1" xfId="0" applyFont="1" applyFill="1" applyBorder="1" applyAlignment="1">
      <alignment horizontal="center" vertical="center"/>
    </xf>
    <xf numFmtId="0" fontId="10" fillId="23" borderId="0" xfId="0" applyFont="1" applyFill="1"/>
    <xf numFmtId="0" fontId="39" fillId="25" borderId="0" xfId="0" applyFont="1" applyFill="1"/>
    <xf numFmtId="0" fontId="37" fillId="24" borderId="0" xfId="0" applyFont="1" applyFill="1"/>
    <xf numFmtId="0" fontId="47" fillId="22" borderId="0" xfId="0" applyFont="1" applyFill="1" applyAlignment="1">
      <alignment horizontal="center" wrapText="1"/>
    </xf>
    <xf numFmtId="0" fontId="8" fillId="0" borderId="12" xfId="0" applyFont="1" applyBorder="1" applyAlignment="1">
      <alignment horizontal="center" vertical="center" wrapText="1"/>
    </xf>
    <xf numFmtId="0" fontId="48" fillId="4" borderId="1" xfId="0" applyFont="1" applyFill="1" applyBorder="1" applyAlignment="1">
      <alignment horizontal="center" vertical="center" wrapText="1"/>
    </xf>
    <xf numFmtId="0" fontId="48" fillId="5" borderId="1" xfId="0" applyFont="1" applyFill="1" applyBorder="1" applyAlignment="1">
      <alignment horizontal="center" vertical="center" wrapText="1"/>
    </xf>
    <xf numFmtId="0" fontId="40" fillId="27" borderId="1" xfId="0" applyFont="1" applyFill="1" applyBorder="1" applyAlignment="1">
      <alignment horizontal="center" vertical="center" wrapText="1"/>
    </xf>
    <xf numFmtId="0" fontId="26" fillId="27" borderId="1" xfId="0" applyFont="1" applyFill="1" applyBorder="1" applyAlignment="1">
      <alignment horizontal="center" vertical="center" wrapText="1"/>
    </xf>
    <xf numFmtId="0" fontId="38" fillId="27" borderId="1" xfId="0" applyFont="1" applyFill="1" applyBorder="1" applyAlignment="1">
      <alignment horizontal="center" vertical="center" wrapText="1"/>
    </xf>
    <xf numFmtId="0" fontId="25" fillId="27" borderId="1" xfId="0" applyFont="1" applyFill="1" applyBorder="1" applyAlignment="1">
      <alignment horizontal="center" vertical="center" wrapText="1"/>
    </xf>
    <xf numFmtId="0" fontId="39" fillId="27" borderId="1" xfId="0" applyFont="1" applyFill="1" applyBorder="1" applyAlignment="1">
      <alignment horizontal="center" vertical="center" wrapText="1"/>
    </xf>
    <xf numFmtId="0" fontId="40" fillId="28" borderId="1" xfId="0" applyFont="1" applyFill="1" applyBorder="1" applyAlignment="1">
      <alignment horizontal="center" vertical="center" wrapText="1"/>
    </xf>
    <xf numFmtId="0" fontId="38" fillId="28" borderId="1" xfId="0" applyFont="1" applyFill="1" applyBorder="1" applyAlignment="1">
      <alignment horizontal="center" vertical="center" wrapText="1"/>
    </xf>
    <xf numFmtId="0" fontId="37" fillId="29" borderId="1" xfId="0" applyFont="1" applyFill="1" applyBorder="1" applyAlignment="1">
      <alignment horizontal="center" vertical="center" wrapText="1"/>
    </xf>
    <xf numFmtId="0" fontId="39" fillId="30" borderId="1" xfId="0" applyFont="1" applyFill="1" applyBorder="1" applyAlignment="1">
      <alignment horizontal="center" vertical="center" wrapText="1"/>
    </xf>
    <xf numFmtId="0" fontId="39" fillId="29" borderId="1" xfId="0" applyFont="1" applyFill="1" applyBorder="1" applyAlignment="1">
      <alignment horizontal="center" vertical="center" wrapText="1"/>
    </xf>
    <xf numFmtId="0" fontId="37" fillId="28" borderId="1" xfId="0" applyFont="1" applyFill="1" applyBorder="1" applyAlignment="1">
      <alignment horizontal="center" vertical="center" wrapText="1"/>
    </xf>
    <xf numFmtId="0" fontId="37" fillId="30" borderId="1" xfId="0" applyFont="1" applyFill="1" applyBorder="1" applyAlignment="1">
      <alignment horizontal="center" vertical="center" wrapText="1"/>
    </xf>
    <xf numFmtId="0" fontId="38" fillId="30" borderId="1" xfId="0" applyFont="1" applyFill="1" applyBorder="1" applyAlignment="1">
      <alignment horizontal="center" vertical="center" wrapText="1"/>
    </xf>
    <xf numFmtId="0" fontId="26" fillId="28" borderId="1" xfId="0" applyFont="1" applyFill="1" applyBorder="1" applyAlignment="1">
      <alignment horizontal="center" vertical="center" wrapText="1"/>
    </xf>
    <xf numFmtId="0" fontId="39" fillId="28" borderId="1" xfId="0" applyFont="1" applyFill="1" applyBorder="1" applyAlignment="1">
      <alignment horizontal="center" vertical="center" wrapText="1"/>
    </xf>
    <xf numFmtId="0" fontId="49" fillId="31" borderId="1" xfId="0" applyFont="1" applyFill="1" applyBorder="1" applyAlignment="1">
      <alignment horizontal="center" vertical="center" wrapText="1"/>
    </xf>
    <xf numFmtId="0" fontId="50" fillId="0" borderId="12" xfId="0" applyFont="1" applyBorder="1" applyAlignment="1">
      <alignment horizontal="center" vertical="center" wrapText="1"/>
    </xf>
    <xf numFmtId="0" fontId="4" fillId="31" borderId="1" xfId="0" applyFont="1" applyFill="1" applyBorder="1" applyAlignment="1">
      <alignment horizontal="center" vertical="center" wrapText="1"/>
    </xf>
    <xf numFmtId="0" fontId="34" fillId="31" borderId="1" xfId="0" applyFont="1" applyFill="1" applyBorder="1" applyAlignment="1">
      <alignment horizontal="center" vertical="center" wrapText="1"/>
    </xf>
    <xf numFmtId="1" fontId="36" fillId="31" borderId="1" xfId="0" applyNumberFormat="1" applyFont="1" applyFill="1" applyBorder="1" applyAlignment="1">
      <alignment horizontal="center" vertical="center"/>
    </xf>
    <xf numFmtId="1" fontId="2" fillId="32" borderId="0" xfId="0" applyNumberFormat="1" applyFont="1" applyFill="1" applyAlignment="1">
      <alignment horizontal="center" vertical="center"/>
    </xf>
    <xf numFmtId="0" fontId="4" fillId="31" borderId="1" xfId="0" applyFont="1" applyFill="1" applyBorder="1" applyAlignment="1">
      <alignment horizontal="center" vertical="center"/>
    </xf>
    <xf numFmtId="0" fontId="8" fillId="0" borderId="12" xfId="0" applyFont="1" applyBorder="1" applyAlignment="1">
      <alignment horizontal="center" vertical="center"/>
    </xf>
    <xf numFmtId="0" fontId="51" fillId="33" borderId="1" xfId="0" applyFont="1" applyFill="1" applyBorder="1" applyAlignment="1">
      <alignment horizontal="center" vertical="center" wrapText="1"/>
    </xf>
    <xf numFmtId="0" fontId="52" fillId="33" borderId="1" xfId="0" applyFont="1" applyFill="1" applyBorder="1" applyAlignment="1">
      <alignment horizontal="center" vertical="center" wrapText="1"/>
    </xf>
    <xf numFmtId="0" fontId="53" fillId="33" borderId="1" xfId="0" applyFont="1" applyFill="1" applyBorder="1" applyAlignment="1">
      <alignment horizontal="center" vertical="center" wrapText="1"/>
    </xf>
    <xf numFmtId="0" fontId="54" fillId="33" borderId="1" xfId="0" applyFont="1" applyFill="1" applyBorder="1" applyAlignment="1">
      <alignment horizontal="center" vertical="center"/>
    </xf>
    <xf numFmtId="0" fontId="53" fillId="33" borderId="1" xfId="0" applyFont="1" applyFill="1" applyBorder="1" applyAlignment="1">
      <alignment horizontal="center" vertical="center"/>
    </xf>
    <xf numFmtId="0" fontId="51" fillId="33" borderId="1" xfId="0" applyFont="1" applyFill="1" applyBorder="1" applyAlignment="1">
      <alignment horizontal="center" vertical="center"/>
    </xf>
    <xf numFmtId="0" fontId="9" fillId="0" borderId="32" xfId="0" applyFont="1" applyBorder="1" applyAlignment="1">
      <alignment vertical="center" wrapText="1"/>
    </xf>
    <xf numFmtId="0" fontId="53" fillId="34" borderId="1" xfId="0" applyFont="1" applyFill="1" applyBorder="1" applyAlignment="1">
      <alignment horizontal="left" vertical="center" wrapText="1"/>
    </xf>
    <xf numFmtId="0" fontId="51" fillId="34" borderId="1" xfId="0" applyFont="1" applyFill="1" applyBorder="1" applyAlignment="1">
      <alignment horizontal="center" vertical="center"/>
    </xf>
    <xf numFmtId="164" fontId="51" fillId="34" borderId="1" xfId="0" applyNumberFormat="1" applyFont="1" applyFill="1" applyBorder="1" applyAlignment="1">
      <alignment horizontal="center" vertical="center"/>
    </xf>
    <xf numFmtId="0" fontId="55" fillId="34" borderId="0" xfId="0" applyFont="1" applyFill="1" applyAlignment="1">
      <alignment wrapText="1"/>
    </xf>
    <xf numFmtId="0" fontId="55" fillId="34" borderId="22" xfId="0" applyFont="1" applyFill="1" applyBorder="1" applyAlignment="1">
      <alignment wrapText="1"/>
    </xf>
    <xf numFmtId="0" fontId="10" fillId="35" borderId="32" xfId="0" applyFont="1" applyFill="1" applyBorder="1" applyAlignment="1">
      <alignment horizontal="center" vertical="center" wrapText="1"/>
    </xf>
    <xf numFmtId="0" fontId="55" fillId="37" borderId="22" xfId="0" applyFont="1" applyFill="1" applyBorder="1" applyAlignment="1">
      <alignment wrapText="1"/>
    </xf>
    <xf numFmtId="0" fontId="0" fillId="0" borderId="32" xfId="0" applyBorder="1" applyAlignment="1">
      <alignment wrapText="1"/>
    </xf>
    <xf numFmtId="0" fontId="58" fillId="0" borderId="12" xfId="0" applyFont="1" applyBorder="1" applyAlignment="1">
      <alignment horizontal="center" vertical="center" wrapText="1"/>
    </xf>
    <xf numFmtId="0" fontId="59" fillId="0" borderId="9" xfId="0" applyFont="1" applyBorder="1" applyAlignment="1">
      <alignment horizontal="center" vertical="center"/>
    </xf>
    <xf numFmtId="0" fontId="5" fillId="0" borderId="33" xfId="0" applyFont="1" applyBorder="1" applyAlignment="1">
      <alignment horizontal="center" vertical="center" wrapText="1"/>
    </xf>
    <xf numFmtId="0" fontId="46" fillId="38" borderId="34" xfId="0" applyFont="1" applyFill="1" applyBorder="1" applyAlignment="1">
      <alignment horizontal="center" vertical="center" wrapText="1"/>
    </xf>
    <xf numFmtId="0" fontId="46" fillId="38" borderId="35" xfId="0" applyFont="1" applyFill="1" applyBorder="1" applyAlignment="1">
      <alignment horizontal="center" vertical="center" wrapText="1"/>
    </xf>
    <xf numFmtId="0" fontId="46" fillId="38" borderId="36" xfId="0" applyFont="1" applyFill="1" applyBorder="1" applyAlignment="1">
      <alignment horizontal="center" vertical="center" wrapText="1"/>
    </xf>
    <xf numFmtId="0" fontId="45" fillId="0" borderId="38" xfId="0" applyFont="1" applyBorder="1" applyAlignment="1">
      <alignment vertical="center" wrapText="1"/>
    </xf>
    <xf numFmtId="0" fontId="45" fillId="0" borderId="0" xfId="0" applyFont="1" applyAlignment="1">
      <alignment vertical="center" wrapText="1"/>
    </xf>
    <xf numFmtId="0" fontId="45" fillId="0" borderId="43" xfId="0" applyFont="1" applyBorder="1" applyAlignment="1">
      <alignment vertical="center" wrapText="1"/>
    </xf>
    <xf numFmtId="0" fontId="45" fillId="0" borderId="37" xfId="0" applyFont="1" applyBorder="1" applyAlignment="1">
      <alignment horizontal="center" vertical="center" wrapText="1"/>
    </xf>
    <xf numFmtId="0" fontId="45" fillId="0" borderId="40" xfId="0" applyFont="1" applyBorder="1" applyAlignment="1">
      <alignment horizontal="center" vertical="center" wrapText="1"/>
    </xf>
    <xf numFmtId="0" fontId="45" fillId="0" borderId="42" xfId="0" applyFont="1" applyBorder="1" applyAlignment="1">
      <alignment horizontal="center" vertical="center" wrapText="1"/>
    </xf>
    <xf numFmtId="0" fontId="45" fillId="0" borderId="38" xfId="0" applyFont="1" applyBorder="1" applyAlignment="1">
      <alignment horizontal="center" vertical="center" wrapText="1"/>
    </xf>
    <xf numFmtId="0" fontId="45" fillId="0" borderId="0" xfId="0" applyFont="1" applyAlignment="1">
      <alignment horizontal="center" vertical="center" wrapText="1"/>
    </xf>
    <xf numFmtId="0" fontId="45" fillId="0" borderId="43" xfId="0" applyFont="1" applyBorder="1" applyAlignment="1">
      <alignment horizontal="center" vertical="center" wrapText="1"/>
    </xf>
    <xf numFmtId="0" fontId="45" fillId="0" borderId="39" xfId="0" applyFont="1" applyBorder="1" applyAlignment="1">
      <alignment horizontal="center" vertical="center" wrapText="1"/>
    </xf>
    <xf numFmtId="0" fontId="45" fillId="0" borderId="41" xfId="0" applyFont="1" applyBorder="1" applyAlignment="1">
      <alignment horizontal="center" vertical="center" wrapText="1"/>
    </xf>
    <xf numFmtId="0" fontId="45" fillId="0" borderId="44" xfId="0" applyFont="1" applyBorder="1" applyAlignment="1">
      <alignment horizontal="center" vertical="center" wrapText="1"/>
    </xf>
    <xf numFmtId="0" fontId="8" fillId="40" borderId="12" xfId="0" applyFont="1" applyFill="1" applyBorder="1" applyAlignment="1">
      <alignment horizontal="left" vertical="center" wrapText="1"/>
    </xf>
    <xf numFmtId="0" fontId="26" fillId="40" borderId="1" xfId="0" applyFont="1" applyFill="1" applyBorder="1" applyAlignment="1">
      <alignment horizontal="center" vertical="center" wrapText="1"/>
    </xf>
    <xf numFmtId="0" fontId="51" fillId="40" borderId="1" xfId="0" applyFont="1" applyFill="1" applyBorder="1" applyAlignment="1">
      <alignment horizontal="center" vertical="center" wrapText="1"/>
    </xf>
    <xf numFmtId="0" fontId="64" fillId="40" borderId="1" xfId="0" applyFont="1" applyFill="1" applyBorder="1" applyAlignment="1">
      <alignment horizontal="center" vertical="center" wrapText="1"/>
    </xf>
    <xf numFmtId="0" fontId="65" fillId="40" borderId="1" xfId="0" applyFont="1" applyFill="1" applyBorder="1" applyAlignment="1">
      <alignment horizontal="center" vertical="center" wrapText="1"/>
    </xf>
    <xf numFmtId="0" fontId="68" fillId="0" borderId="1" xfId="0" applyFont="1" applyBorder="1" applyAlignment="1">
      <alignment horizontal="center" vertical="center" wrapText="1"/>
    </xf>
    <xf numFmtId="0" fontId="69" fillId="41" borderId="1" xfId="0" applyFont="1" applyFill="1" applyBorder="1" applyAlignment="1">
      <alignment horizontal="center" vertical="center" wrapText="1"/>
    </xf>
    <xf numFmtId="0" fontId="70" fillId="0" borderId="12" xfId="0" applyFont="1" applyBorder="1" applyAlignment="1">
      <alignment horizontal="center" vertical="center" wrapText="1"/>
    </xf>
    <xf numFmtId="0" fontId="71" fillId="0" borderId="12" xfId="0" applyFont="1" applyBorder="1" applyAlignment="1">
      <alignment horizontal="center" vertical="center" wrapText="1"/>
    </xf>
    <xf numFmtId="0" fontId="74" fillId="0" borderId="0" xfId="0" applyFont="1"/>
    <xf numFmtId="0" fontId="74" fillId="0" borderId="30" xfId="0" applyFont="1" applyBorder="1" applyAlignment="1">
      <alignment horizontal="center" vertical="center"/>
    </xf>
    <xf numFmtId="0" fontId="76" fillId="17" borderId="12" xfId="0" applyFont="1" applyFill="1" applyBorder="1" applyAlignment="1">
      <alignment horizontal="center" vertical="center" wrapText="1"/>
    </xf>
    <xf numFmtId="0" fontId="76" fillId="17" borderId="15" xfId="0" applyFont="1" applyFill="1" applyBorder="1" applyAlignment="1">
      <alignment horizontal="center" vertical="center" wrapText="1"/>
    </xf>
    <xf numFmtId="0" fontId="66" fillId="17" borderId="12" xfId="0" applyFont="1" applyFill="1" applyBorder="1" applyAlignment="1">
      <alignment horizontal="center" vertical="center" wrapText="1"/>
    </xf>
    <xf numFmtId="0" fontId="66" fillId="17" borderId="12" xfId="0" applyFont="1" applyFill="1" applyBorder="1" applyAlignment="1">
      <alignment vertical="center" wrapText="1"/>
    </xf>
    <xf numFmtId="0" fontId="66" fillId="17" borderId="15" xfId="1" applyFont="1" applyFill="1" applyBorder="1" applyAlignment="1">
      <alignment horizontal="center" vertical="center"/>
    </xf>
    <xf numFmtId="0" fontId="66" fillId="17" borderId="15" xfId="0" applyFont="1" applyFill="1" applyBorder="1" applyAlignment="1">
      <alignment horizontal="center" vertical="center" wrapText="1"/>
    </xf>
    <xf numFmtId="0" fontId="72" fillId="17" borderId="12" xfId="0" applyFont="1" applyFill="1" applyBorder="1" applyAlignment="1">
      <alignment horizontal="center" vertical="center" wrapText="1"/>
    </xf>
    <xf numFmtId="0" fontId="66" fillId="17" borderId="12" xfId="0" applyFont="1" applyFill="1" applyBorder="1" applyAlignment="1">
      <alignment vertical="center"/>
    </xf>
    <xf numFmtId="0" fontId="72" fillId="17" borderId="12" xfId="0" applyFont="1" applyFill="1" applyBorder="1" applyAlignment="1">
      <alignment horizontal="center" vertical="center"/>
    </xf>
    <xf numFmtId="0" fontId="67" fillId="17" borderId="12" xfId="0" applyFont="1" applyFill="1" applyBorder="1" applyAlignment="1">
      <alignment horizontal="center" vertical="center" wrapText="1"/>
    </xf>
    <xf numFmtId="0" fontId="67" fillId="17" borderId="12" xfId="0" applyFont="1" applyFill="1" applyBorder="1" applyAlignment="1">
      <alignment vertical="center" wrapText="1"/>
    </xf>
    <xf numFmtId="0" fontId="67" fillId="17" borderId="15" xfId="1" applyFont="1" applyFill="1" applyBorder="1" applyAlignment="1">
      <alignment horizontal="center" vertical="center"/>
    </xf>
    <xf numFmtId="0" fontId="67" fillId="17" borderId="15" xfId="0" applyFont="1" applyFill="1" applyBorder="1" applyAlignment="1">
      <alignment horizontal="center" vertical="center" wrapText="1"/>
    </xf>
    <xf numFmtId="0" fontId="72" fillId="17" borderId="12" xfId="0" applyFont="1" applyFill="1" applyBorder="1"/>
    <xf numFmtId="0" fontId="72" fillId="17" borderId="12" xfId="0" applyFont="1" applyFill="1" applyBorder="1" applyAlignment="1">
      <alignment horizontal="center"/>
    </xf>
    <xf numFmtId="0" fontId="66" fillId="14" borderId="12" xfId="0" applyFont="1" applyFill="1" applyBorder="1" applyAlignment="1">
      <alignment horizontal="center" vertical="center" wrapText="1"/>
    </xf>
    <xf numFmtId="0" fontId="66" fillId="14" borderId="12" xfId="0" applyFont="1" applyFill="1" applyBorder="1" applyAlignment="1">
      <alignment vertical="center" wrapText="1"/>
    </xf>
    <xf numFmtId="0" fontId="66" fillId="14" borderId="15" xfId="0" applyFont="1" applyFill="1" applyBorder="1" applyAlignment="1">
      <alignment horizontal="center" vertical="center" wrapText="1"/>
    </xf>
    <xf numFmtId="0" fontId="67" fillId="14" borderId="15" xfId="0" applyFont="1" applyFill="1" applyBorder="1" applyAlignment="1">
      <alignment horizontal="center" vertical="center" wrapText="1"/>
    </xf>
    <xf numFmtId="0" fontId="72" fillId="14" borderId="12" xfId="0" applyFont="1" applyFill="1" applyBorder="1" applyAlignment="1">
      <alignment horizontal="center"/>
    </xf>
    <xf numFmtId="0" fontId="66" fillId="14" borderId="12" xfId="0" applyFont="1" applyFill="1" applyBorder="1" applyAlignment="1">
      <alignment horizontal="left" vertical="center" wrapText="1"/>
    </xf>
    <xf numFmtId="0" fontId="66" fillId="14" borderId="15" xfId="0" applyFont="1" applyFill="1" applyBorder="1" applyAlignment="1">
      <alignment horizontal="center" vertical="center"/>
    </xf>
    <xf numFmtId="0" fontId="66" fillId="14" borderId="12" xfId="0" applyFont="1" applyFill="1" applyBorder="1" applyAlignment="1">
      <alignment vertical="center"/>
    </xf>
    <xf numFmtId="0" fontId="66" fillId="15" borderId="12" xfId="0" applyFont="1" applyFill="1" applyBorder="1" applyAlignment="1">
      <alignment horizontal="center" vertical="center" wrapText="1"/>
    </xf>
    <xf numFmtId="0" fontId="66" fillId="15" borderId="12" xfId="0" applyFont="1" applyFill="1" applyBorder="1" applyAlignment="1">
      <alignment vertical="center"/>
    </xf>
    <xf numFmtId="0" fontId="66" fillId="15" borderId="15" xfId="0" applyFont="1" applyFill="1" applyBorder="1" applyAlignment="1">
      <alignment horizontal="center" vertical="center" wrapText="1"/>
    </xf>
    <xf numFmtId="0" fontId="72" fillId="15" borderId="12" xfId="0" applyFont="1" applyFill="1" applyBorder="1" applyAlignment="1">
      <alignment horizontal="center"/>
    </xf>
    <xf numFmtId="0" fontId="66" fillId="15" borderId="12" xfId="0" applyFont="1" applyFill="1" applyBorder="1" applyAlignment="1">
      <alignment vertical="center" wrapText="1"/>
    </xf>
    <xf numFmtId="0" fontId="66" fillId="15" borderId="15" xfId="0" applyFont="1" applyFill="1" applyBorder="1" applyAlignment="1">
      <alignment horizontal="center" vertical="center"/>
    </xf>
    <xf numFmtId="0" fontId="67" fillId="15" borderId="15" xfId="0" applyFont="1" applyFill="1" applyBorder="1" applyAlignment="1">
      <alignment horizontal="center" vertical="center" wrapText="1"/>
    </xf>
    <xf numFmtId="0" fontId="0" fillId="0" borderId="0" xfId="0" applyAlignment="1">
      <alignment horizontal="center"/>
    </xf>
    <xf numFmtId="0" fontId="74" fillId="0" borderId="0" xfId="0" applyFont="1" applyAlignment="1">
      <alignment horizontal="center"/>
    </xf>
    <xf numFmtId="0" fontId="77" fillId="30" borderId="1" xfId="0" applyFont="1" applyFill="1" applyBorder="1" applyAlignment="1">
      <alignment horizontal="center" vertical="center" wrapText="1"/>
    </xf>
    <xf numFmtId="0" fontId="78" fillId="29" borderId="1" xfId="0" applyFont="1" applyFill="1" applyBorder="1" applyAlignment="1">
      <alignment horizontal="center" vertical="center" wrapText="1"/>
    </xf>
    <xf numFmtId="0" fontId="79" fillId="27" borderId="1" xfId="0" applyFont="1" applyFill="1" applyBorder="1" applyAlignment="1">
      <alignment horizontal="center" vertical="center" wrapText="1"/>
    </xf>
    <xf numFmtId="0" fontId="80" fillId="28" borderId="1" xfId="0" applyFont="1" applyFill="1" applyBorder="1" applyAlignment="1">
      <alignment horizontal="center" vertical="center" wrapText="1"/>
    </xf>
    <xf numFmtId="0" fontId="78" fillId="30" borderId="1" xfId="0" applyFont="1" applyFill="1" applyBorder="1" applyAlignment="1">
      <alignment horizontal="center" vertical="center" wrapText="1"/>
    </xf>
    <xf numFmtId="0" fontId="77" fillId="29" borderId="1" xfId="0" applyFont="1" applyFill="1" applyBorder="1" applyAlignment="1">
      <alignment horizontal="center" vertical="center" wrapText="1"/>
    </xf>
    <xf numFmtId="0" fontId="63" fillId="0" borderId="9" xfId="0" applyFont="1" applyBorder="1" applyAlignment="1">
      <alignment horizontal="center" vertical="center"/>
    </xf>
    <xf numFmtId="43" fontId="13" fillId="0" borderId="12" xfId="3" applyFont="1" applyBorder="1" applyAlignment="1">
      <alignment horizontal="center" vertical="center" wrapText="1"/>
    </xf>
    <xf numFmtId="43" fontId="25" fillId="0" borderId="12" xfId="3" applyFont="1" applyBorder="1" applyAlignment="1">
      <alignment horizontal="center" vertical="center" wrapText="1"/>
    </xf>
    <xf numFmtId="0" fontId="52" fillId="42" borderId="1" xfId="0" applyFont="1" applyFill="1" applyBorder="1" applyAlignment="1">
      <alignment horizontal="center" vertical="center" wrapText="1"/>
    </xf>
    <xf numFmtId="0" fontId="51" fillId="42" borderId="1" xfId="0" applyFont="1" applyFill="1" applyBorder="1" applyAlignment="1">
      <alignment horizontal="center" vertical="center" wrapText="1"/>
    </xf>
    <xf numFmtId="0" fontId="51" fillId="42" borderId="1"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4" fillId="0" borderId="0" xfId="0" applyFont="1" applyAlignment="1">
      <alignment vertical="center" wrapText="1"/>
    </xf>
    <xf numFmtId="0" fontId="5" fillId="0" borderId="1" xfId="0" applyFont="1" applyBorder="1" applyAlignment="1">
      <alignment horizontal="center" vertical="center" wrapText="1"/>
    </xf>
    <xf numFmtId="0" fontId="30" fillId="0" borderId="0" xfId="0" applyFont="1" applyAlignment="1">
      <alignment horizontal="center" vertical="center" wrapText="1"/>
    </xf>
    <xf numFmtId="0" fontId="32" fillId="0" borderId="0" xfId="0" applyFont="1" applyAlignment="1">
      <alignment horizontal="center" vertical="center" wrapText="1"/>
    </xf>
    <xf numFmtId="0" fontId="5" fillId="0" borderId="0" xfId="0" applyFont="1" applyAlignment="1">
      <alignment horizontal="center" vertical="center" wrapText="1"/>
    </xf>
    <xf numFmtId="0" fontId="29" fillId="0" borderId="3" xfId="0" applyFont="1" applyBorder="1" applyAlignment="1">
      <alignment horizontal="center" vertical="center" wrapText="1"/>
    </xf>
    <xf numFmtId="0" fontId="29" fillId="0" borderId="2" xfId="0" applyFont="1" applyBorder="1" applyAlignment="1">
      <alignment horizontal="center" vertical="center" wrapText="1"/>
    </xf>
    <xf numFmtId="0" fontId="33" fillId="16" borderId="3" xfId="0" applyFont="1" applyFill="1" applyBorder="1" applyAlignment="1">
      <alignment horizontal="center" vertical="center" wrapText="1"/>
    </xf>
    <xf numFmtId="0" fontId="33" fillId="16" borderId="2" xfId="0" applyFont="1" applyFill="1" applyBorder="1" applyAlignment="1">
      <alignment horizontal="center" vertical="center" wrapText="1"/>
    </xf>
    <xf numFmtId="0" fontId="29" fillId="9" borderId="4" xfId="0" applyFont="1" applyFill="1" applyBorder="1" applyAlignment="1">
      <alignment horizontal="center" vertical="center" wrapText="1"/>
    </xf>
    <xf numFmtId="0" fontId="29" fillId="9" borderId="10" xfId="0" applyFont="1" applyFill="1" applyBorder="1" applyAlignment="1">
      <alignment horizontal="center" vertical="center" wrapText="1"/>
    </xf>
    <xf numFmtId="0" fontId="29" fillId="9" borderId="6" xfId="0" applyFont="1" applyFill="1" applyBorder="1" applyAlignment="1">
      <alignment horizontal="center" vertical="center" wrapText="1"/>
    </xf>
    <xf numFmtId="0" fontId="33" fillId="0" borderId="4"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6"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2" xfId="0" applyFont="1" applyBorder="1" applyAlignment="1">
      <alignment horizontal="center" vertical="center" wrapText="1"/>
    </xf>
    <xf numFmtId="0" fontId="29" fillId="10" borderId="3" xfId="0" applyFont="1" applyFill="1" applyBorder="1" applyAlignment="1">
      <alignment horizontal="center" vertical="center" wrapText="1"/>
    </xf>
    <xf numFmtId="0" fontId="29" fillId="10" borderId="2" xfId="0" applyFont="1" applyFill="1" applyBorder="1" applyAlignment="1">
      <alignment horizontal="center" vertical="center" wrapText="1"/>
    </xf>
    <xf numFmtId="0" fontId="47" fillId="22" borderId="26" xfId="0" applyFont="1" applyFill="1" applyBorder="1" applyAlignment="1">
      <alignment horizontal="center" vertical="center" wrapText="1"/>
    </xf>
    <xf numFmtId="0" fontId="47" fillId="22" borderId="27" xfId="0" applyFont="1" applyFill="1" applyBorder="1" applyAlignment="1">
      <alignment horizontal="center" vertical="center" wrapText="1"/>
    </xf>
    <xf numFmtId="0" fontId="47" fillId="22" borderId="28" xfId="0" applyFont="1" applyFill="1" applyBorder="1" applyAlignment="1">
      <alignment horizontal="center" vertical="center" wrapText="1"/>
    </xf>
    <xf numFmtId="0" fontId="19" fillId="0" borderId="0" xfId="0" applyFont="1" applyAlignment="1">
      <alignment horizontal="center" vertical="center" wrapText="1"/>
    </xf>
    <xf numFmtId="0" fontId="29" fillId="10" borderId="4" xfId="0" applyFont="1" applyFill="1" applyBorder="1" applyAlignment="1">
      <alignment horizontal="center" vertical="center" wrapText="1"/>
    </xf>
    <xf numFmtId="0" fontId="29" fillId="10" borderId="10" xfId="0" applyFont="1" applyFill="1" applyBorder="1" applyAlignment="1">
      <alignment horizontal="center" vertical="center" wrapText="1"/>
    </xf>
    <xf numFmtId="0" fontId="29" fillId="10" borderId="6" xfId="0" applyFont="1" applyFill="1" applyBorder="1" applyAlignment="1">
      <alignment horizontal="center" vertical="center" wrapText="1"/>
    </xf>
    <xf numFmtId="0" fontId="33" fillId="9" borderId="3" xfId="0" applyFont="1" applyFill="1" applyBorder="1" applyAlignment="1">
      <alignment horizontal="center" vertical="center" wrapText="1"/>
    </xf>
    <xf numFmtId="0" fontId="33" fillId="9" borderId="2" xfId="0" applyFont="1" applyFill="1" applyBorder="1" applyAlignment="1">
      <alignment horizontal="center" vertical="center" wrapText="1"/>
    </xf>
    <xf numFmtId="0" fontId="29" fillId="17" borderId="4" xfId="0" applyFont="1" applyFill="1" applyBorder="1" applyAlignment="1">
      <alignment horizontal="center" vertical="center" wrapText="1"/>
    </xf>
    <xf numFmtId="0" fontId="29" fillId="17" borderId="10" xfId="0" applyFont="1" applyFill="1" applyBorder="1" applyAlignment="1">
      <alignment horizontal="center" vertical="center" wrapText="1"/>
    </xf>
    <xf numFmtId="0" fontId="29" fillId="17" borderId="6" xfId="0" applyFont="1" applyFill="1" applyBorder="1" applyAlignment="1">
      <alignment horizontal="center" vertical="center" wrapText="1"/>
    </xf>
    <xf numFmtId="0" fontId="73" fillId="0" borderId="0" xfId="0" applyFont="1" applyAlignment="1">
      <alignment horizontal="center" vertical="center"/>
    </xf>
    <xf numFmtId="0" fontId="75" fillId="0" borderId="0" xfId="0" applyFont="1" applyAlignment="1">
      <alignment horizontal="center" vertical="center"/>
    </xf>
    <xf numFmtId="0" fontId="10" fillId="0" borderId="4" xfId="0" applyFont="1" applyBorder="1" applyAlignment="1">
      <alignment horizontal="center" vertical="center"/>
    </xf>
    <xf numFmtId="0" fontId="10" fillId="0" borderId="10" xfId="0" applyFont="1" applyBorder="1" applyAlignment="1">
      <alignment horizontal="center" vertical="center"/>
    </xf>
    <xf numFmtId="0" fontId="10" fillId="0" borderId="5" xfId="0" applyFont="1" applyBorder="1" applyAlignment="1">
      <alignment horizontal="center" vertical="center"/>
    </xf>
    <xf numFmtId="0" fontId="10" fillId="0" borderId="1" xfId="0" applyFont="1" applyBorder="1" applyAlignment="1">
      <alignment horizontal="center" vertical="center"/>
    </xf>
    <xf numFmtId="0" fontId="10" fillId="0" borderId="9" xfId="0"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vertical="center"/>
    </xf>
    <xf numFmtId="0" fontId="14" fillId="0" borderId="0" xfId="0" applyFont="1" applyAlignment="1">
      <alignment horizontal="center" vertical="center"/>
    </xf>
    <xf numFmtId="0" fontId="9" fillId="0" borderId="0" xfId="0" applyFont="1"/>
    <xf numFmtId="0" fontId="6" fillId="0" borderId="0" xfId="0" applyFont="1" applyAlignment="1">
      <alignment horizontal="center" vertical="center"/>
    </xf>
    <xf numFmtId="0" fontId="36" fillId="0" borderId="12" xfId="0" applyFont="1" applyBorder="1" applyAlignment="1">
      <alignment horizontal="center" vertical="center"/>
    </xf>
    <xf numFmtId="0" fontId="36"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2" fillId="10" borderId="1" xfId="0" applyFont="1" applyFill="1" applyBorder="1" applyAlignment="1">
      <alignment horizontal="center" vertical="center"/>
    </xf>
    <xf numFmtId="0" fontId="2" fillId="9" borderId="3" xfId="0" applyFont="1" applyFill="1" applyBorder="1" applyAlignment="1">
      <alignment horizontal="center" vertical="center"/>
    </xf>
    <xf numFmtId="0" fontId="2" fillId="9" borderId="2" xfId="0" applyFont="1" applyFill="1" applyBorder="1" applyAlignment="1">
      <alignment horizontal="center" vertical="center"/>
    </xf>
    <xf numFmtId="0" fontId="23" fillId="0" borderId="0" xfId="2" applyFont="1" applyAlignment="1">
      <alignment horizontal="center" vertical="center"/>
    </xf>
    <xf numFmtId="0" fontId="2" fillId="0" borderId="1" xfId="2" applyFont="1" applyBorder="1" applyAlignment="1">
      <alignment horizontal="center" vertical="center"/>
    </xf>
    <xf numFmtId="0" fontId="2" fillId="5" borderId="1" xfId="2" applyFont="1" applyFill="1" applyBorder="1" applyAlignment="1">
      <alignment horizontal="center" vertical="center"/>
    </xf>
    <xf numFmtId="0" fontId="2" fillId="8" borderId="1" xfId="2" applyFont="1" applyFill="1" applyBorder="1" applyAlignment="1">
      <alignment horizontal="center" vertical="center"/>
    </xf>
    <xf numFmtId="0" fontId="2" fillId="6" borderId="1" xfId="2" applyFont="1" applyFill="1" applyBorder="1" applyAlignment="1">
      <alignment horizontal="center" vertical="center"/>
    </xf>
    <xf numFmtId="0" fontId="46" fillId="20" borderId="0" xfId="0" applyFont="1" applyFill="1" applyAlignment="1">
      <alignment horizontal="center" vertical="center"/>
    </xf>
    <xf numFmtId="0" fontId="47" fillId="18" borderId="21" xfId="0" applyFont="1" applyFill="1" applyBorder="1" applyAlignment="1">
      <alignment horizontal="center" vertical="center" wrapText="1"/>
    </xf>
    <xf numFmtId="0" fontId="47" fillId="18" borderId="0" xfId="0" applyFont="1" applyFill="1" applyAlignment="1">
      <alignment horizontal="center" vertical="center" wrapText="1"/>
    </xf>
    <xf numFmtId="0" fontId="47" fillId="18" borderId="22" xfId="0" applyFont="1" applyFill="1" applyBorder="1" applyAlignment="1">
      <alignment horizontal="center" vertical="center" wrapText="1"/>
    </xf>
    <xf numFmtId="0" fontId="46" fillId="26" borderId="0" xfId="0" applyFont="1" applyFill="1" applyAlignment="1">
      <alignment horizontal="center"/>
    </xf>
    <xf numFmtId="0" fontId="56" fillId="35" borderId="0" xfId="0" applyFont="1" applyFill="1" applyAlignment="1">
      <alignment horizontal="center" vertical="center" wrapText="1"/>
    </xf>
    <xf numFmtId="0" fontId="57" fillId="36" borderId="0" xfId="0" applyFont="1" applyFill="1" applyAlignment="1">
      <alignment wrapText="1"/>
    </xf>
    <xf numFmtId="0" fontId="60" fillId="38" borderId="0" xfId="0" applyFont="1" applyFill="1" applyAlignment="1">
      <alignment horizontal="center" vertical="center" wrapText="1"/>
    </xf>
    <xf numFmtId="0" fontId="61" fillId="39" borderId="0" xfId="0" applyFont="1" applyFill="1" applyAlignment="1">
      <alignment vertical="center" wrapText="1"/>
    </xf>
    <xf numFmtId="0" fontId="60" fillId="38" borderId="0" xfId="0" applyFont="1" applyFill="1" applyAlignment="1">
      <alignment horizontal="center" vertical="center"/>
    </xf>
    <xf numFmtId="0" fontId="13" fillId="0" borderId="1" xfId="0" applyFont="1" applyFill="1" applyBorder="1" applyAlignment="1">
      <alignment horizontal="center" vertical="center" wrapText="1"/>
    </xf>
  </cellXfs>
  <cellStyles count="4">
    <cellStyle name="Comma" xfId="3" xr:uid="{00000000-0005-0000-0000-000000000000}"/>
    <cellStyle name="Normal" xfId="0" builtinId="0"/>
    <cellStyle name="Normal 2" xfId="2" xr:uid="{00000000-0005-0000-0000-000002000000}"/>
    <cellStyle name="Normal 3" xfId="1" xr:uid="{00000000-0005-0000-0000-000003000000}"/>
  </cellStyles>
  <dxfs count="6">
    <dxf>
      <font>
        <b/>
      </font>
      <fill>
        <patternFill>
          <bgColor rgb="FFE2F0D9"/>
        </patternFill>
      </fill>
    </dxf>
    <dxf>
      <font>
        <b/>
      </font>
      <fill>
        <patternFill>
          <bgColor rgb="FFFFF2CC"/>
        </patternFill>
      </fill>
    </dxf>
    <dxf>
      <font>
        <b/>
        <color rgb="FFC00000"/>
      </font>
      <fill>
        <patternFill>
          <bgColor rgb="FFFCE8E6"/>
        </patternFill>
      </fill>
    </dxf>
    <dxf>
      <fill>
        <patternFill>
          <bgColor rgb="FFE2F0D9"/>
        </patternFill>
      </fill>
    </dxf>
    <dxf>
      <fill>
        <patternFill>
          <bgColor rgb="FFEAF2F8"/>
        </patternFill>
      </fill>
    </dxf>
    <dxf>
      <font>
        <b/>
      </font>
      <fill>
        <patternFill>
          <bgColor rgb="FFD9EA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29"/>
  <sheetViews>
    <sheetView zoomScale="80" zoomScaleNormal="80" workbookViewId="0"/>
  </sheetViews>
  <sheetFormatPr defaultColWidth="9" defaultRowHeight="15" x14ac:dyDescent="0.35"/>
  <cols>
    <col min="1" max="1" width="14.81640625" style="35" customWidth="1"/>
    <col min="2" max="2" width="5.81640625" style="41" customWidth="1"/>
    <col min="3" max="3" width="30.7265625" style="36" customWidth="1"/>
    <col min="4" max="4" width="4.453125" style="36" customWidth="1"/>
    <col min="5" max="5" width="4" style="36" customWidth="1"/>
    <col min="6" max="7" width="4.453125" style="36" customWidth="1"/>
    <col min="8" max="8" width="4.54296875" style="36" customWidth="1"/>
    <col min="9" max="10" width="4.453125" style="36" customWidth="1"/>
    <col min="11" max="11" width="4" style="36" customWidth="1"/>
    <col min="12" max="13" width="4.453125" style="36" customWidth="1"/>
    <col min="14" max="14" width="5.26953125" style="36" customWidth="1"/>
    <col min="15" max="15" width="5.7265625" style="36" customWidth="1"/>
    <col min="16" max="16" width="4" style="36" customWidth="1"/>
    <col min="17" max="18" width="4.453125" style="36" customWidth="1"/>
    <col min="19" max="19" width="5" style="36" customWidth="1"/>
    <col min="20" max="20" width="4" style="36" customWidth="1"/>
    <col min="21" max="21" width="6.54296875" style="36" customWidth="1"/>
    <col min="22" max="22" width="7.81640625" style="36" customWidth="1"/>
    <col min="23" max="23" width="8.453125" style="36" customWidth="1"/>
    <col min="24" max="24" width="12" style="36" customWidth="1"/>
    <col min="25" max="25" width="10.81640625" style="36" customWidth="1"/>
    <col min="26" max="26" width="9" style="36" customWidth="1"/>
    <col min="27" max="27" width="8.54296875" style="36" customWidth="1"/>
    <col min="28" max="28" width="6.453125" style="36" customWidth="1"/>
    <col min="29" max="29" width="7.453125" style="36" customWidth="1"/>
    <col min="30" max="30" width="5.81640625" style="36" customWidth="1"/>
    <col min="31" max="31" width="8.1796875" style="36" customWidth="1"/>
    <col min="32" max="32" width="7.26953125" style="36" customWidth="1"/>
    <col min="33" max="33" width="6.7265625" style="36" customWidth="1"/>
    <col min="34" max="34" width="12.81640625" style="36" hidden="1" customWidth="1"/>
    <col min="35" max="35" width="10.26953125" style="36" hidden="1" customWidth="1"/>
    <col min="36" max="36" width="10.453125" style="36" hidden="1" customWidth="1"/>
    <col min="37" max="37" width="10.453125" style="36" customWidth="1"/>
    <col min="38" max="38" width="13.54296875" style="36" customWidth="1"/>
    <col min="39" max="39" width="20.7265625" style="41" customWidth="1"/>
    <col min="40" max="40" width="14.7265625" style="36" customWidth="1"/>
    <col min="41" max="41" width="16.54296875" style="36" customWidth="1"/>
    <col min="42" max="43" width="28.26953125" style="36" customWidth="1"/>
    <col min="44" max="44" width="11.453125" style="36" customWidth="1"/>
    <col min="45" max="45" width="15.54296875" style="36" customWidth="1"/>
    <col min="46" max="46" width="13.81640625" style="36" customWidth="1"/>
    <col min="47" max="47" width="25.81640625" style="36" customWidth="1"/>
    <col min="48" max="48" width="29.7265625" style="36" customWidth="1"/>
    <col min="49" max="51" width="12" customWidth="1"/>
    <col min="52" max="16384" width="9" style="36"/>
  </cols>
  <sheetData>
    <row r="1" spans="1:51" s="120" customFormat="1" ht="22.5" x14ac:dyDescent="0.35">
      <c r="A1" s="118"/>
      <c r="B1" s="314" t="s">
        <v>0</v>
      </c>
      <c r="C1" s="314"/>
      <c r="D1" s="314"/>
      <c r="E1" s="314"/>
      <c r="F1" s="314"/>
      <c r="G1" s="314"/>
      <c r="H1" s="314"/>
      <c r="I1" s="314"/>
      <c r="J1" s="314"/>
      <c r="K1" s="314"/>
      <c r="L1" s="314"/>
      <c r="M1" s="314"/>
      <c r="N1" s="314"/>
      <c r="O1" s="314"/>
      <c r="P1" s="314"/>
      <c r="Q1" s="314"/>
      <c r="R1" s="314"/>
      <c r="S1" s="314"/>
      <c r="T1" s="314"/>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row>
    <row r="2" spans="1:51" s="120" customFormat="1" ht="17.5" x14ac:dyDescent="0.35">
      <c r="A2" s="118"/>
      <c r="B2" s="315" t="s">
        <v>1</v>
      </c>
      <c r="C2" s="315"/>
      <c r="D2" s="315"/>
      <c r="E2" s="315"/>
      <c r="F2" s="315"/>
      <c r="G2" s="315"/>
      <c r="H2" s="315"/>
      <c r="I2" s="315"/>
      <c r="J2" s="315"/>
      <c r="K2" s="315"/>
      <c r="L2" s="315"/>
      <c r="M2" s="315"/>
      <c r="N2" s="315"/>
      <c r="O2" s="315"/>
      <c r="P2" s="315"/>
      <c r="Q2" s="315"/>
      <c r="R2" s="315"/>
      <c r="S2" s="315"/>
      <c r="T2" s="315"/>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row>
    <row r="3" spans="1:51" s="120" customFormat="1" x14ac:dyDescent="0.35">
      <c r="A3" s="118"/>
      <c r="B3" s="122"/>
      <c r="C3"/>
      <c r="AL3" s="122"/>
      <c r="AV3" s="122"/>
    </row>
    <row r="4" spans="1:51" s="120" customFormat="1" ht="75" x14ac:dyDescent="0.35">
      <c r="A4" s="317" t="s">
        <v>2</v>
      </c>
      <c r="B4" s="317" t="s">
        <v>3</v>
      </c>
      <c r="C4" s="317" t="s">
        <v>4</v>
      </c>
      <c r="D4" s="319" t="s">
        <v>5</v>
      </c>
      <c r="E4" s="321" t="s">
        <v>6</v>
      </c>
      <c r="F4" s="322"/>
      <c r="G4" s="322"/>
      <c r="H4" s="322"/>
      <c r="I4" s="322"/>
      <c r="J4" s="323"/>
      <c r="K4" s="335" t="s">
        <v>7</v>
      </c>
      <c r="L4" s="336"/>
      <c r="M4" s="336"/>
      <c r="N4" s="336"/>
      <c r="O4" s="337"/>
      <c r="P4" s="340" t="s">
        <v>8</v>
      </c>
      <c r="Q4" s="341"/>
      <c r="R4" s="341"/>
      <c r="S4" s="341"/>
      <c r="T4" s="342"/>
      <c r="U4" s="327" t="s">
        <v>9</v>
      </c>
      <c r="V4" s="327" t="s">
        <v>10</v>
      </c>
      <c r="W4" s="123" t="s">
        <v>11</v>
      </c>
      <c r="X4" s="123"/>
      <c r="Y4" s="124" t="s">
        <v>12</v>
      </c>
      <c r="Z4" s="338" t="s">
        <v>13</v>
      </c>
      <c r="AA4" s="327" t="s">
        <v>14</v>
      </c>
      <c r="AB4" s="324" t="s">
        <v>15</v>
      </c>
      <c r="AC4" s="325"/>
      <c r="AD4" s="326"/>
      <c r="AE4" s="324" t="s">
        <v>16</v>
      </c>
      <c r="AF4" s="325"/>
      <c r="AG4" s="326"/>
      <c r="AH4" s="125" t="s">
        <v>17</v>
      </c>
      <c r="AI4" s="126"/>
      <c r="AJ4" s="127"/>
      <c r="AK4" s="329" t="s">
        <v>18</v>
      </c>
      <c r="AL4" s="317" t="s">
        <v>19</v>
      </c>
      <c r="AM4" s="309" t="s">
        <v>16</v>
      </c>
      <c r="AN4" s="317" t="s">
        <v>20</v>
      </c>
      <c r="AO4" s="317" t="s">
        <v>21</v>
      </c>
      <c r="AP4" s="317" t="s">
        <v>22</v>
      </c>
      <c r="AQ4" s="317" t="s">
        <v>23</v>
      </c>
      <c r="AR4" s="317" t="s">
        <v>24</v>
      </c>
      <c r="AS4" s="317" t="s">
        <v>25</v>
      </c>
      <c r="AT4" s="317" t="s">
        <v>26</v>
      </c>
      <c r="AU4" s="317" t="s">
        <v>27</v>
      </c>
      <c r="AV4" s="317" t="s">
        <v>28</v>
      </c>
      <c r="AW4" s="331" t="s">
        <v>29</v>
      </c>
      <c r="AX4" s="332"/>
      <c r="AY4" s="333"/>
    </row>
    <row r="5" spans="1:51" s="120" customFormat="1" ht="60" x14ac:dyDescent="0.35">
      <c r="A5" s="318"/>
      <c r="B5" s="318"/>
      <c r="C5" s="318"/>
      <c r="D5" s="320"/>
      <c r="E5" s="128" t="s">
        <v>30</v>
      </c>
      <c r="F5" s="128" t="s">
        <v>5</v>
      </c>
      <c r="G5" s="128" t="s">
        <v>31</v>
      </c>
      <c r="H5" s="128" t="s">
        <v>32</v>
      </c>
      <c r="I5" s="128" t="s">
        <v>33</v>
      </c>
      <c r="J5" s="128" t="s">
        <v>34</v>
      </c>
      <c r="K5" s="129" t="s">
        <v>30</v>
      </c>
      <c r="L5" s="129" t="s">
        <v>5</v>
      </c>
      <c r="M5" s="129" t="s">
        <v>31</v>
      </c>
      <c r="N5" s="129" t="s">
        <v>33</v>
      </c>
      <c r="O5" s="129" t="s">
        <v>34</v>
      </c>
      <c r="P5" s="130" t="s">
        <v>30</v>
      </c>
      <c r="Q5" s="130" t="s">
        <v>5</v>
      </c>
      <c r="R5" s="130" t="s">
        <v>31</v>
      </c>
      <c r="S5" s="130" t="s">
        <v>33</v>
      </c>
      <c r="T5" s="130" t="s">
        <v>34</v>
      </c>
      <c r="U5" s="328"/>
      <c r="V5" s="328"/>
      <c r="W5" s="129" t="s">
        <v>35</v>
      </c>
      <c r="X5" s="129" t="s">
        <v>36</v>
      </c>
      <c r="Y5" s="124"/>
      <c r="Z5" s="339"/>
      <c r="AA5" s="328"/>
      <c r="AB5" s="131" t="s">
        <v>37</v>
      </c>
      <c r="AC5" s="131" t="s">
        <v>38</v>
      </c>
      <c r="AD5" s="129" t="s">
        <v>39</v>
      </c>
      <c r="AE5" s="131" t="s">
        <v>37</v>
      </c>
      <c r="AF5" s="131" t="s">
        <v>38</v>
      </c>
      <c r="AG5" s="129" t="s">
        <v>39</v>
      </c>
      <c r="AH5" s="131" t="s">
        <v>37</v>
      </c>
      <c r="AI5" s="131" t="s">
        <v>38</v>
      </c>
      <c r="AJ5" s="129" t="s">
        <v>39</v>
      </c>
      <c r="AK5" s="330"/>
      <c r="AL5" s="318"/>
      <c r="AM5" s="318"/>
      <c r="AN5" s="318"/>
      <c r="AO5" s="318"/>
      <c r="AP5" s="318"/>
      <c r="AQ5" s="318"/>
      <c r="AR5" s="318"/>
      <c r="AS5" s="318"/>
      <c r="AT5" s="318"/>
      <c r="AU5" s="318"/>
      <c r="AV5" s="318"/>
      <c r="AW5" s="186" t="s">
        <v>40</v>
      </c>
      <c r="AX5" s="187" t="s">
        <v>41</v>
      </c>
      <c r="AY5" s="188" t="s">
        <v>42</v>
      </c>
    </row>
    <row r="6" spans="1:51" x14ac:dyDescent="0.35">
      <c r="A6" s="309" t="s">
        <v>43</v>
      </c>
      <c r="B6" s="8">
        <v>1</v>
      </c>
      <c r="C6" s="9" t="s">
        <v>44</v>
      </c>
      <c r="D6" s="20"/>
      <c r="E6" s="10">
        <v>3</v>
      </c>
      <c r="F6" s="10"/>
      <c r="G6" s="10"/>
      <c r="H6" s="10">
        <v>2</v>
      </c>
      <c r="I6" s="159"/>
      <c r="J6" s="10"/>
      <c r="K6" s="6"/>
      <c r="L6" s="6"/>
      <c r="M6" s="6"/>
      <c r="N6" s="139"/>
      <c r="O6" s="6"/>
      <c r="P6" s="42">
        <v>2</v>
      </c>
      <c r="Q6" s="42"/>
      <c r="R6" s="42"/>
      <c r="S6" s="138"/>
      <c r="T6" s="42"/>
      <c r="U6" s="11">
        <f>E6*'Phân tiết'!$M$7+G6*('Phân tiết'!$M$21/3)+H6*'Phân tiết'!$L$26+AW6+J6*'Phân tiết'!$M$20+K6*'Phân tiết'!$I$7+M6*('Phân tiết'!$I$21/3)+AX6+O6*'Phân tiết'!$I$20+P6*'Phân tiết'!$E$7+R6*('Phân tiết'!$E$21/3)+AY6+T6*'Phân tiết'!$E$20</f>
        <v>19</v>
      </c>
      <c r="V6" s="8">
        <f t="shared" ref="V6:V15" si="0">F6*4+L6*4+Q6*4</f>
        <v>0</v>
      </c>
      <c r="W6" s="6" t="s">
        <v>45</v>
      </c>
      <c r="X6" s="6"/>
      <c r="Y6" s="8">
        <v>3</v>
      </c>
      <c r="Z6" s="43">
        <f t="shared" ref="Z6:Z15" si="1">SUM(U6:Y6)</f>
        <v>22</v>
      </c>
      <c r="AA6" s="34">
        <f t="shared" ref="AA6:AA15" si="2">Z6-17</f>
        <v>5</v>
      </c>
      <c r="AB6" s="8"/>
      <c r="AC6" s="8"/>
      <c r="AD6" s="6">
        <f t="shared" ref="AD6:AD70" si="3">AB6*AC6*1.5</f>
        <v>0</v>
      </c>
      <c r="AE6" s="8"/>
      <c r="AF6" s="8"/>
      <c r="AG6" s="6">
        <f>AE6*AF6*1.5</f>
        <v>0</v>
      </c>
      <c r="AH6" s="8"/>
      <c r="AI6" s="8"/>
      <c r="AJ6" s="6">
        <f t="shared" ref="AJ6:AJ15" si="4">AH6*AI6</f>
        <v>0</v>
      </c>
      <c r="AK6" s="6">
        <f>AA6*33+AD6+AG6+AJ6</f>
        <v>165</v>
      </c>
      <c r="AL6" s="8"/>
      <c r="AM6" s="8"/>
      <c r="AN6" s="8"/>
      <c r="AO6" s="8" t="s">
        <v>46</v>
      </c>
      <c r="AP6" s="8" t="s">
        <v>46</v>
      </c>
      <c r="AQ6" s="8" t="s">
        <v>46</v>
      </c>
      <c r="AR6" s="8" t="s">
        <v>46</v>
      </c>
      <c r="AS6" s="8" t="s">
        <v>46</v>
      </c>
      <c r="AT6" s="8" t="s">
        <v>46</v>
      </c>
      <c r="AU6" s="8"/>
      <c r="AV6" s="8"/>
      <c r="AW6">
        <f>IF(I6="",0,IF(MAP_TNHN!B6="",I6*3,I6*3-2*(IF(ISNUMBER(SEARCH(MAP_TNHN!B6&amp;" (1 tiết)",'PL12'!$S$5)),1,0)+IF(ISNUMBER(SEARCH(MAP_TNHN!B6&amp;" (1 tiết)",'PL12'!$S$6)),1,0)+IF(ISNUMBER(SEARCH(MAP_TNHN!B6&amp;" (1 tiết)",'PL12'!$S$7)),1,0)+IF(ISNUMBER(SEARCH(MAP_TNHN!B6&amp;" (1 tiết)",'PL12'!$S$8)),1,0)+IF(ISNUMBER(SEARCH(MAP_TNHN!B6&amp;" (1 tiết)",'PL12'!$S$9)),1,0)+IF(ISNUMBER(SEARCH(MAP_TNHN!B6&amp;" (1 tiết)",'PL12'!$S$10)),1,0)+IF(ISNUMBER(SEARCH(MAP_TNHN!B6&amp;" (1 tiết)",'PL12'!$S$11)),1,0)+IF(ISNUMBER(SEARCH(MAP_TNHN!B6&amp;" (1 tiết)",'PL12'!$S$12)),1,0)+IF(ISNUMBER(SEARCH(MAP_TNHN!B6&amp;" (1 tiết)",'PL12'!$S$13)),1,0)+IF(ISNUMBER(SEARCH(MAP_TNHN!B6&amp;" (1 tiết)",'PL12'!$S$14)),1,0)+IF(ISNUMBER(SEARCH(MAP_TNHN!B6&amp;" (1 tiết)",'PL12'!$S$15)),1,0)+IF(ISNUMBER(SEARCH(MAP_TNHN!B6&amp;" (1 tiết)",'PL12'!$S$16)),1,0)+IF(ISNUMBER(SEARCH(MAP_TNHN!B6&amp;" (1 tiết)",'PL12'!$S$17)),1,0)+IF(ISNUMBER(SEARCH(MAP_TNHN!B6&amp;" (1 tiết)",'PL12'!$S$18)),1,0)+IF(ISNUMBER(SEARCH(MAP_TNHN!B6&amp;" (1 tiết)",'PL12'!$S$19)),1,0))-(IF(ISNUMBER(SEARCH(MAP_TNHN!B6&amp;" (2 tiết)",'PL12'!$S$5)),1,0)+IF(ISNUMBER(SEARCH(MAP_TNHN!B6&amp;" (2 tiết)",'PL12'!$S$6)),1,0)+IF(ISNUMBER(SEARCH(MAP_TNHN!B6&amp;" (2 tiết)",'PL12'!$S$7)),1,0)+IF(ISNUMBER(SEARCH(MAP_TNHN!B6&amp;" (2 tiết)",'PL12'!$S$8)),1,0)+IF(ISNUMBER(SEARCH(MAP_TNHN!B6&amp;" (2 tiết)",'PL12'!$S$9)),1,0)+IF(ISNUMBER(SEARCH(MAP_TNHN!B6&amp;" (2 tiết)",'PL12'!$S$10)),1,0)+IF(ISNUMBER(SEARCH(MAP_TNHN!B6&amp;" (2 tiết)",'PL12'!$S$11)),1,0)+IF(ISNUMBER(SEARCH(MAP_TNHN!B6&amp;" (2 tiết)",'PL12'!$S$12)),1,0)+IF(ISNUMBER(SEARCH(MAP_TNHN!B6&amp;" (2 tiết)",'PL12'!$S$13)),1,0)+IF(ISNUMBER(SEARCH(MAP_TNHN!B6&amp;" (2 tiết)",'PL12'!$S$14)),1,0)+IF(ISNUMBER(SEARCH(MAP_TNHN!B6&amp;" (2 tiết)",'PL12'!$S$15)),1,0)+IF(ISNUMBER(SEARCH(MAP_TNHN!B6&amp;" (2 tiết)",'PL12'!$S$16)),1,0)+IF(ISNUMBER(SEARCH(MAP_TNHN!B6&amp;" (2 tiết)",'PL12'!$S$17)),1,0)+IF(ISNUMBER(SEARCH(MAP_TNHN!B6&amp;" (2 tiết)",'PL12'!$S$18)),1,0)+IF(ISNUMBER(SEARCH(MAP_TNHN!B6&amp;" (2 tiết)",'PL12'!$S$19)),1,0))))</f>
        <v>0</v>
      </c>
      <c r="AX6">
        <f>IF(N6="",0,IF(MAP_TNHN!C6="",N6*3,N6*3-2*(IF(ISNUMBER(SEARCH(MAP_TNHN!C6&amp;" (1 tiết)",'PL11'!$S$5)),1,0)+IF(ISNUMBER(SEARCH(MAP_TNHN!C6&amp;" (1 tiết)",'PL11'!$S$6)),1,0)+IF(ISNUMBER(SEARCH(MAP_TNHN!C6&amp;" (1 tiết)",'PL11'!$S$7)),1,0)+IF(ISNUMBER(SEARCH(MAP_TNHN!C6&amp;" (1 tiết)",'PL11'!$S$8)),1,0)+IF(ISNUMBER(SEARCH(MAP_TNHN!C6&amp;" (1 tiết)",'PL11'!$S$9)),1,0)+IF(ISNUMBER(SEARCH(MAP_TNHN!C6&amp;" (1 tiết)",'PL11'!$S$10)),1,0)+IF(ISNUMBER(SEARCH(MAP_TNHN!C6&amp;" (1 tiết)",'PL11'!$S$11)),1,0)+IF(ISNUMBER(SEARCH(MAP_TNHN!C6&amp;" (1 tiết)",'PL11'!$S$12)),1,0)+IF(ISNUMBER(SEARCH(MAP_TNHN!C6&amp;" (1 tiết)",'PL11'!$S$13)),1,0)+IF(ISNUMBER(SEARCH(MAP_TNHN!C6&amp;" (1 tiết)",'PL11'!$S$14)),1,0)+IF(ISNUMBER(SEARCH(MAP_TNHN!C6&amp;" (1 tiết)",'PL11'!$S$15)),1,0)+IF(ISNUMBER(SEARCH(MAP_TNHN!C6&amp;" (1 tiết)",'PL11'!$S$16)),1,0)+IF(ISNUMBER(SEARCH(MAP_TNHN!C6&amp;" (1 tiết)",'PL11'!$S$17)),1,0)+IF(ISNUMBER(SEARCH(MAP_TNHN!C6&amp;" (1 tiết)",'PL11'!$S$18)),1,0))-(IF(ISNUMBER(SEARCH(MAP_TNHN!C6&amp;" (2 tiết)",'PL11'!$S$5)),1,0)+IF(ISNUMBER(SEARCH(MAP_TNHN!C6&amp;" (2 tiết)",'PL11'!$S$6)),1,0)+IF(ISNUMBER(SEARCH(MAP_TNHN!C6&amp;" (2 tiết)",'PL11'!$S$7)),1,0)+IF(ISNUMBER(SEARCH(MAP_TNHN!C6&amp;" (2 tiết)",'PL11'!$S$8)),1,0)+IF(ISNUMBER(SEARCH(MAP_TNHN!C6&amp;" (2 tiết)",'PL11'!$S$9)),1,0)+IF(ISNUMBER(SEARCH(MAP_TNHN!C6&amp;" (2 tiết)",'PL11'!$S$10)),1,0)+IF(ISNUMBER(SEARCH(MAP_TNHN!C6&amp;" (2 tiết)",'PL11'!$S$11)),1,0)+IF(ISNUMBER(SEARCH(MAP_TNHN!C6&amp;" (2 tiết)",'PL11'!$S$12)),1,0)+IF(ISNUMBER(SEARCH(MAP_TNHN!C6&amp;" (2 tiết)",'PL11'!$S$13)),1,0)+IF(ISNUMBER(SEARCH(MAP_TNHN!C6&amp;" (2 tiết)",'PL11'!$S$14)),1,0)+IF(ISNUMBER(SEARCH(MAP_TNHN!C6&amp;" (2 tiết)",'PL11'!$S$15)),1,0)+IF(ISNUMBER(SEARCH(MAP_TNHN!C6&amp;" (2 tiết)",'PL11'!$S$16)),1,0)+IF(ISNUMBER(SEARCH(MAP_TNHN!C6&amp;" (2 tiết)",'PL11'!$S$17)),1,0)+IF(ISNUMBER(SEARCH(MAP_TNHN!C6&amp;" (2 tiết)",'PL11'!$S$18)),1,0))))</f>
        <v>0</v>
      </c>
      <c r="AY6">
        <f>IF(S6="",0,IF(MAP_TNHN!D6="",S6*3,S6*3-2*(IF(ISNUMBER(SEARCH(MAP_TNHN!D6&amp;" (1 tiết)",'PL10'!$S$5)),1,0)+IF(ISNUMBER(SEARCH(MAP_TNHN!D6&amp;" (1 tiết)",'PL10'!$S$6)),1,0)+IF(ISNUMBER(SEARCH(MAP_TNHN!D6&amp;" (1 tiết)",'PL10'!$S$7)),1,0)+IF(ISNUMBER(SEARCH(MAP_TNHN!D6&amp;" (1 tiết)",'PL10'!$S$8)),1,0)+IF(ISNUMBER(SEARCH(MAP_TNHN!D6&amp;" (1 tiết)",'PL10'!$S$9)),1,0)+IF(ISNUMBER(SEARCH(MAP_TNHN!D6&amp;" (1 tiết)",'PL10'!$S$10)),1,0)+IF(ISNUMBER(SEARCH(MAP_TNHN!D6&amp;" (1 tiết)",'PL10'!$S$11)),1,0)+IF(ISNUMBER(SEARCH(MAP_TNHN!D6&amp;" (1 tiết)",'PL10'!$S$12)),1,0)+IF(ISNUMBER(SEARCH(MAP_TNHN!D6&amp;" (1 tiết)",'PL10'!$S$13)),1,0)+IF(ISNUMBER(SEARCH(MAP_TNHN!D6&amp;" (1 tiết)",'PL10'!$S$14)),1,0)+IF(ISNUMBER(SEARCH(MAP_TNHN!D6&amp;" (1 tiết)",'PL10'!$S$15)),1,0)+IF(ISNUMBER(SEARCH(MAP_TNHN!D6&amp;" (1 tiết)",'PL10'!$S$16)),1,0)+IF(ISNUMBER(SEARCH(MAP_TNHN!D6&amp;" (1 tiết)",'PL10'!$S$17)),1,0)+IF(ISNUMBER(SEARCH(MAP_TNHN!D6&amp;" (1 tiết)",'PL10'!$S$18)),1,0)+IF(ISNUMBER(SEARCH(MAP_TNHN!D6&amp;" (1 tiết)",'PL10'!$S$19)),1,0)+IF(ISNUMBER(SEARCH(MAP_TNHN!D6&amp;" (1 tiết)",'PL10'!$S$20)),1,0)+IF(ISNUMBER(SEARCH(MAP_TNHN!D6&amp;" (1 tiết)",'PL10'!$S$21)),1,0)+IF(ISNUMBER(SEARCH(MAP_TNHN!D6&amp;" (1 tiết)",'PL10'!$S$22)),1,0)+IF(ISNUMBER(SEARCH(MAP_TNHN!D6&amp;" (1 tiết)",'PL10'!$S$23)),1,0)+IF(ISNUMBER(SEARCH(MAP_TNHN!D6&amp;" (1 tiết)",'PL10'!$S$24)),1,0)+IF(ISNUMBER(SEARCH(MAP_TNHN!D6&amp;" (1 tiết)",'PL10'!$S$25)),1,0))-(IF(ISNUMBER(SEARCH(MAP_TNHN!D6&amp;" (2 tiết)",'PL10'!$S$5)),1,0)+IF(ISNUMBER(SEARCH(MAP_TNHN!D6&amp;" (2 tiết)",'PL10'!$S$6)),1,0)+IF(ISNUMBER(SEARCH(MAP_TNHN!D6&amp;" (2 tiết)",'PL10'!$S$7)),1,0)+IF(ISNUMBER(SEARCH(MAP_TNHN!D6&amp;" (2 tiết)",'PL10'!$S$8)),1,0)+IF(ISNUMBER(SEARCH(MAP_TNHN!D6&amp;" (2 tiết)",'PL10'!$S$9)),1,0)+IF(ISNUMBER(SEARCH(MAP_TNHN!D6&amp;" (2 tiết)",'PL10'!$S$10)),1,0)+IF(ISNUMBER(SEARCH(MAP_TNHN!D6&amp;" (2 tiết)",'PL10'!$S$11)),1,0)+IF(ISNUMBER(SEARCH(MAP_TNHN!D6&amp;" (2 tiết)",'PL10'!$S$12)),1,0)+IF(ISNUMBER(SEARCH(MAP_TNHN!D6&amp;" (2 tiết)",'PL10'!$S$13)),1,0)+IF(ISNUMBER(SEARCH(MAP_TNHN!D6&amp;" (2 tiết)",'PL10'!$S$14)),1,0)+IF(ISNUMBER(SEARCH(MAP_TNHN!D6&amp;" (2 tiết)",'PL10'!$S$15)),1,0)+IF(ISNUMBER(SEARCH(MAP_TNHN!D6&amp;" (2 tiết)",'PL10'!$S$16)),1,0)+IF(ISNUMBER(SEARCH(MAP_TNHN!D6&amp;" (2 tiết)",'PL10'!$S$17)),1,0)+IF(ISNUMBER(SEARCH(MAP_TNHN!D6&amp;" (2 tiết)",'PL10'!$S$18)),1,0)+IF(ISNUMBER(SEARCH(MAP_TNHN!D6&amp;" (2 tiết)",'PL10'!$S$19)),1,0)+IF(ISNUMBER(SEARCH(MAP_TNHN!D6&amp;" (2 tiết)",'PL10'!$S$20)),1,0)+IF(ISNUMBER(SEARCH(MAP_TNHN!D6&amp;" (2 tiết)",'PL10'!$S$21)),1,0)+IF(ISNUMBER(SEARCH(MAP_TNHN!D6&amp;" (2 tiết)",'PL10'!$S$22)),1,0)+IF(ISNUMBER(SEARCH(MAP_TNHN!D6&amp;" (2 tiết)",'PL10'!$S$23)),1,0)+IF(ISNUMBER(SEARCH(MAP_TNHN!D6&amp;" (2 tiết)",'PL10'!$S$24)),1,0)+IF(ISNUMBER(SEARCH(MAP_TNHN!D6&amp;" (2 tiết)",'PL10'!$S$25)),1,0))))</f>
        <v>0</v>
      </c>
    </row>
    <row r="7" spans="1:51" x14ac:dyDescent="0.35">
      <c r="A7" s="311"/>
      <c r="B7" s="8">
        <v>2</v>
      </c>
      <c r="C7" s="9" t="s">
        <v>47</v>
      </c>
      <c r="D7" s="20">
        <v>10</v>
      </c>
      <c r="E7" s="10">
        <v>2</v>
      </c>
      <c r="F7" s="10"/>
      <c r="G7" s="10"/>
      <c r="H7" s="10">
        <v>1</v>
      </c>
      <c r="I7" s="159"/>
      <c r="J7" s="10"/>
      <c r="K7" s="6"/>
      <c r="L7" s="6"/>
      <c r="M7" s="6"/>
      <c r="N7" s="139"/>
      <c r="O7" s="6"/>
      <c r="P7" s="42">
        <v>3</v>
      </c>
      <c r="Q7" s="42">
        <v>1</v>
      </c>
      <c r="R7" s="42"/>
      <c r="S7" s="166">
        <v>1</v>
      </c>
      <c r="T7" s="42"/>
      <c r="U7" s="11">
        <f>E7*'Phân tiết'!$M$7+G7*('Phân tiết'!$M$21/3)+H7*'Phân tiết'!$L$26+AW7+J7*'Phân tiết'!$M$20+K7*'Phân tiết'!$I$7+M7*('Phân tiết'!$I$21/3)+AX7+O7*'Phân tiết'!$I$20+P7*'Phân tiết'!$E$7+R7*('Phân tiết'!$E$21/3)+AY7+T7*'Phân tiết'!$E$20</f>
        <v>18</v>
      </c>
      <c r="V7" s="8">
        <f t="shared" si="0"/>
        <v>4</v>
      </c>
      <c r="W7" s="6"/>
      <c r="X7" s="6"/>
      <c r="Y7" s="8"/>
      <c r="Z7" s="43">
        <f t="shared" si="1"/>
        <v>22</v>
      </c>
      <c r="AA7" s="34">
        <f t="shared" si="2"/>
        <v>5</v>
      </c>
      <c r="AB7" s="8">
        <v>2</v>
      </c>
      <c r="AC7" s="8">
        <v>8</v>
      </c>
      <c r="AD7" s="6">
        <f t="shared" si="3"/>
        <v>24</v>
      </c>
      <c r="AE7" s="8"/>
      <c r="AF7" s="8"/>
      <c r="AG7" s="6">
        <f t="shared" ref="AG7:AG71" si="5">AE7*AF7*1.5</f>
        <v>0</v>
      </c>
      <c r="AH7" s="8"/>
      <c r="AI7" s="8"/>
      <c r="AJ7" s="6">
        <f t="shared" si="4"/>
        <v>0</v>
      </c>
      <c r="AK7" s="6">
        <f t="shared" ref="AK7:AK71" si="6">AA7*33+AD7+AG7+AJ7</f>
        <v>189</v>
      </c>
      <c r="AL7" s="8" t="s">
        <v>48</v>
      </c>
      <c r="AM7" s="34"/>
      <c r="AN7" s="8" t="s">
        <v>46</v>
      </c>
      <c r="AO7" s="8" t="s">
        <v>46</v>
      </c>
      <c r="AP7" s="8" t="s">
        <v>46</v>
      </c>
      <c r="AQ7" s="8"/>
      <c r="AR7" s="8"/>
      <c r="AS7" s="8"/>
      <c r="AT7" s="8" t="s">
        <v>46</v>
      </c>
      <c r="AU7" s="8"/>
      <c r="AV7" s="8"/>
      <c r="AW7">
        <f>IF(I7="",0,IF(MAP_TNHN!B7="",I7*3,I7*3-2*(IF(ISNUMBER(SEARCH(MAP_TNHN!B7&amp;" (1 tiết)",'PL12'!$S$5)),1,0)+IF(ISNUMBER(SEARCH(MAP_TNHN!B7&amp;" (1 tiết)",'PL12'!$S$6)),1,0)+IF(ISNUMBER(SEARCH(MAP_TNHN!B7&amp;" (1 tiết)",'PL12'!$S$7)),1,0)+IF(ISNUMBER(SEARCH(MAP_TNHN!B7&amp;" (1 tiết)",'PL12'!$S$8)),1,0)+IF(ISNUMBER(SEARCH(MAP_TNHN!B7&amp;" (1 tiết)",'PL12'!$S$9)),1,0)+IF(ISNUMBER(SEARCH(MAP_TNHN!B7&amp;" (1 tiết)",'PL12'!$S$10)),1,0)+IF(ISNUMBER(SEARCH(MAP_TNHN!B7&amp;" (1 tiết)",'PL12'!$S$11)),1,0)+IF(ISNUMBER(SEARCH(MAP_TNHN!B7&amp;" (1 tiết)",'PL12'!$S$12)),1,0)+IF(ISNUMBER(SEARCH(MAP_TNHN!B7&amp;" (1 tiết)",'PL12'!$S$13)),1,0)+IF(ISNUMBER(SEARCH(MAP_TNHN!B7&amp;" (1 tiết)",'PL12'!$S$14)),1,0)+IF(ISNUMBER(SEARCH(MAP_TNHN!B7&amp;" (1 tiết)",'PL12'!$S$15)),1,0)+IF(ISNUMBER(SEARCH(MAP_TNHN!B7&amp;" (1 tiết)",'PL12'!$S$16)),1,0)+IF(ISNUMBER(SEARCH(MAP_TNHN!B7&amp;" (1 tiết)",'PL12'!$S$17)),1,0)+IF(ISNUMBER(SEARCH(MAP_TNHN!B7&amp;" (1 tiết)",'PL12'!$S$18)),1,0)+IF(ISNUMBER(SEARCH(MAP_TNHN!B7&amp;" (1 tiết)",'PL12'!$S$19)),1,0))-(IF(ISNUMBER(SEARCH(MAP_TNHN!B7&amp;" (2 tiết)",'PL12'!$S$5)),1,0)+IF(ISNUMBER(SEARCH(MAP_TNHN!B7&amp;" (2 tiết)",'PL12'!$S$6)),1,0)+IF(ISNUMBER(SEARCH(MAP_TNHN!B7&amp;" (2 tiết)",'PL12'!$S$7)),1,0)+IF(ISNUMBER(SEARCH(MAP_TNHN!B7&amp;" (2 tiết)",'PL12'!$S$8)),1,0)+IF(ISNUMBER(SEARCH(MAP_TNHN!B7&amp;" (2 tiết)",'PL12'!$S$9)),1,0)+IF(ISNUMBER(SEARCH(MAP_TNHN!B7&amp;" (2 tiết)",'PL12'!$S$10)),1,0)+IF(ISNUMBER(SEARCH(MAP_TNHN!B7&amp;" (2 tiết)",'PL12'!$S$11)),1,0)+IF(ISNUMBER(SEARCH(MAP_TNHN!B7&amp;" (2 tiết)",'PL12'!$S$12)),1,0)+IF(ISNUMBER(SEARCH(MAP_TNHN!B7&amp;" (2 tiết)",'PL12'!$S$13)),1,0)+IF(ISNUMBER(SEARCH(MAP_TNHN!B7&amp;" (2 tiết)",'PL12'!$S$14)),1,0)+IF(ISNUMBER(SEARCH(MAP_TNHN!B7&amp;" (2 tiết)",'PL12'!$S$15)),1,0)+IF(ISNUMBER(SEARCH(MAP_TNHN!B7&amp;" (2 tiết)",'PL12'!$S$16)),1,0)+IF(ISNUMBER(SEARCH(MAP_TNHN!B7&amp;" (2 tiết)",'PL12'!$S$17)),1,0)+IF(ISNUMBER(SEARCH(MAP_TNHN!B7&amp;" (2 tiết)",'PL12'!$S$18)),1,0)+IF(ISNUMBER(SEARCH(MAP_TNHN!B7&amp;" (2 tiết)",'PL12'!$S$19)),1,0))))</f>
        <v>0</v>
      </c>
      <c r="AX7">
        <f>IF(N7="",0,IF(MAP_TNHN!C7="",N7*3,N7*3-2*(IF(ISNUMBER(SEARCH(MAP_TNHN!C7&amp;" (1 tiết)",'PL11'!$S$5)),1,0)+IF(ISNUMBER(SEARCH(MAP_TNHN!C7&amp;" (1 tiết)",'PL11'!$S$6)),1,0)+IF(ISNUMBER(SEARCH(MAP_TNHN!C7&amp;" (1 tiết)",'PL11'!$S$7)),1,0)+IF(ISNUMBER(SEARCH(MAP_TNHN!C7&amp;" (1 tiết)",'PL11'!$S$8)),1,0)+IF(ISNUMBER(SEARCH(MAP_TNHN!C7&amp;" (1 tiết)",'PL11'!$S$9)),1,0)+IF(ISNUMBER(SEARCH(MAP_TNHN!C7&amp;" (1 tiết)",'PL11'!$S$10)),1,0)+IF(ISNUMBER(SEARCH(MAP_TNHN!C7&amp;" (1 tiết)",'PL11'!$S$11)),1,0)+IF(ISNUMBER(SEARCH(MAP_TNHN!C7&amp;" (1 tiết)",'PL11'!$S$12)),1,0)+IF(ISNUMBER(SEARCH(MAP_TNHN!C7&amp;" (1 tiết)",'PL11'!$S$13)),1,0)+IF(ISNUMBER(SEARCH(MAP_TNHN!C7&amp;" (1 tiết)",'PL11'!$S$14)),1,0)+IF(ISNUMBER(SEARCH(MAP_TNHN!C7&amp;" (1 tiết)",'PL11'!$S$15)),1,0)+IF(ISNUMBER(SEARCH(MAP_TNHN!C7&amp;" (1 tiết)",'PL11'!$S$16)),1,0)+IF(ISNUMBER(SEARCH(MAP_TNHN!C7&amp;" (1 tiết)",'PL11'!$S$17)),1,0)+IF(ISNUMBER(SEARCH(MAP_TNHN!C7&amp;" (1 tiết)",'PL11'!$S$18)),1,0))-(IF(ISNUMBER(SEARCH(MAP_TNHN!C7&amp;" (2 tiết)",'PL11'!$S$5)),1,0)+IF(ISNUMBER(SEARCH(MAP_TNHN!C7&amp;" (2 tiết)",'PL11'!$S$6)),1,0)+IF(ISNUMBER(SEARCH(MAP_TNHN!C7&amp;" (2 tiết)",'PL11'!$S$7)),1,0)+IF(ISNUMBER(SEARCH(MAP_TNHN!C7&amp;" (2 tiết)",'PL11'!$S$8)),1,0)+IF(ISNUMBER(SEARCH(MAP_TNHN!C7&amp;" (2 tiết)",'PL11'!$S$9)),1,0)+IF(ISNUMBER(SEARCH(MAP_TNHN!C7&amp;" (2 tiết)",'PL11'!$S$10)),1,0)+IF(ISNUMBER(SEARCH(MAP_TNHN!C7&amp;" (2 tiết)",'PL11'!$S$11)),1,0)+IF(ISNUMBER(SEARCH(MAP_TNHN!C7&amp;" (2 tiết)",'PL11'!$S$12)),1,0)+IF(ISNUMBER(SEARCH(MAP_TNHN!C7&amp;" (2 tiết)",'PL11'!$S$13)),1,0)+IF(ISNUMBER(SEARCH(MAP_TNHN!C7&amp;" (2 tiết)",'PL11'!$S$14)),1,0)+IF(ISNUMBER(SEARCH(MAP_TNHN!C7&amp;" (2 tiết)",'PL11'!$S$15)),1,0)+IF(ISNUMBER(SEARCH(MAP_TNHN!C7&amp;" (2 tiết)",'PL11'!$S$16)),1,0)+IF(ISNUMBER(SEARCH(MAP_TNHN!C7&amp;" (2 tiết)",'PL11'!$S$17)),1,0)+IF(ISNUMBER(SEARCH(MAP_TNHN!C7&amp;" (2 tiết)",'PL11'!$S$18)),1,0))))</f>
        <v>0</v>
      </c>
      <c r="AY7">
        <f>IF(S7="",0,IF(MAP_TNHN!D7="",S7*3,S7*3-2*(IF(ISNUMBER(SEARCH(MAP_TNHN!D7&amp;" (1 tiết)",'PL10'!$S$5)),1,0)+IF(ISNUMBER(SEARCH(MAP_TNHN!D7&amp;" (1 tiết)",'PL10'!$S$6)),1,0)+IF(ISNUMBER(SEARCH(MAP_TNHN!D7&amp;" (1 tiết)",'PL10'!$S$7)),1,0)+IF(ISNUMBER(SEARCH(MAP_TNHN!D7&amp;" (1 tiết)",'PL10'!$S$8)),1,0)+IF(ISNUMBER(SEARCH(MAP_TNHN!D7&amp;" (1 tiết)",'PL10'!$S$9)),1,0)+IF(ISNUMBER(SEARCH(MAP_TNHN!D7&amp;" (1 tiết)",'PL10'!$S$10)),1,0)+IF(ISNUMBER(SEARCH(MAP_TNHN!D7&amp;" (1 tiết)",'PL10'!$S$11)),1,0)+IF(ISNUMBER(SEARCH(MAP_TNHN!D7&amp;" (1 tiết)",'PL10'!$S$12)),1,0)+IF(ISNUMBER(SEARCH(MAP_TNHN!D7&amp;" (1 tiết)",'PL10'!$S$13)),1,0)+IF(ISNUMBER(SEARCH(MAP_TNHN!D7&amp;" (1 tiết)",'PL10'!$S$14)),1,0)+IF(ISNUMBER(SEARCH(MAP_TNHN!D7&amp;" (1 tiết)",'PL10'!$S$15)),1,0)+IF(ISNUMBER(SEARCH(MAP_TNHN!D7&amp;" (1 tiết)",'PL10'!$S$16)),1,0)+IF(ISNUMBER(SEARCH(MAP_TNHN!D7&amp;" (1 tiết)",'PL10'!$S$17)),1,0)+IF(ISNUMBER(SEARCH(MAP_TNHN!D7&amp;" (1 tiết)",'PL10'!$S$18)),1,0)+IF(ISNUMBER(SEARCH(MAP_TNHN!D7&amp;" (1 tiết)",'PL10'!$S$19)),1,0)+IF(ISNUMBER(SEARCH(MAP_TNHN!D7&amp;" (1 tiết)",'PL10'!$S$20)),1,0)+IF(ISNUMBER(SEARCH(MAP_TNHN!D7&amp;" (1 tiết)",'PL10'!$S$21)),1,0)+IF(ISNUMBER(SEARCH(MAP_TNHN!D7&amp;" (1 tiết)",'PL10'!$S$22)),1,0)+IF(ISNUMBER(SEARCH(MAP_TNHN!D7&amp;" (1 tiết)",'PL10'!$S$23)),1,0)+IF(ISNUMBER(SEARCH(MAP_TNHN!D7&amp;" (1 tiết)",'PL10'!$S$24)),1,0)+IF(ISNUMBER(SEARCH(MAP_TNHN!D7&amp;" (1 tiết)",'PL10'!$S$25)),1,0))-(IF(ISNUMBER(SEARCH(MAP_TNHN!D7&amp;" (2 tiết)",'PL10'!$S$5)),1,0)+IF(ISNUMBER(SEARCH(MAP_TNHN!D7&amp;" (2 tiết)",'PL10'!$S$6)),1,0)+IF(ISNUMBER(SEARCH(MAP_TNHN!D7&amp;" (2 tiết)",'PL10'!$S$7)),1,0)+IF(ISNUMBER(SEARCH(MAP_TNHN!D7&amp;" (2 tiết)",'PL10'!$S$8)),1,0)+IF(ISNUMBER(SEARCH(MAP_TNHN!D7&amp;" (2 tiết)",'PL10'!$S$9)),1,0)+IF(ISNUMBER(SEARCH(MAP_TNHN!D7&amp;" (2 tiết)",'PL10'!$S$10)),1,0)+IF(ISNUMBER(SEARCH(MAP_TNHN!D7&amp;" (2 tiết)",'PL10'!$S$11)),1,0)+IF(ISNUMBER(SEARCH(MAP_TNHN!D7&amp;" (2 tiết)",'PL10'!$S$12)),1,0)+IF(ISNUMBER(SEARCH(MAP_TNHN!D7&amp;" (2 tiết)",'PL10'!$S$13)),1,0)+IF(ISNUMBER(SEARCH(MAP_TNHN!D7&amp;" (2 tiết)",'PL10'!$S$14)),1,0)+IF(ISNUMBER(SEARCH(MAP_TNHN!D7&amp;" (2 tiết)",'PL10'!$S$15)),1,0)+IF(ISNUMBER(SEARCH(MAP_TNHN!D7&amp;" (2 tiết)",'PL10'!$S$16)),1,0)+IF(ISNUMBER(SEARCH(MAP_TNHN!D7&amp;" (2 tiết)",'PL10'!$S$17)),1,0)+IF(ISNUMBER(SEARCH(MAP_TNHN!D7&amp;" (2 tiết)",'PL10'!$S$18)),1,0)+IF(ISNUMBER(SEARCH(MAP_TNHN!D7&amp;" (2 tiết)",'PL10'!$S$19)),1,0)+IF(ISNUMBER(SEARCH(MAP_TNHN!D7&amp;" (2 tiết)",'PL10'!$S$20)),1,0)+IF(ISNUMBER(SEARCH(MAP_TNHN!D7&amp;" (2 tiết)",'PL10'!$S$21)),1,0)+IF(ISNUMBER(SEARCH(MAP_TNHN!D7&amp;" (2 tiết)",'PL10'!$S$22)),1,0)+IF(ISNUMBER(SEARCH(MAP_TNHN!D7&amp;" (2 tiết)",'PL10'!$S$23)),1,0)+IF(ISNUMBER(SEARCH(MAP_TNHN!D7&amp;" (2 tiết)",'PL10'!$S$24)),1,0)+IF(ISNUMBER(SEARCH(MAP_TNHN!D7&amp;" (2 tiết)",'PL10'!$S$25)),1,0))))</f>
        <v>1</v>
      </c>
    </row>
    <row r="8" spans="1:51" x14ac:dyDescent="0.35">
      <c r="A8" s="311"/>
      <c r="B8" s="8">
        <v>3</v>
      </c>
      <c r="C8" s="9" t="s">
        <v>49</v>
      </c>
      <c r="D8" s="20"/>
      <c r="E8" s="10"/>
      <c r="F8" s="10"/>
      <c r="G8" s="10"/>
      <c r="H8" s="10"/>
      <c r="I8" s="159"/>
      <c r="J8" s="10"/>
      <c r="K8" s="6">
        <v>4</v>
      </c>
      <c r="L8" s="6"/>
      <c r="M8" s="6"/>
      <c r="N8" s="139">
        <v>1</v>
      </c>
      <c r="O8" s="6"/>
      <c r="P8" s="223">
        <v>2</v>
      </c>
      <c r="Q8" s="42"/>
      <c r="R8" s="42"/>
      <c r="S8" s="138"/>
      <c r="T8" s="42"/>
      <c r="U8" s="11">
        <f>E8*'Phân tiết'!$M$7+G8*('Phân tiết'!$M$21/3)+H8*'Phân tiết'!$L$26+AW8+J8*'Phân tiết'!$M$20+K8*'Phân tiết'!$I$7+M8*('Phân tiết'!$I$21/3)+AX8+O8*'Phân tiết'!$I$20+P8*'Phân tiết'!$E$7+R8*('Phân tiết'!$E$21/3)+AY8+T8*'Phân tiết'!$E$20</f>
        <v>20</v>
      </c>
      <c r="V8" s="8">
        <f t="shared" si="0"/>
        <v>0</v>
      </c>
      <c r="W8" s="6"/>
      <c r="X8" s="6"/>
      <c r="Y8" s="8"/>
      <c r="Z8" s="43">
        <f t="shared" si="1"/>
        <v>20</v>
      </c>
      <c r="AA8" s="34">
        <f t="shared" si="2"/>
        <v>3</v>
      </c>
      <c r="AB8" s="8"/>
      <c r="AC8" s="8"/>
      <c r="AD8" s="6">
        <f t="shared" si="3"/>
        <v>0</v>
      </c>
      <c r="AE8" s="8"/>
      <c r="AF8" s="8"/>
      <c r="AG8" s="6">
        <f t="shared" si="5"/>
        <v>0</v>
      </c>
      <c r="AH8" s="8"/>
      <c r="AI8" s="8"/>
      <c r="AJ8" s="6">
        <f t="shared" si="4"/>
        <v>0</v>
      </c>
      <c r="AK8" s="6">
        <f t="shared" si="6"/>
        <v>99</v>
      </c>
      <c r="AL8" s="8"/>
      <c r="AM8" s="8"/>
      <c r="AN8" s="8" t="s">
        <v>46</v>
      </c>
      <c r="AO8" s="8" t="s">
        <v>46</v>
      </c>
      <c r="AP8" s="8" t="s">
        <v>46</v>
      </c>
      <c r="AQ8" s="8"/>
      <c r="AR8" s="8"/>
      <c r="AS8" s="8"/>
      <c r="AT8" s="8" t="s">
        <v>46</v>
      </c>
      <c r="AU8" s="8"/>
      <c r="AV8" s="8"/>
      <c r="AW8">
        <f>IF(I8="",0,IF(MAP_TNHN!B8="",I8*3,I8*3-2*(IF(ISNUMBER(SEARCH(MAP_TNHN!B8&amp;" (1 tiết)",'PL12'!$S$5)),1,0)+IF(ISNUMBER(SEARCH(MAP_TNHN!B8&amp;" (1 tiết)",'PL12'!$S$6)),1,0)+IF(ISNUMBER(SEARCH(MAP_TNHN!B8&amp;" (1 tiết)",'PL12'!$S$7)),1,0)+IF(ISNUMBER(SEARCH(MAP_TNHN!B8&amp;" (1 tiết)",'PL12'!$S$8)),1,0)+IF(ISNUMBER(SEARCH(MAP_TNHN!B8&amp;" (1 tiết)",'PL12'!$S$9)),1,0)+IF(ISNUMBER(SEARCH(MAP_TNHN!B8&amp;" (1 tiết)",'PL12'!$S$10)),1,0)+IF(ISNUMBER(SEARCH(MAP_TNHN!B8&amp;" (1 tiết)",'PL12'!$S$11)),1,0)+IF(ISNUMBER(SEARCH(MAP_TNHN!B8&amp;" (1 tiết)",'PL12'!$S$12)),1,0)+IF(ISNUMBER(SEARCH(MAP_TNHN!B8&amp;" (1 tiết)",'PL12'!$S$13)),1,0)+IF(ISNUMBER(SEARCH(MAP_TNHN!B8&amp;" (1 tiết)",'PL12'!$S$14)),1,0)+IF(ISNUMBER(SEARCH(MAP_TNHN!B8&amp;" (1 tiết)",'PL12'!$S$15)),1,0)+IF(ISNUMBER(SEARCH(MAP_TNHN!B8&amp;" (1 tiết)",'PL12'!$S$16)),1,0)+IF(ISNUMBER(SEARCH(MAP_TNHN!B8&amp;" (1 tiết)",'PL12'!$S$17)),1,0)+IF(ISNUMBER(SEARCH(MAP_TNHN!B8&amp;" (1 tiết)",'PL12'!$S$18)),1,0)+IF(ISNUMBER(SEARCH(MAP_TNHN!B8&amp;" (1 tiết)",'PL12'!$S$19)),1,0))-(IF(ISNUMBER(SEARCH(MAP_TNHN!B8&amp;" (2 tiết)",'PL12'!$S$5)),1,0)+IF(ISNUMBER(SEARCH(MAP_TNHN!B8&amp;" (2 tiết)",'PL12'!$S$6)),1,0)+IF(ISNUMBER(SEARCH(MAP_TNHN!B8&amp;" (2 tiết)",'PL12'!$S$7)),1,0)+IF(ISNUMBER(SEARCH(MAP_TNHN!B8&amp;" (2 tiết)",'PL12'!$S$8)),1,0)+IF(ISNUMBER(SEARCH(MAP_TNHN!B8&amp;" (2 tiết)",'PL12'!$S$9)),1,0)+IF(ISNUMBER(SEARCH(MAP_TNHN!B8&amp;" (2 tiết)",'PL12'!$S$10)),1,0)+IF(ISNUMBER(SEARCH(MAP_TNHN!B8&amp;" (2 tiết)",'PL12'!$S$11)),1,0)+IF(ISNUMBER(SEARCH(MAP_TNHN!B8&amp;" (2 tiết)",'PL12'!$S$12)),1,0)+IF(ISNUMBER(SEARCH(MAP_TNHN!B8&amp;" (2 tiết)",'PL12'!$S$13)),1,0)+IF(ISNUMBER(SEARCH(MAP_TNHN!B8&amp;" (2 tiết)",'PL12'!$S$14)),1,0)+IF(ISNUMBER(SEARCH(MAP_TNHN!B8&amp;" (2 tiết)",'PL12'!$S$15)),1,0)+IF(ISNUMBER(SEARCH(MAP_TNHN!B8&amp;" (2 tiết)",'PL12'!$S$16)),1,0)+IF(ISNUMBER(SEARCH(MAP_TNHN!B8&amp;" (2 tiết)",'PL12'!$S$17)),1,0)+IF(ISNUMBER(SEARCH(MAP_TNHN!B8&amp;" (2 tiết)",'PL12'!$S$18)),1,0)+IF(ISNUMBER(SEARCH(MAP_TNHN!B8&amp;" (2 tiết)",'PL12'!$S$19)),1,0))))</f>
        <v>0</v>
      </c>
      <c r="AX8">
        <f>IF(N8="",0,IF(MAP_TNHN!C8="",N8*3,N8*3-2*(IF(ISNUMBER(SEARCH(MAP_TNHN!C8&amp;" (1 tiết)",'PL11'!$S$5)),1,0)+IF(ISNUMBER(SEARCH(MAP_TNHN!C8&amp;" (1 tiết)",'PL11'!$S$6)),1,0)+IF(ISNUMBER(SEARCH(MAP_TNHN!C8&amp;" (1 tiết)",'PL11'!$S$7)),1,0)+IF(ISNUMBER(SEARCH(MAP_TNHN!C8&amp;" (1 tiết)",'PL11'!$S$8)),1,0)+IF(ISNUMBER(SEARCH(MAP_TNHN!C8&amp;" (1 tiết)",'PL11'!$S$9)),1,0)+IF(ISNUMBER(SEARCH(MAP_TNHN!C8&amp;" (1 tiết)",'PL11'!$S$10)),1,0)+IF(ISNUMBER(SEARCH(MAP_TNHN!C8&amp;" (1 tiết)",'PL11'!$S$11)),1,0)+IF(ISNUMBER(SEARCH(MAP_TNHN!C8&amp;" (1 tiết)",'PL11'!$S$12)),1,0)+IF(ISNUMBER(SEARCH(MAP_TNHN!C8&amp;" (1 tiết)",'PL11'!$S$13)),1,0)+IF(ISNUMBER(SEARCH(MAP_TNHN!C8&amp;" (1 tiết)",'PL11'!$S$14)),1,0)+IF(ISNUMBER(SEARCH(MAP_TNHN!C8&amp;" (1 tiết)",'PL11'!$S$15)),1,0)+IF(ISNUMBER(SEARCH(MAP_TNHN!C8&amp;" (1 tiết)",'PL11'!$S$16)),1,0)+IF(ISNUMBER(SEARCH(MAP_TNHN!C8&amp;" (1 tiết)",'PL11'!$S$17)),1,0)+IF(ISNUMBER(SEARCH(MAP_TNHN!C8&amp;" (1 tiết)",'PL11'!$S$18)),1,0))-(IF(ISNUMBER(SEARCH(MAP_TNHN!C8&amp;" (2 tiết)",'PL11'!$S$5)),1,0)+IF(ISNUMBER(SEARCH(MAP_TNHN!C8&amp;" (2 tiết)",'PL11'!$S$6)),1,0)+IF(ISNUMBER(SEARCH(MAP_TNHN!C8&amp;" (2 tiết)",'PL11'!$S$7)),1,0)+IF(ISNUMBER(SEARCH(MAP_TNHN!C8&amp;" (2 tiết)",'PL11'!$S$8)),1,0)+IF(ISNUMBER(SEARCH(MAP_TNHN!C8&amp;" (2 tiết)",'PL11'!$S$9)),1,0)+IF(ISNUMBER(SEARCH(MAP_TNHN!C8&amp;" (2 tiết)",'PL11'!$S$10)),1,0)+IF(ISNUMBER(SEARCH(MAP_TNHN!C8&amp;" (2 tiết)",'PL11'!$S$11)),1,0)+IF(ISNUMBER(SEARCH(MAP_TNHN!C8&amp;" (2 tiết)",'PL11'!$S$12)),1,0)+IF(ISNUMBER(SEARCH(MAP_TNHN!C8&amp;" (2 tiết)",'PL11'!$S$13)),1,0)+IF(ISNUMBER(SEARCH(MAP_TNHN!C8&amp;" (2 tiết)",'PL11'!$S$14)),1,0)+IF(ISNUMBER(SEARCH(MAP_TNHN!C8&amp;" (2 tiết)",'PL11'!$S$15)),1,0)+IF(ISNUMBER(SEARCH(MAP_TNHN!C8&amp;" (2 tiết)",'PL11'!$S$16)),1,0)+IF(ISNUMBER(SEARCH(MAP_TNHN!C8&amp;" (2 tiết)",'PL11'!$S$17)),1,0)+IF(ISNUMBER(SEARCH(MAP_TNHN!C8&amp;" (2 tiết)",'PL11'!$S$18)),1,0))))</f>
        <v>2</v>
      </c>
      <c r="AY8">
        <f>IF(S8="",0,IF(MAP_TNHN!D8="",S8*3,S8*3-2*(IF(ISNUMBER(SEARCH(MAP_TNHN!D8&amp;" (1 tiết)",'PL10'!$S$5)),1,0)+IF(ISNUMBER(SEARCH(MAP_TNHN!D8&amp;" (1 tiết)",'PL10'!$S$6)),1,0)+IF(ISNUMBER(SEARCH(MAP_TNHN!D8&amp;" (1 tiết)",'PL10'!$S$7)),1,0)+IF(ISNUMBER(SEARCH(MAP_TNHN!D8&amp;" (1 tiết)",'PL10'!$S$8)),1,0)+IF(ISNUMBER(SEARCH(MAP_TNHN!D8&amp;" (1 tiết)",'PL10'!$S$9)),1,0)+IF(ISNUMBER(SEARCH(MAP_TNHN!D8&amp;" (1 tiết)",'PL10'!$S$10)),1,0)+IF(ISNUMBER(SEARCH(MAP_TNHN!D8&amp;" (1 tiết)",'PL10'!$S$11)),1,0)+IF(ISNUMBER(SEARCH(MAP_TNHN!D8&amp;" (1 tiết)",'PL10'!$S$12)),1,0)+IF(ISNUMBER(SEARCH(MAP_TNHN!D8&amp;" (1 tiết)",'PL10'!$S$13)),1,0)+IF(ISNUMBER(SEARCH(MAP_TNHN!D8&amp;" (1 tiết)",'PL10'!$S$14)),1,0)+IF(ISNUMBER(SEARCH(MAP_TNHN!D8&amp;" (1 tiết)",'PL10'!$S$15)),1,0)+IF(ISNUMBER(SEARCH(MAP_TNHN!D8&amp;" (1 tiết)",'PL10'!$S$16)),1,0)+IF(ISNUMBER(SEARCH(MAP_TNHN!D8&amp;" (1 tiết)",'PL10'!$S$17)),1,0)+IF(ISNUMBER(SEARCH(MAP_TNHN!D8&amp;" (1 tiết)",'PL10'!$S$18)),1,0)+IF(ISNUMBER(SEARCH(MAP_TNHN!D8&amp;" (1 tiết)",'PL10'!$S$19)),1,0)+IF(ISNUMBER(SEARCH(MAP_TNHN!D8&amp;" (1 tiết)",'PL10'!$S$20)),1,0)+IF(ISNUMBER(SEARCH(MAP_TNHN!D8&amp;" (1 tiết)",'PL10'!$S$21)),1,0)+IF(ISNUMBER(SEARCH(MAP_TNHN!D8&amp;" (1 tiết)",'PL10'!$S$22)),1,0)+IF(ISNUMBER(SEARCH(MAP_TNHN!D8&amp;" (1 tiết)",'PL10'!$S$23)),1,0)+IF(ISNUMBER(SEARCH(MAP_TNHN!D8&amp;" (1 tiết)",'PL10'!$S$24)),1,0)+IF(ISNUMBER(SEARCH(MAP_TNHN!D8&amp;" (1 tiết)",'PL10'!$S$25)),1,0))-(IF(ISNUMBER(SEARCH(MAP_TNHN!D8&amp;" (2 tiết)",'PL10'!$S$5)),1,0)+IF(ISNUMBER(SEARCH(MAP_TNHN!D8&amp;" (2 tiết)",'PL10'!$S$6)),1,0)+IF(ISNUMBER(SEARCH(MAP_TNHN!D8&amp;" (2 tiết)",'PL10'!$S$7)),1,0)+IF(ISNUMBER(SEARCH(MAP_TNHN!D8&amp;" (2 tiết)",'PL10'!$S$8)),1,0)+IF(ISNUMBER(SEARCH(MAP_TNHN!D8&amp;" (2 tiết)",'PL10'!$S$9)),1,0)+IF(ISNUMBER(SEARCH(MAP_TNHN!D8&amp;" (2 tiết)",'PL10'!$S$10)),1,0)+IF(ISNUMBER(SEARCH(MAP_TNHN!D8&amp;" (2 tiết)",'PL10'!$S$11)),1,0)+IF(ISNUMBER(SEARCH(MAP_TNHN!D8&amp;" (2 tiết)",'PL10'!$S$12)),1,0)+IF(ISNUMBER(SEARCH(MAP_TNHN!D8&amp;" (2 tiết)",'PL10'!$S$13)),1,0)+IF(ISNUMBER(SEARCH(MAP_TNHN!D8&amp;" (2 tiết)",'PL10'!$S$14)),1,0)+IF(ISNUMBER(SEARCH(MAP_TNHN!D8&amp;" (2 tiết)",'PL10'!$S$15)),1,0)+IF(ISNUMBER(SEARCH(MAP_TNHN!D8&amp;" (2 tiết)",'PL10'!$S$16)),1,0)+IF(ISNUMBER(SEARCH(MAP_TNHN!D8&amp;" (2 tiết)",'PL10'!$S$17)),1,0)+IF(ISNUMBER(SEARCH(MAP_TNHN!D8&amp;" (2 tiết)",'PL10'!$S$18)),1,0)+IF(ISNUMBER(SEARCH(MAP_TNHN!D8&amp;" (2 tiết)",'PL10'!$S$19)),1,0)+IF(ISNUMBER(SEARCH(MAP_TNHN!D8&amp;" (2 tiết)",'PL10'!$S$20)),1,0)+IF(ISNUMBER(SEARCH(MAP_TNHN!D8&amp;" (2 tiết)",'PL10'!$S$21)),1,0)+IF(ISNUMBER(SEARCH(MAP_TNHN!D8&amp;" (2 tiết)",'PL10'!$S$22)),1,0)+IF(ISNUMBER(SEARCH(MAP_TNHN!D8&amp;" (2 tiết)",'PL10'!$S$23)),1,0)+IF(ISNUMBER(SEARCH(MAP_TNHN!D8&amp;" (2 tiết)",'PL10'!$S$24)),1,0)+IF(ISNUMBER(SEARCH(MAP_TNHN!D8&amp;" (2 tiết)",'PL10'!$S$25)),1,0))))</f>
        <v>0</v>
      </c>
    </row>
    <row r="9" spans="1:51" x14ac:dyDescent="0.35">
      <c r="A9" s="311"/>
      <c r="B9" s="8">
        <v>4</v>
      </c>
      <c r="C9" s="9" t="s">
        <v>50</v>
      </c>
      <c r="D9" s="20">
        <v>10</v>
      </c>
      <c r="E9" s="10">
        <v>2</v>
      </c>
      <c r="F9" s="10"/>
      <c r="G9" s="10"/>
      <c r="H9" s="10"/>
      <c r="I9" s="159"/>
      <c r="J9" s="10"/>
      <c r="K9" s="223">
        <v>1</v>
      </c>
      <c r="L9" s="6"/>
      <c r="M9" s="6"/>
      <c r="N9" s="139"/>
      <c r="O9" s="6"/>
      <c r="P9" s="42">
        <v>3</v>
      </c>
      <c r="Q9" s="42">
        <v>1</v>
      </c>
      <c r="R9" s="42"/>
      <c r="S9" s="166">
        <v>1</v>
      </c>
      <c r="T9" s="42"/>
      <c r="U9" s="11">
        <f>E9*'Phân tiết'!$M$7+G9*('Phân tiết'!$M$21/3)+H9*'Phân tiết'!$L$26+AW9+J9*'Phân tiết'!$M$20+K9*'Phân tiết'!$I$7+M9*('Phân tiết'!$I$21/3)+AX9+O9*'Phân tiết'!$I$20+P9*'Phân tiết'!$E$7+R9*('Phân tiết'!$E$21/3)+AY9+T9*'Phân tiết'!$E$20</f>
        <v>19</v>
      </c>
      <c r="V9" s="8">
        <f t="shared" si="0"/>
        <v>4</v>
      </c>
      <c r="W9" s="6" t="s">
        <v>51</v>
      </c>
      <c r="X9" s="6"/>
      <c r="Y9" s="8">
        <v>1</v>
      </c>
      <c r="Z9" s="43">
        <f t="shared" si="1"/>
        <v>24</v>
      </c>
      <c r="AA9" s="34">
        <f t="shared" si="2"/>
        <v>7</v>
      </c>
      <c r="AB9" s="8"/>
      <c r="AC9" s="8"/>
      <c r="AD9" s="6">
        <f t="shared" si="3"/>
        <v>0</v>
      </c>
      <c r="AE9" s="8">
        <v>2</v>
      </c>
      <c r="AF9" s="8">
        <v>15</v>
      </c>
      <c r="AG9" s="6">
        <f t="shared" si="5"/>
        <v>45</v>
      </c>
      <c r="AH9" s="8"/>
      <c r="AI9" s="8"/>
      <c r="AJ9" s="6">
        <f t="shared" si="4"/>
        <v>0</v>
      </c>
      <c r="AK9" s="6">
        <f t="shared" si="6"/>
        <v>276</v>
      </c>
      <c r="AL9" s="8"/>
      <c r="AM9" s="8" t="s">
        <v>52</v>
      </c>
      <c r="AN9" s="8"/>
      <c r="AO9" s="8" t="s">
        <v>46</v>
      </c>
      <c r="AP9" s="8" t="s">
        <v>46</v>
      </c>
      <c r="AQ9" s="8" t="s">
        <v>46</v>
      </c>
      <c r="AR9" s="8" t="s">
        <v>46</v>
      </c>
      <c r="AS9" s="8"/>
      <c r="AT9" s="8" t="s">
        <v>46</v>
      </c>
      <c r="AU9" s="8"/>
      <c r="AV9" s="8"/>
      <c r="AW9">
        <f>IF(I9="",0,IF(MAP_TNHN!B9="",I9*3,I9*3-2*(IF(ISNUMBER(SEARCH(MAP_TNHN!B9&amp;" (1 tiết)",'PL12'!$S$5)),1,0)+IF(ISNUMBER(SEARCH(MAP_TNHN!B9&amp;" (1 tiết)",'PL12'!$S$6)),1,0)+IF(ISNUMBER(SEARCH(MAP_TNHN!B9&amp;" (1 tiết)",'PL12'!$S$7)),1,0)+IF(ISNUMBER(SEARCH(MAP_TNHN!B9&amp;" (1 tiết)",'PL12'!$S$8)),1,0)+IF(ISNUMBER(SEARCH(MAP_TNHN!B9&amp;" (1 tiết)",'PL12'!$S$9)),1,0)+IF(ISNUMBER(SEARCH(MAP_TNHN!B9&amp;" (1 tiết)",'PL12'!$S$10)),1,0)+IF(ISNUMBER(SEARCH(MAP_TNHN!B9&amp;" (1 tiết)",'PL12'!$S$11)),1,0)+IF(ISNUMBER(SEARCH(MAP_TNHN!B9&amp;" (1 tiết)",'PL12'!$S$12)),1,0)+IF(ISNUMBER(SEARCH(MAP_TNHN!B9&amp;" (1 tiết)",'PL12'!$S$13)),1,0)+IF(ISNUMBER(SEARCH(MAP_TNHN!B9&amp;" (1 tiết)",'PL12'!$S$14)),1,0)+IF(ISNUMBER(SEARCH(MAP_TNHN!B9&amp;" (1 tiết)",'PL12'!$S$15)),1,0)+IF(ISNUMBER(SEARCH(MAP_TNHN!B9&amp;" (1 tiết)",'PL12'!$S$16)),1,0)+IF(ISNUMBER(SEARCH(MAP_TNHN!B9&amp;" (1 tiết)",'PL12'!$S$17)),1,0)+IF(ISNUMBER(SEARCH(MAP_TNHN!B9&amp;" (1 tiết)",'PL12'!$S$18)),1,0)+IF(ISNUMBER(SEARCH(MAP_TNHN!B9&amp;" (1 tiết)",'PL12'!$S$19)),1,0))-(IF(ISNUMBER(SEARCH(MAP_TNHN!B9&amp;" (2 tiết)",'PL12'!$S$5)),1,0)+IF(ISNUMBER(SEARCH(MAP_TNHN!B9&amp;" (2 tiết)",'PL12'!$S$6)),1,0)+IF(ISNUMBER(SEARCH(MAP_TNHN!B9&amp;" (2 tiết)",'PL12'!$S$7)),1,0)+IF(ISNUMBER(SEARCH(MAP_TNHN!B9&amp;" (2 tiết)",'PL12'!$S$8)),1,0)+IF(ISNUMBER(SEARCH(MAP_TNHN!B9&amp;" (2 tiết)",'PL12'!$S$9)),1,0)+IF(ISNUMBER(SEARCH(MAP_TNHN!B9&amp;" (2 tiết)",'PL12'!$S$10)),1,0)+IF(ISNUMBER(SEARCH(MAP_TNHN!B9&amp;" (2 tiết)",'PL12'!$S$11)),1,0)+IF(ISNUMBER(SEARCH(MAP_TNHN!B9&amp;" (2 tiết)",'PL12'!$S$12)),1,0)+IF(ISNUMBER(SEARCH(MAP_TNHN!B9&amp;" (2 tiết)",'PL12'!$S$13)),1,0)+IF(ISNUMBER(SEARCH(MAP_TNHN!B9&amp;" (2 tiết)",'PL12'!$S$14)),1,0)+IF(ISNUMBER(SEARCH(MAP_TNHN!B9&amp;" (2 tiết)",'PL12'!$S$15)),1,0)+IF(ISNUMBER(SEARCH(MAP_TNHN!B9&amp;" (2 tiết)",'PL12'!$S$16)),1,0)+IF(ISNUMBER(SEARCH(MAP_TNHN!B9&amp;" (2 tiết)",'PL12'!$S$17)),1,0)+IF(ISNUMBER(SEARCH(MAP_TNHN!B9&amp;" (2 tiết)",'PL12'!$S$18)),1,0)+IF(ISNUMBER(SEARCH(MAP_TNHN!B9&amp;" (2 tiết)",'PL12'!$S$19)),1,0))))</f>
        <v>0</v>
      </c>
      <c r="AX9">
        <f>IF(N9="",0,IF(MAP_TNHN!C9="",N9*3,N9*3-2*(IF(ISNUMBER(SEARCH(MAP_TNHN!C9&amp;" (1 tiết)",'PL11'!$S$5)),1,0)+IF(ISNUMBER(SEARCH(MAP_TNHN!C9&amp;" (1 tiết)",'PL11'!$S$6)),1,0)+IF(ISNUMBER(SEARCH(MAP_TNHN!C9&amp;" (1 tiết)",'PL11'!$S$7)),1,0)+IF(ISNUMBER(SEARCH(MAP_TNHN!C9&amp;" (1 tiết)",'PL11'!$S$8)),1,0)+IF(ISNUMBER(SEARCH(MAP_TNHN!C9&amp;" (1 tiết)",'PL11'!$S$9)),1,0)+IF(ISNUMBER(SEARCH(MAP_TNHN!C9&amp;" (1 tiết)",'PL11'!$S$10)),1,0)+IF(ISNUMBER(SEARCH(MAP_TNHN!C9&amp;" (1 tiết)",'PL11'!$S$11)),1,0)+IF(ISNUMBER(SEARCH(MAP_TNHN!C9&amp;" (1 tiết)",'PL11'!$S$12)),1,0)+IF(ISNUMBER(SEARCH(MAP_TNHN!C9&amp;" (1 tiết)",'PL11'!$S$13)),1,0)+IF(ISNUMBER(SEARCH(MAP_TNHN!C9&amp;" (1 tiết)",'PL11'!$S$14)),1,0)+IF(ISNUMBER(SEARCH(MAP_TNHN!C9&amp;" (1 tiết)",'PL11'!$S$15)),1,0)+IF(ISNUMBER(SEARCH(MAP_TNHN!C9&amp;" (1 tiết)",'PL11'!$S$16)),1,0)+IF(ISNUMBER(SEARCH(MAP_TNHN!C9&amp;" (1 tiết)",'PL11'!$S$17)),1,0)+IF(ISNUMBER(SEARCH(MAP_TNHN!C9&amp;" (1 tiết)",'PL11'!$S$18)),1,0))-(IF(ISNUMBER(SEARCH(MAP_TNHN!C9&amp;" (2 tiết)",'PL11'!$S$5)),1,0)+IF(ISNUMBER(SEARCH(MAP_TNHN!C9&amp;" (2 tiết)",'PL11'!$S$6)),1,0)+IF(ISNUMBER(SEARCH(MAP_TNHN!C9&amp;" (2 tiết)",'PL11'!$S$7)),1,0)+IF(ISNUMBER(SEARCH(MAP_TNHN!C9&amp;" (2 tiết)",'PL11'!$S$8)),1,0)+IF(ISNUMBER(SEARCH(MAP_TNHN!C9&amp;" (2 tiết)",'PL11'!$S$9)),1,0)+IF(ISNUMBER(SEARCH(MAP_TNHN!C9&amp;" (2 tiết)",'PL11'!$S$10)),1,0)+IF(ISNUMBER(SEARCH(MAP_TNHN!C9&amp;" (2 tiết)",'PL11'!$S$11)),1,0)+IF(ISNUMBER(SEARCH(MAP_TNHN!C9&amp;" (2 tiết)",'PL11'!$S$12)),1,0)+IF(ISNUMBER(SEARCH(MAP_TNHN!C9&amp;" (2 tiết)",'PL11'!$S$13)),1,0)+IF(ISNUMBER(SEARCH(MAP_TNHN!C9&amp;" (2 tiết)",'PL11'!$S$14)),1,0)+IF(ISNUMBER(SEARCH(MAP_TNHN!C9&amp;" (2 tiết)",'PL11'!$S$15)),1,0)+IF(ISNUMBER(SEARCH(MAP_TNHN!C9&amp;" (2 tiết)",'PL11'!$S$16)),1,0)+IF(ISNUMBER(SEARCH(MAP_TNHN!C9&amp;" (2 tiết)",'PL11'!$S$17)),1,0)+IF(ISNUMBER(SEARCH(MAP_TNHN!C9&amp;" (2 tiết)",'PL11'!$S$18)),1,0))))</f>
        <v>0</v>
      </c>
      <c r="AY9">
        <f>IF(S9="",0,IF(MAP_TNHN!D9="",S9*3,S9*3-2*(IF(ISNUMBER(SEARCH(MAP_TNHN!D9&amp;" (1 tiết)",'PL10'!$S$5)),1,0)+IF(ISNUMBER(SEARCH(MAP_TNHN!D9&amp;" (1 tiết)",'PL10'!$S$6)),1,0)+IF(ISNUMBER(SEARCH(MAP_TNHN!D9&amp;" (1 tiết)",'PL10'!$S$7)),1,0)+IF(ISNUMBER(SEARCH(MAP_TNHN!D9&amp;" (1 tiết)",'PL10'!$S$8)),1,0)+IF(ISNUMBER(SEARCH(MAP_TNHN!D9&amp;" (1 tiết)",'PL10'!$S$9)),1,0)+IF(ISNUMBER(SEARCH(MAP_TNHN!D9&amp;" (1 tiết)",'PL10'!$S$10)),1,0)+IF(ISNUMBER(SEARCH(MAP_TNHN!D9&amp;" (1 tiết)",'PL10'!$S$11)),1,0)+IF(ISNUMBER(SEARCH(MAP_TNHN!D9&amp;" (1 tiết)",'PL10'!$S$12)),1,0)+IF(ISNUMBER(SEARCH(MAP_TNHN!D9&amp;" (1 tiết)",'PL10'!$S$13)),1,0)+IF(ISNUMBER(SEARCH(MAP_TNHN!D9&amp;" (1 tiết)",'PL10'!$S$14)),1,0)+IF(ISNUMBER(SEARCH(MAP_TNHN!D9&amp;" (1 tiết)",'PL10'!$S$15)),1,0)+IF(ISNUMBER(SEARCH(MAP_TNHN!D9&amp;" (1 tiết)",'PL10'!$S$16)),1,0)+IF(ISNUMBER(SEARCH(MAP_TNHN!D9&amp;" (1 tiết)",'PL10'!$S$17)),1,0)+IF(ISNUMBER(SEARCH(MAP_TNHN!D9&amp;" (1 tiết)",'PL10'!$S$18)),1,0)+IF(ISNUMBER(SEARCH(MAP_TNHN!D9&amp;" (1 tiết)",'PL10'!$S$19)),1,0)+IF(ISNUMBER(SEARCH(MAP_TNHN!D9&amp;" (1 tiết)",'PL10'!$S$20)),1,0)+IF(ISNUMBER(SEARCH(MAP_TNHN!D9&amp;" (1 tiết)",'PL10'!$S$21)),1,0)+IF(ISNUMBER(SEARCH(MAP_TNHN!D9&amp;" (1 tiết)",'PL10'!$S$22)),1,0)+IF(ISNUMBER(SEARCH(MAP_TNHN!D9&amp;" (1 tiết)",'PL10'!$S$23)),1,0)+IF(ISNUMBER(SEARCH(MAP_TNHN!D9&amp;" (1 tiết)",'PL10'!$S$24)),1,0)+IF(ISNUMBER(SEARCH(MAP_TNHN!D9&amp;" (1 tiết)",'PL10'!$S$25)),1,0))-(IF(ISNUMBER(SEARCH(MAP_TNHN!D9&amp;" (2 tiết)",'PL10'!$S$5)),1,0)+IF(ISNUMBER(SEARCH(MAP_TNHN!D9&amp;" (2 tiết)",'PL10'!$S$6)),1,0)+IF(ISNUMBER(SEARCH(MAP_TNHN!D9&amp;" (2 tiết)",'PL10'!$S$7)),1,0)+IF(ISNUMBER(SEARCH(MAP_TNHN!D9&amp;" (2 tiết)",'PL10'!$S$8)),1,0)+IF(ISNUMBER(SEARCH(MAP_TNHN!D9&amp;" (2 tiết)",'PL10'!$S$9)),1,0)+IF(ISNUMBER(SEARCH(MAP_TNHN!D9&amp;" (2 tiết)",'PL10'!$S$10)),1,0)+IF(ISNUMBER(SEARCH(MAP_TNHN!D9&amp;" (2 tiết)",'PL10'!$S$11)),1,0)+IF(ISNUMBER(SEARCH(MAP_TNHN!D9&amp;" (2 tiết)",'PL10'!$S$12)),1,0)+IF(ISNUMBER(SEARCH(MAP_TNHN!D9&amp;" (2 tiết)",'PL10'!$S$13)),1,0)+IF(ISNUMBER(SEARCH(MAP_TNHN!D9&amp;" (2 tiết)",'PL10'!$S$14)),1,0)+IF(ISNUMBER(SEARCH(MAP_TNHN!D9&amp;" (2 tiết)",'PL10'!$S$15)),1,0)+IF(ISNUMBER(SEARCH(MAP_TNHN!D9&amp;" (2 tiết)",'PL10'!$S$16)),1,0)+IF(ISNUMBER(SEARCH(MAP_TNHN!D9&amp;" (2 tiết)",'PL10'!$S$17)),1,0)+IF(ISNUMBER(SEARCH(MAP_TNHN!D9&amp;" (2 tiết)",'PL10'!$S$18)),1,0)+IF(ISNUMBER(SEARCH(MAP_TNHN!D9&amp;" (2 tiết)",'PL10'!$S$19)),1,0)+IF(ISNUMBER(SEARCH(MAP_TNHN!D9&amp;" (2 tiết)",'PL10'!$S$20)),1,0)+IF(ISNUMBER(SEARCH(MAP_TNHN!D9&amp;" (2 tiết)",'PL10'!$S$21)),1,0)+IF(ISNUMBER(SEARCH(MAP_TNHN!D9&amp;" (2 tiết)",'PL10'!$S$22)),1,0)+IF(ISNUMBER(SEARCH(MAP_TNHN!D9&amp;" (2 tiết)",'PL10'!$S$23)),1,0)+IF(ISNUMBER(SEARCH(MAP_TNHN!D9&amp;" (2 tiết)",'PL10'!$S$24)),1,0)+IF(ISNUMBER(SEARCH(MAP_TNHN!D9&amp;" (2 tiết)",'PL10'!$S$25)),1,0))))</f>
        <v>1</v>
      </c>
    </row>
    <row r="10" spans="1:51" x14ac:dyDescent="0.35">
      <c r="A10" s="311"/>
      <c r="B10" s="8">
        <v>5</v>
      </c>
      <c r="C10" s="9" t="s">
        <v>53</v>
      </c>
      <c r="D10" s="20">
        <v>12</v>
      </c>
      <c r="E10" s="10">
        <v>2</v>
      </c>
      <c r="F10" s="10">
        <v>1</v>
      </c>
      <c r="G10" s="10"/>
      <c r="H10" s="10">
        <v>2</v>
      </c>
      <c r="I10" s="307"/>
      <c r="J10" s="10"/>
      <c r="K10" s="6">
        <v>2</v>
      </c>
      <c r="L10" s="6"/>
      <c r="M10" s="6"/>
      <c r="N10" s="139"/>
      <c r="O10" s="6"/>
      <c r="P10" s="42"/>
      <c r="Q10" s="42"/>
      <c r="R10" s="42"/>
      <c r="S10" s="138"/>
      <c r="T10" s="42"/>
      <c r="U10" s="11">
        <f>E10*'Phân tiết'!$M$7+G10*('Phân tiết'!$M$21/3)+H10*'Phân tiết'!$L$26+AW10+J10*'Phân tiết'!$M$20+K10*'Phân tiết'!$I$7+M10*('Phân tiết'!$I$21/3)+AX10+O10*'Phân tiết'!$I$20+P10*'Phân tiết'!$E$7+R10*('Phân tiết'!$E$21/3)+AY10+T10*'Phân tiết'!$E$20</f>
        <v>16</v>
      </c>
      <c r="V10" s="8">
        <f t="shared" si="0"/>
        <v>4</v>
      </c>
      <c r="W10" s="6"/>
      <c r="X10" s="6" t="s">
        <v>54</v>
      </c>
      <c r="Y10" s="8">
        <v>1</v>
      </c>
      <c r="Z10" s="43">
        <f t="shared" si="1"/>
        <v>21</v>
      </c>
      <c r="AA10" s="34">
        <f t="shared" si="2"/>
        <v>4</v>
      </c>
      <c r="AB10" s="8"/>
      <c r="AC10" s="8"/>
      <c r="AD10" s="6">
        <f t="shared" si="3"/>
        <v>0</v>
      </c>
      <c r="AE10" s="8">
        <v>2</v>
      </c>
      <c r="AF10" s="8">
        <v>18</v>
      </c>
      <c r="AG10" s="6">
        <f t="shared" si="5"/>
        <v>54</v>
      </c>
      <c r="AH10" s="8"/>
      <c r="AI10" s="8"/>
      <c r="AJ10" s="6">
        <f t="shared" si="4"/>
        <v>0</v>
      </c>
      <c r="AK10" s="6">
        <f t="shared" si="6"/>
        <v>186</v>
      </c>
      <c r="AL10" s="8"/>
      <c r="AM10" s="8" t="s">
        <v>55</v>
      </c>
      <c r="AN10" s="8"/>
      <c r="AO10" s="8" t="s">
        <v>46</v>
      </c>
      <c r="AP10" s="8" t="s">
        <v>46</v>
      </c>
      <c r="AQ10" s="8" t="s">
        <v>46</v>
      </c>
      <c r="AR10" s="8" t="s">
        <v>46</v>
      </c>
      <c r="AS10" s="8"/>
      <c r="AT10" s="8" t="s">
        <v>46</v>
      </c>
      <c r="AU10" s="8"/>
      <c r="AV10" s="8"/>
      <c r="AW10">
        <f>IF(I10="",0,IF(MAP_TNHN!B10="",I10*3,I10*3-2*(IF(ISNUMBER(SEARCH(MAP_TNHN!B10&amp;" (1 tiết)",'PL12'!$S$5)),1,0)+IF(ISNUMBER(SEARCH(MAP_TNHN!B10&amp;" (1 tiết)",'PL12'!$S$6)),1,0)+IF(ISNUMBER(SEARCH(MAP_TNHN!B10&amp;" (1 tiết)",'PL12'!$S$7)),1,0)+IF(ISNUMBER(SEARCH(MAP_TNHN!B10&amp;" (1 tiết)",'PL12'!$S$8)),1,0)+IF(ISNUMBER(SEARCH(MAP_TNHN!B10&amp;" (1 tiết)",'PL12'!$S$9)),1,0)+IF(ISNUMBER(SEARCH(MAP_TNHN!B10&amp;" (1 tiết)",'PL12'!$S$10)),1,0)+IF(ISNUMBER(SEARCH(MAP_TNHN!B10&amp;" (1 tiết)",'PL12'!$S$11)),1,0)+IF(ISNUMBER(SEARCH(MAP_TNHN!B10&amp;" (1 tiết)",'PL12'!$S$12)),1,0)+IF(ISNUMBER(SEARCH(MAP_TNHN!B10&amp;" (1 tiết)",'PL12'!$S$13)),1,0)+IF(ISNUMBER(SEARCH(MAP_TNHN!B10&amp;" (1 tiết)",'PL12'!$S$14)),1,0)+IF(ISNUMBER(SEARCH(MAP_TNHN!B10&amp;" (1 tiết)",'PL12'!$S$15)),1,0)+IF(ISNUMBER(SEARCH(MAP_TNHN!B10&amp;" (1 tiết)",'PL12'!$S$16)),1,0)+IF(ISNUMBER(SEARCH(MAP_TNHN!B10&amp;" (1 tiết)",'PL12'!$S$17)),1,0)+IF(ISNUMBER(SEARCH(MAP_TNHN!B10&amp;" (1 tiết)",'PL12'!$S$18)),1,0)+IF(ISNUMBER(SEARCH(MAP_TNHN!B10&amp;" (1 tiết)",'PL12'!$S$19)),1,0))-(IF(ISNUMBER(SEARCH(MAP_TNHN!B10&amp;" (2 tiết)",'PL12'!$S$5)),1,0)+IF(ISNUMBER(SEARCH(MAP_TNHN!B10&amp;" (2 tiết)",'PL12'!$S$6)),1,0)+IF(ISNUMBER(SEARCH(MAP_TNHN!B10&amp;" (2 tiết)",'PL12'!$S$7)),1,0)+IF(ISNUMBER(SEARCH(MAP_TNHN!B10&amp;" (2 tiết)",'PL12'!$S$8)),1,0)+IF(ISNUMBER(SEARCH(MAP_TNHN!B10&amp;" (2 tiết)",'PL12'!$S$9)),1,0)+IF(ISNUMBER(SEARCH(MAP_TNHN!B10&amp;" (2 tiết)",'PL12'!$S$10)),1,0)+IF(ISNUMBER(SEARCH(MAP_TNHN!B10&amp;" (2 tiết)",'PL12'!$S$11)),1,0)+IF(ISNUMBER(SEARCH(MAP_TNHN!B10&amp;" (2 tiết)",'PL12'!$S$12)),1,0)+IF(ISNUMBER(SEARCH(MAP_TNHN!B10&amp;" (2 tiết)",'PL12'!$S$13)),1,0)+IF(ISNUMBER(SEARCH(MAP_TNHN!B10&amp;" (2 tiết)",'PL12'!$S$14)),1,0)+IF(ISNUMBER(SEARCH(MAP_TNHN!B10&amp;" (2 tiết)",'PL12'!$S$15)),1,0)+IF(ISNUMBER(SEARCH(MAP_TNHN!B10&amp;" (2 tiết)",'PL12'!$S$16)),1,0)+IF(ISNUMBER(SEARCH(MAP_TNHN!B10&amp;" (2 tiết)",'PL12'!$S$17)),1,0)+IF(ISNUMBER(SEARCH(MAP_TNHN!B10&amp;" (2 tiết)",'PL12'!$S$18)),1,0)+IF(ISNUMBER(SEARCH(MAP_TNHN!B10&amp;" (2 tiết)",'PL12'!$S$19)),1,0))))</f>
        <v>0</v>
      </c>
      <c r="AX10">
        <f>IF(N10="",0,IF(MAP_TNHN!C10="",N10*3,N10*3-2*(IF(ISNUMBER(SEARCH(MAP_TNHN!C10&amp;" (1 tiết)",'PL11'!$S$5)),1,0)+IF(ISNUMBER(SEARCH(MAP_TNHN!C10&amp;" (1 tiết)",'PL11'!$S$6)),1,0)+IF(ISNUMBER(SEARCH(MAP_TNHN!C10&amp;" (1 tiết)",'PL11'!$S$7)),1,0)+IF(ISNUMBER(SEARCH(MAP_TNHN!C10&amp;" (1 tiết)",'PL11'!$S$8)),1,0)+IF(ISNUMBER(SEARCH(MAP_TNHN!C10&amp;" (1 tiết)",'PL11'!$S$9)),1,0)+IF(ISNUMBER(SEARCH(MAP_TNHN!C10&amp;" (1 tiết)",'PL11'!$S$10)),1,0)+IF(ISNUMBER(SEARCH(MAP_TNHN!C10&amp;" (1 tiết)",'PL11'!$S$11)),1,0)+IF(ISNUMBER(SEARCH(MAP_TNHN!C10&amp;" (1 tiết)",'PL11'!$S$12)),1,0)+IF(ISNUMBER(SEARCH(MAP_TNHN!C10&amp;" (1 tiết)",'PL11'!$S$13)),1,0)+IF(ISNUMBER(SEARCH(MAP_TNHN!C10&amp;" (1 tiết)",'PL11'!$S$14)),1,0)+IF(ISNUMBER(SEARCH(MAP_TNHN!C10&amp;" (1 tiết)",'PL11'!$S$15)),1,0)+IF(ISNUMBER(SEARCH(MAP_TNHN!C10&amp;" (1 tiết)",'PL11'!$S$16)),1,0)+IF(ISNUMBER(SEARCH(MAP_TNHN!C10&amp;" (1 tiết)",'PL11'!$S$17)),1,0)+IF(ISNUMBER(SEARCH(MAP_TNHN!C10&amp;" (1 tiết)",'PL11'!$S$18)),1,0))-(IF(ISNUMBER(SEARCH(MAP_TNHN!C10&amp;" (2 tiết)",'PL11'!$S$5)),1,0)+IF(ISNUMBER(SEARCH(MAP_TNHN!C10&amp;" (2 tiết)",'PL11'!$S$6)),1,0)+IF(ISNUMBER(SEARCH(MAP_TNHN!C10&amp;" (2 tiết)",'PL11'!$S$7)),1,0)+IF(ISNUMBER(SEARCH(MAP_TNHN!C10&amp;" (2 tiết)",'PL11'!$S$8)),1,0)+IF(ISNUMBER(SEARCH(MAP_TNHN!C10&amp;" (2 tiết)",'PL11'!$S$9)),1,0)+IF(ISNUMBER(SEARCH(MAP_TNHN!C10&amp;" (2 tiết)",'PL11'!$S$10)),1,0)+IF(ISNUMBER(SEARCH(MAP_TNHN!C10&amp;" (2 tiết)",'PL11'!$S$11)),1,0)+IF(ISNUMBER(SEARCH(MAP_TNHN!C10&amp;" (2 tiết)",'PL11'!$S$12)),1,0)+IF(ISNUMBER(SEARCH(MAP_TNHN!C10&amp;" (2 tiết)",'PL11'!$S$13)),1,0)+IF(ISNUMBER(SEARCH(MAP_TNHN!C10&amp;" (2 tiết)",'PL11'!$S$14)),1,0)+IF(ISNUMBER(SEARCH(MAP_TNHN!C10&amp;" (2 tiết)",'PL11'!$S$15)),1,0)+IF(ISNUMBER(SEARCH(MAP_TNHN!C10&amp;" (2 tiết)",'PL11'!$S$16)),1,0)+IF(ISNUMBER(SEARCH(MAP_TNHN!C10&amp;" (2 tiết)",'PL11'!$S$17)),1,0)+IF(ISNUMBER(SEARCH(MAP_TNHN!C10&amp;" (2 tiết)",'PL11'!$S$18)),1,0))))</f>
        <v>0</v>
      </c>
      <c r="AY10">
        <f>IF(S10="",0,IF(MAP_TNHN!D10="",S10*3,S10*3-2*(IF(ISNUMBER(SEARCH(MAP_TNHN!D10&amp;" (1 tiết)",'PL10'!$S$5)),1,0)+IF(ISNUMBER(SEARCH(MAP_TNHN!D10&amp;" (1 tiết)",'PL10'!$S$6)),1,0)+IF(ISNUMBER(SEARCH(MAP_TNHN!D10&amp;" (1 tiết)",'PL10'!$S$7)),1,0)+IF(ISNUMBER(SEARCH(MAP_TNHN!D10&amp;" (1 tiết)",'PL10'!$S$8)),1,0)+IF(ISNUMBER(SEARCH(MAP_TNHN!D10&amp;" (1 tiết)",'PL10'!$S$9)),1,0)+IF(ISNUMBER(SEARCH(MAP_TNHN!D10&amp;" (1 tiết)",'PL10'!$S$10)),1,0)+IF(ISNUMBER(SEARCH(MAP_TNHN!D10&amp;" (1 tiết)",'PL10'!$S$11)),1,0)+IF(ISNUMBER(SEARCH(MAP_TNHN!D10&amp;" (1 tiết)",'PL10'!$S$12)),1,0)+IF(ISNUMBER(SEARCH(MAP_TNHN!D10&amp;" (1 tiết)",'PL10'!$S$13)),1,0)+IF(ISNUMBER(SEARCH(MAP_TNHN!D10&amp;" (1 tiết)",'PL10'!$S$14)),1,0)+IF(ISNUMBER(SEARCH(MAP_TNHN!D10&amp;" (1 tiết)",'PL10'!$S$15)),1,0)+IF(ISNUMBER(SEARCH(MAP_TNHN!D10&amp;" (1 tiết)",'PL10'!$S$16)),1,0)+IF(ISNUMBER(SEARCH(MAP_TNHN!D10&amp;" (1 tiết)",'PL10'!$S$17)),1,0)+IF(ISNUMBER(SEARCH(MAP_TNHN!D10&amp;" (1 tiết)",'PL10'!$S$18)),1,0)+IF(ISNUMBER(SEARCH(MAP_TNHN!D10&amp;" (1 tiết)",'PL10'!$S$19)),1,0)+IF(ISNUMBER(SEARCH(MAP_TNHN!D10&amp;" (1 tiết)",'PL10'!$S$20)),1,0)+IF(ISNUMBER(SEARCH(MAP_TNHN!D10&amp;" (1 tiết)",'PL10'!$S$21)),1,0)+IF(ISNUMBER(SEARCH(MAP_TNHN!D10&amp;" (1 tiết)",'PL10'!$S$22)),1,0)+IF(ISNUMBER(SEARCH(MAP_TNHN!D10&amp;" (1 tiết)",'PL10'!$S$23)),1,0)+IF(ISNUMBER(SEARCH(MAP_TNHN!D10&amp;" (1 tiết)",'PL10'!$S$24)),1,0)+IF(ISNUMBER(SEARCH(MAP_TNHN!D10&amp;" (1 tiết)",'PL10'!$S$25)),1,0))-(IF(ISNUMBER(SEARCH(MAP_TNHN!D10&amp;" (2 tiết)",'PL10'!$S$5)),1,0)+IF(ISNUMBER(SEARCH(MAP_TNHN!D10&amp;" (2 tiết)",'PL10'!$S$6)),1,0)+IF(ISNUMBER(SEARCH(MAP_TNHN!D10&amp;" (2 tiết)",'PL10'!$S$7)),1,0)+IF(ISNUMBER(SEARCH(MAP_TNHN!D10&amp;" (2 tiết)",'PL10'!$S$8)),1,0)+IF(ISNUMBER(SEARCH(MAP_TNHN!D10&amp;" (2 tiết)",'PL10'!$S$9)),1,0)+IF(ISNUMBER(SEARCH(MAP_TNHN!D10&amp;" (2 tiết)",'PL10'!$S$10)),1,0)+IF(ISNUMBER(SEARCH(MAP_TNHN!D10&amp;" (2 tiết)",'PL10'!$S$11)),1,0)+IF(ISNUMBER(SEARCH(MAP_TNHN!D10&amp;" (2 tiết)",'PL10'!$S$12)),1,0)+IF(ISNUMBER(SEARCH(MAP_TNHN!D10&amp;" (2 tiết)",'PL10'!$S$13)),1,0)+IF(ISNUMBER(SEARCH(MAP_TNHN!D10&amp;" (2 tiết)",'PL10'!$S$14)),1,0)+IF(ISNUMBER(SEARCH(MAP_TNHN!D10&amp;" (2 tiết)",'PL10'!$S$15)),1,0)+IF(ISNUMBER(SEARCH(MAP_TNHN!D10&amp;" (2 tiết)",'PL10'!$S$16)),1,0)+IF(ISNUMBER(SEARCH(MAP_TNHN!D10&amp;" (2 tiết)",'PL10'!$S$17)),1,0)+IF(ISNUMBER(SEARCH(MAP_TNHN!D10&amp;" (2 tiết)",'PL10'!$S$18)),1,0)+IF(ISNUMBER(SEARCH(MAP_TNHN!D10&amp;" (2 tiết)",'PL10'!$S$19)),1,0)+IF(ISNUMBER(SEARCH(MAP_TNHN!D10&amp;" (2 tiết)",'PL10'!$S$20)),1,0)+IF(ISNUMBER(SEARCH(MAP_TNHN!D10&amp;" (2 tiết)",'PL10'!$S$21)),1,0)+IF(ISNUMBER(SEARCH(MAP_TNHN!D10&amp;" (2 tiết)",'PL10'!$S$22)),1,0)+IF(ISNUMBER(SEARCH(MAP_TNHN!D10&amp;" (2 tiết)",'PL10'!$S$23)),1,0)+IF(ISNUMBER(SEARCH(MAP_TNHN!D10&amp;" (2 tiết)",'PL10'!$S$24)),1,0)+IF(ISNUMBER(SEARCH(MAP_TNHN!D10&amp;" (2 tiết)",'PL10'!$S$25)),1,0))))</f>
        <v>0</v>
      </c>
    </row>
    <row r="11" spans="1:51" x14ac:dyDescent="0.35">
      <c r="A11" s="311"/>
      <c r="B11" s="8">
        <v>6</v>
      </c>
      <c r="C11" s="9" t="s">
        <v>56</v>
      </c>
      <c r="D11" s="20">
        <v>10</v>
      </c>
      <c r="E11" s="10"/>
      <c r="F11" s="10"/>
      <c r="G11" s="10"/>
      <c r="H11" s="10"/>
      <c r="I11" s="159"/>
      <c r="J11" s="10"/>
      <c r="K11" s="223">
        <v>3</v>
      </c>
      <c r="L11" s="6"/>
      <c r="M11" s="6"/>
      <c r="N11" s="139"/>
      <c r="O11" s="6"/>
      <c r="P11" s="42">
        <v>3</v>
      </c>
      <c r="Q11" s="42">
        <v>1</v>
      </c>
      <c r="R11" s="42"/>
      <c r="S11" s="166">
        <v>1</v>
      </c>
      <c r="T11" s="42"/>
      <c r="U11" s="11">
        <f>E11*'Phân tiết'!$M$7+G11*('Phân tiết'!$M$21/3)+H11*'Phân tiết'!$L$26+AW11+J11*'Phân tiết'!$M$20+K11*'Phân tiết'!$I$7+M11*('Phân tiết'!$I$21/3)+AX11+O11*'Phân tiết'!$I$20+P11*'Phân tiết'!$E$7+R11*('Phân tiết'!$E$21/3)+AY11+T11*'Phân tiết'!$E$20</f>
        <v>19</v>
      </c>
      <c r="V11" s="8">
        <f t="shared" si="0"/>
        <v>4</v>
      </c>
      <c r="W11" s="6"/>
      <c r="X11" s="6"/>
      <c r="Y11" s="8"/>
      <c r="Z11" s="43">
        <f t="shared" si="1"/>
        <v>23</v>
      </c>
      <c r="AA11" s="34">
        <f t="shared" si="2"/>
        <v>6</v>
      </c>
      <c r="AB11" s="8"/>
      <c r="AC11" s="8"/>
      <c r="AD11" s="6">
        <f t="shared" si="3"/>
        <v>0</v>
      </c>
      <c r="AE11" s="8">
        <v>2</v>
      </c>
      <c r="AF11" s="8">
        <v>15</v>
      </c>
      <c r="AG11" s="6">
        <f t="shared" si="5"/>
        <v>45</v>
      </c>
      <c r="AH11" s="8"/>
      <c r="AI11" s="8"/>
      <c r="AJ11" s="6">
        <f t="shared" si="4"/>
        <v>0</v>
      </c>
      <c r="AK11" s="6">
        <f t="shared" si="6"/>
        <v>243</v>
      </c>
      <c r="AL11" s="8"/>
      <c r="AM11" s="8" t="s">
        <v>57</v>
      </c>
      <c r="AN11" s="8"/>
      <c r="AO11" s="8" t="s">
        <v>46</v>
      </c>
      <c r="AP11" s="8" t="s">
        <v>46</v>
      </c>
      <c r="AQ11" s="8" t="s">
        <v>46</v>
      </c>
      <c r="AR11" s="8" t="s">
        <v>46</v>
      </c>
      <c r="AS11" s="8"/>
      <c r="AT11" s="8" t="s">
        <v>46</v>
      </c>
      <c r="AU11" s="8"/>
      <c r="AV11" s="8"/>
      <c r="AW11">
        <f>IF(I11="",0,IF(MAP_TNHN!B11="",I11*3,I11*3-2*(IF(ISNUMBER(SEARCH(MAP_TNHN!B11&amp;" (1 tiết)",'PL12'!$S$5)),1,0)+IF(ISNUMBER(SEARCH(MAP_TNHN!B11&amp;" (1 tiết)",'PL12'!$S$6)),1,0)+IF(ISNUMBER(SEARCH(MAP_TNHN!B11&amp;" (1 tiết)",'PL12'!$S$7)),1,0)+IF(ISNUMBER(SEARCH(MAP_TNHN!B11&amp;" (1 tiết)",'PL12'!$S$8)),1,0)+IF(ISNUMBER(SEARCH(MAP_TNHN!B11&amp;" (1 tiết)",'PL12'!$S$9)),1,0)+IF(ISNUMBER(SEARCH(MAP_TNHN!B11&amp;" (1 tiết)",'PL12'!$S$10)),1,0)+IF(ISNUMBER(SEARCH(MAP_TNHN!B11&amp;" (1 tiết)",'PL12'!$S$11)),1,0)+IF(ISNUMBER(SEARCH(MAP_TNHN!B11&amp;" (1 tiết)",'PL12'!$S$12)),1,0)+IF(ISNUMBER(SEARCH(MAP_TNHN!B11&amp;" (1 tiết)",'PL12'!$S$13)),1,0)+IF(ISNUMBER(SEARCH(MAP_TNHN!B11&amp;" (1 tiết)",'PL12'!$S$14)),1,0)+IF(ISNUMBER(SEARCH(MAP_TNHN!B11&amp;" (1 tiết)",'PL12'!$S$15)),1,0)+IF(ISNUMBER(SEARCH(MAP_TNHN!B11&amp;" (1 tiết)",'PL12'!$S$16)),1,0)+IF(ISNUMBER(SEARCH(MAP_TNHN!B11&amp;" (1 tiết)",'PL12'!$S$17)),1,0)+IF(ISNUMBER(SEARCH(MAP_TNHN!B11&amp;" (1 tiết)",'PL12'!$S$18)),1,0)+IF(ISNUMBER(SEARCH(MAP_TNHN!B11&amp;" (1 tiết)",'PL12'!$S$19)),1,0))-(IF(ISNUMBER(SEARCH(MAP_TNHN!B11&amp;" (2 tiết)",'PL12'!$S$5)),1,0)+IF(ISNUMBER(SEARCH(MAP_TNHN!B11&amp;" (2 tiết)",'PL12'!$S$6)),1,0)+IF(ISNUMBER(SEARCH(MAP_TNHN!B11&amp;" (2 tiết)",'PL12'!$S$7)),1,0)+IF(ISNUMBER(SEARCH(MAP_TNHN!B11&amp;" (2 tiết)",'PL12'!$S$8)),1,0)+IF(ISNUMBER(SEARCH(MAP_TNHN!B11&amp;" (2 tiết)",'PL12'!$S$9)),1,0)+IF(ISNUMBER(SEARCH(MAP_TNHN!B11&amp;" (2 tiết)",'PL12'!$S$10)),1,0)+IF(ISNUMBER(SEARCH(MAP_TNHN!B11&amp;" (2 tiết)",'PL12'!$S$11)),1,0)+IF(ISNUMBER(SEARCH(MAP_TNHN!B11&amp;" (2 tiết)",'PL12'!$S$12)),1,0)+IF(ISNUMBER(SEARCH(MAP_TNHN!B11&amp;" (2 tiết)",'PL12'!$S$13)),1,0)+IF(ISNUMBER(SEARCH(MAP_TNHN!B11&amp;" (2 tiết)",'PL12'!$S$14)),1,0)+IF(ISNUMBER(SEARCH(MAP_TNHN!B11&amp;" (2 tiết)",'PL12'!$S$15)),1,0)+IF(ISNUMBER(SEARCH(MAP_TNHN!B11&amp;" (2 tiết)",'PL12'!$S$16)),1,0)+IF(ISNUMBER(SEARCH(MAP_TNHN!B11&amp;" (2 tiết)",'PL12'!$S$17)),1,0)+IF(ISNUMBER(SEARCH(MAP_TNHN!B11&amp;" (2 tiết)",'PL12'!$S$18)),1,0)+IF(ISNUMBER(SEARCH(MAP_TNHN!B11&amp;" (2 tiết)",'PL12'!$S$19)),1,0))))</f>
        <v>0</v>
      </c>
      <c r="AX11">
        <f>IF(N11="",0,IF(MAP_TNHN!C11="",N11*3,N11*3-2*(IF(ISNUMBER(SEARCH(MAP_TNHN!C11&amp;" (1 tiết)",'PL11'!$S$5)),1,0)+IF(ISNUMBER(SEARCH(MAP_TNHN!C11&amp;" (1 tiết)",'PL11'!$S$6)),1,0)+IF(ISNUMBER(SEARCH(MAP_TNHN!C11&amp;" (1 tiết)",'PL11'!$S$7)),1,0)+IF(ISNUMBER(SEARCH(MAP_TNHN!C11&amp;" (1 tiết)",'PL11'!$S$8)),1,0)+IF(ISNUMBER(SEARCH(MAP_TNHN!C11&amp;" (1 tiết)",'PL11'!$S$9)),1,0)+IF(ISNUMBER(SEARCH(MAP_TNHN!C11&amp;" (1 tiết)",'PL11'!$S$10)),1,0)+IF(ISNUMBER(SEARCH(MAP_TNHN!C11&amp;" (1 tiết)",'PL11'!$S$11)),1,0)+IF(ISNUMBER(SEARCH(MAP_TNHN!C11&amp;" (1 tiết)",'PL11'!$S$12)),1,0)+IF(ISNUMBER(SEARCH(MAP_TNHN!C11&amp;" (1 tiết)",'PL11'!$S$13)),1,0)+IF(ISNUMBER(SEARCH(MAP_TNHN!C11&amp;" (1 tiết)",'PL11'!$S$14)),1,0)+IF(ISNUMBER(SEARCH(MAP_TNHN!C11&amp;" (1 tiết)",'PL11'!$S$15)),1,0)+IF(ISNUMBER(SEARCH(MAP_TNHN!C11&amp;" (1 tiết)",'PL11'!$S$16)),1,0)+IF(ISNUMBER(SEARCH(MAP_TNHN!C11&amp;" (1 tiết)",'PL11'!$S$17)),1,0)+IF(ISNUMBER(SEARCH(MAP_TNHN!C11&amp;" (1 tiết)",'PL11'!$S$18)),1,0))-(IF(ISNUMBER(SEARCH(MAP_TNHN!C11&amp;" (2 tiết)",'PL11'!$S$5)),1,0)+IF(ISNUMBER(SEARCH(MAP_TNHN!C11&amp;" (2 tiết)",'PL11'!$S$6)),1,0)+IF(ISNUMBER(SEARCH(MAP_TNHN!C11&amp;" (2 tiết)",'PL11'!$S$7)),1,0)+IF(ISNUMBER(SEARCH(MAP_TNHN!C11&amp;" (2 tiết)",'PL11'!$S$8)),1,0)+IF(ISNUMBER(SEARCH(MAP_TNHN!C11&amp;" (2 tiết)",'PL11'!$S$9)),1,0)+IF(ISNUMBER(SEARCH(MAP_TNHN!C11&amp;" (2 tiết)",'PL11'!$S$10)),1,0)+IF(ISNUMBER(SEARCH(MAP_TNHN!C11&amp;" (2 tiết)",'PL11'!$S$11)),1,0)+IF(ISNUMBER(SEARCH(MAP_TNHN!C11&amp;" (2 tiết)",'PL11'!$S$12)),1,0)+IF(ISNUMBER(SEARCH(MAP_TNHN!C11&amp;" (2 tiết)",'PL11'!$S$13)),1,0)+IF(ISNUMBER(SEARCH(MAP_TNHN!C11&amp;" (2 tiết)",'PL11'!$S$14)),1,0)+IF(ISNUMBER(SEARCH(MAP_TNHN!C11&amp;" (2 tiết)",'PL11'!$S$15)),1,0)+IF(ISNUMBER(SEARCH(MAP_TNHN!C11&amp;" (2 tiết)",'PL11'!$S$16)),1,0)+IF(ISNUMBER(SEARCH(MAP_TNHN!C11&amp;" (2 tiết)",'PL11'!$S$17)),1,0)+IF(ISNUMBER(SEARCH(MAP_TNHN!C11&amp;" (2 tiết)",'PL11'!$S$18)),1,0))))</f>
        <v>0</v>
      </c>
      <c r="AY11">
        <f>IF(S11="",0,IF(MAP_TNHN!D11="",S11*3,S11*3-2*(IF(ISNUMBER(SEARCH(MAP_TNHN!D11&amp;" (1 tiết)",'PL10'!$S$5)),1,0)+IF(ISNUMBER(SEARCH(MAP_TNHN!D11&amp;" (1 tiết)",'PL10'!$S$6)),1,0)+IF(ISNUMBER(SEARCH(MAP_TNHN!D11&amp;" (1 tiết)",'PL10'!$S$7)),1,0)+IF(ISNUMBER(SEARCH(MAP_TNHN!D11&amp;" (1 tiết)",'PL10'!$S$8)),1,0)+IF(ISNUMBER(SEARCH(MAP_TNHN!D11&amp;" (1 tiết)",'PL10'!$S$9)),1,0)+IF(ISNUMBER(SEARCH(MAP_TNHN!D11&amp;" (1 tiết)",'PL10'!$S$10)),1,0)+IF(ISNUMBER(SEARCH(MAP_TNHN!D11&amp;" (1 tiết)",'PL10'!$S$11)),1,0)+IF(ISNUMBER(SEARCH(MAP_TNHN!D11&amp;" (1 tiết)",'PL10'!$S$12)),1,0)+IF(ISNUMBER(SEARCH(MAP_TNHN!D11&amp;" (1 tiết)",'PL10'!$S$13)),1,0)+IF(ISNUMBER(SEARCH(MAP_TNHN!D11&amp;" (1 tiết)",'PL10'!$S$14)),1,0)+IF(ISNUMBER(SEARCH(MAP_TNHN!D11&amp;" (1 tiết)",'PL10'!$S$15)),1,0)+IF(ISNUMBER(SEARCH(MAP_TNHN!D11&amp;" (1 tiết)",'PL10'!$S$16)),1,0)+IF(ISNUMBER(SEARCH(MAP_TNHN!D11&amp;" (1 tiết)",'PL10'!$S$17)),1,0)+IF(ISNUMBER(SEARCH(MAP_TNHN!D11&amp;" (1 tiết)",'PL10'!$S$18)),1,0)+IF(ISNUMBER(SEARCH(MAP_TNHN!D11&amp;" (1 tiết)",'PL10'!$S$19)),1,0)+IF(ISNUMBER(SEARCH(MAP_TNHN!D11&amp;" (1 tiết)",'PL10'!$S$20)),1,0)+IF(ISNUMBER(SEARCH(MAP_TNHN!D11&amp;" (1 tiết)",'PL10'!$S$21)),1,0)+IF(ISNUMBER(SEARCH(MAP_TNHN!D11&amp;" (1 tiết)",'PL10'!$S$22)),1,0)+IF(ISNUMBER(SEARCH(MAP_TNHN!D11&amp;" (1 tiết)",'PL10'!$S$23)),1,0)+IF(ISNUMBER(SEARCH(MAP_TNHN!D11&amp;" (1 tiết)",'PL10'!$S$24)),1,0)+IF(ISNUMBER(SEARCH(MAP_TNHN!D11&amp;" (1 tiết)",'PL10'!$S$25)),1,0))-(IF(ISNUMBER(SEARCH(MAP_TNHN!D11&amp;" (2 tiết)",'PL10'!$S$5)),1,0)+IF(ISNUMBER(SEARCH(MAP_TNHN!D11&amp;" (2 tiết)",'PL10'!$S$6)),1,0)+IF(ISNUMBER(SEARCH(MAP_TNHN!D11&amp;" (2 tiết)",'PL10'!$S$7)),1,0)+IF(ISNUMBER(SEARCH(MAP_TNHN!D11&amp;" (2 tiết)",'PL10'!$S$8)),1,0)+IF(ISNUMBER(SEARCH(MAP_TNHN!D11&amp;" (2 tiết)",'PL10'!$S$9)),1,0)+IF(ISNUMBER(SEARCH(MAP_TNHN!D11&amp;" (2 tiết)",'PL10'!$S$10)),1,0)+IF(ISNUMBER(SEARCH(MAP_TNHN!D11&amp;" (2 tiết)",'PL10'!$S$11)),1,0)+IF(ISNUMBER(SEARCH(MAP_TNHN!D11&amp;" (2 tiết)",'PL10'!$S$12)),1,0)+IF(ISNUMBER(SEARCH(MAP_TNHN!D11&amp;" (2 tiết)",'PL10'!$S$13)),1,0)+IF(ISNUMBER(SEARCH(MAP_TNHN!D11&amp;" (2 tiết)",'PL10'!$S$14)),1,0)+IF(ISNUMBER(SEARCH(MAP_TNHN!D11&amp;" (2 tiết)",'PL10'!$S$15)),1,0)+IF(ISNUMBER(SEARCH(MAP_TNHN!D11&amp;" (2 tiết)",'PL10'!$S$16)),1,0)+IF(ISNUMBER(SEARCH(MAP_TNHN!D11&amp;" (2 tiết)",'PL10'!$S$17)),1,0)+IF(ISNUMBER(SEARCH(MAP_TNHN!D11&amp;" (2 tiết)",'PL10'!$S$18)),1,0)+IF(ISNUMBER(SEARCH(MAP_TNHN!D11&amp;" (2 tiết)",'PL10'!$S$19)),1,0)+IF(ISNUMBER(SEARCH(MAP_TNHN!D11&amp;" (2 tiết)",'PL10'!$S$20)),1,0)+IF(ISNUMBER(SEARCH(MAP_TNHN!D11&amp;" (2 tiết)",'PL10'!$S$21)),1,0)+IF(ISNUMBER(SEARCH(MAP_TNHN!D11&amp;" (2 tiết)",'PL10'!$S$22)),1,0)+IF(ISNUMBER(SEARCH(MAP_TNHN!D11&amp;" (2 tiết)",'PL10'!$S$23)),1,0)+IF(ISNUMBER(SEARCH(MAP_TNHN!D11&amp;" (2 tiết)",'PL10'!$S$24)),1,0)+IF(ISNUMBER(SEARCH(MAP_TNHN!D11&amp;" (2 tiết)",'PL10'!$S$25)),1,0))))</f>
        <v>1</v>
      </c>
    </row>
    <row r="12" spans="1:51" ht="30" x14ac:dyDescent="0.35">
      <c r="A12" s="311"/>
      <c r="B12" s="8">
        <v>7</v>
      </c>
      <c r="C12" s="9" t="s">
        <v>58</v>
      </c>
      <c r="D12" s="20"/>
      <c r="E12" s="10"/>
      <c r="F12" s="10"/>
      <c r="G12" s="10"/>
      <c r="H12" s="10"/>
      <c r="I12" s="159"/>
      <c r="J12" s="10"/>
      <c r="K12" s="223">
        <v>3</v>
      </c>
      <c r="L12" s="6"/>
      <c r="M12" s="6"/>
      <c r="N12" s="139"/>
      <c r="O12" s="6"/>
      <c r="P12" s="223">
        <v>3</v>
      </c>
      <c r="Q12" s="42">
        <v>1</v>
      </c>
      <c r="R12" s="42"/>
      <c r="S12" s="138"/>
      <c r="T12" s="42"/>
      <c r="U12" s="11">
        <f>E12*'Phân tiết'!$M$7+G12*('Phân tiết'!$M$21/3)+H12*'Phân tiết'!$L$26+AW12+J12*'Phân tiết'!$M$20+K12*'Phân tiết'!$I$7+M12*('Phân tiết'!$I$21/3)+AX12+O12*'Phân tiết'!$I$20+P12*'Phân tiết'!$E$7+R12*('Phân tiết'!$E$21/3)+AY12+T12*'Phân tiết'!$E$20</f>
        <v>18</v>
      </c>
      <c r="V12" s="8">
        <f t="shared" si="0"/>
        <v>4</v>
      </c>
      <c r="W12" s="6"/>
      <c r="X12" s="6"/>
      <c r="Y12" s="8"/>
      <c r="Z12" s="43">
        <f t="shared" si="1"/>
        <v>22</v>
      </c>
      <c r="AA12" s="34">
        <f t="shared" si="2"/>
        <v>5</v>
      </c>
      <c r="AB12" s="8"/>
      <c r="AC12" s="8"/>
      <c r="AD12" s="6">
        <f t="shared" si="3"/>
        <v>0</v>
      </c>
      <c r="AE12" s="8"/>
      <c r="AF12" s="8"/>
      <c r="AG12" s="6">
        <f t="shared" si="5"/>
        <v>0</v>
      </c>
      <c r="AH12" s="8"/>
      <c r="AI12" s="8"/>
      <c r="AJ12" s="6">
        <f t="shared" si="4"/>
        <v>0</v>
      </c>
      <c r="AK12" s="6">
        <f t="shared" si="6"/>
        <v>165</v>
      </c>
      <c r="AL12" s="8"/>
      <c r="AM12" s="8"/>
      <c r="AN12" s="8"/>
      <c r="AO12" s="8" t="s">
        <v>46</v>
      </c>
      <c r="AP12" s="8" t="s">
        <v>46</v>
      </c>
      <c r="AQ12" s="8" t="s">
        <v>46</v>
      </c>
      <c r="AR12" s="8" t="s">
        <v>46</v>
      </c>
      <c r="AS12" s="8"/>
      <c r="AT12" s="8" t="s">
        <v>46</v>
      </c>
      <c r="AU12" s="8"/>
      <c r="AV12" s="8" t="s">
        <v>59</v>
      </c>
      <c r="AW12">
        <f>IF(I12="",0,IF(MAP_TNHN!B12="",I12*3,I12*3-2*(IF(ISNUMBER(SEARCH(MAP_TNHN!B12&amp;" (1 tiết)",'PL12'!$S$5)),1,0)+IF(ISNUMBER(SEARCH(MAP_TNHN!B12&amp;" (1 tiết)",'PL12'!$S$6)),1,0)+IF(ISNUMBER(SEARCH(MAP_TNHN!B12&amp;" (1 tiết)",'PL12'!$S$7)),1,0)+IF(ISNUMBER(SEARCH(MAP_TNHN!B12&amp;" (1 tiết)",'PL12'!$S$8)),1,0)+IF(ISNUMBER(SEARCH(MAP_TNHN!B12&amp;" (1 tiết)",'PL12'!$S$9)),1,0)+IF(ISNUMBER(SEARCH(MAP_TNHN!B12&amp;" (1 tiết)",'PL12'!$S$10)),1,0)+IF(ISNUMBER(SEARCH(MAP_TNHN!B12&amp;" (1 tiết)",'PL12'!$S$11)),1,0)+IF(ISNUMBER(SEARCH(MAP_TNHN!B12&amp;" (1 tiết)",'PL12'!$S$12)),1,0)+IF(ISNUMBER(SEARCH(MAP_TNHN!B12&amp;" (1 tiết)",'PL12'!$S$13)),1,0)+IF(ISNUMBER(SEARCH(MAP_TNHN!B12&amp;" (1 tiết)",'PL12'!$S$14)),1,0)+IF(ISNUMBER(SEARCH(MAP_TNHN!B12&amp;" (1 tiết)",'PL12'!$S$15)),1,0)+IF(ISNUMBER(SEARCH(MAP_TNHN!B12&amp;" (1 tiết)",'PL12'!$S$16)),1,0)+IF(ISNUMBER(SEARCH(MAP_TNHN!B12&amp;" (1 tiết)",'PL12'!$S$17)),1,0)+IF(ISNUMBER(SEARCH(MAP_TNHN!B12&amp;" (1 tiết)",'PL12'!$S$18)),1,0)+IF(ISNUMBER(SEARCH(MAP_TNHN!B12&amp;" (1 tiết)",'PL12'!$S$19)),1,0))-(IF(ISNUMBER(SEARCH(MAP_TNHN!B12&amp;" (2 tiết)",'PL12'!$S$5)),1,0)+IF(ISNUMBER(SEARCH(MAP_TNHN!B12&amp;" (2 tiết)",'PL12'!$S$6)),1,0)+IF(ISNUMBER(SEARCH(MAP_TNHN!B12&amp;" (2 tiết)",'PL12'!$S$7)),1,0)+IF(ISNUMBER(SEARCH(MAP_TNHN!B12&amp;" (2 tiết)",'PL12'!$S$8)),1,0)+IF(ISNUMBER(SEARCH(MAP_TNHN!B12&amp;" (2 tiết)",'PL12'!$S$9)),1,0)+IF(ISNUMBER(SEARCH(MAP_TNHN!B12&amp;" (2 tiết)",'PL12'!$S$10)),1,0)+IF(ISNUMBER(SEARCH(MAP_TNHN!B12&amp;" (2 tiết)",'PL12'!$S$11)),1,0)+IF(ISNUMBER(SEARCH(MAP_TNHN!B12&amp;" (2 tiết)",'PL12'!$S$12)),1,0)+IF(ISNUMBER(SEARCH(MAP_TNHN!B12&amp;" (2 tiết)",'PL12'!$S$13)),1,0)+IF(ISNUMBER(SEARCH(MAP_TNHN!B12&amp;" (2 tiết)",'PL12'!$S$14)),1,0)+IF(ISNUMBER(SEARCH(MAP_TNHN!B12&amp;" (2 tiết)",'PL12'!$S$15)),1,0)+IF(ISNUMBER(SEARCH(MAP_TNHN!B12&amp;" (2 tiết)",'PL12'!$S$16)),1,0)+IF(ISNUMBER(SEARCH(MAP_TNHN!B12&amp;" (2 tiết)",'PL12'!$S$17)),1,0)+IF(ISNUMBER(SEARCH(MAP_TNHN!B12&amp;" (2 tiết)",'PL12'!$S$18)),1,0)+IF(ISNUMBER(SEARCH(MAP_TNHN!B12&amp;" (2 tiết)",'PL12'!$S$19)),1,0))))</f>
        <v>0</v>
      </c>
      <c r="AX12">
        <f>IF(N12="",0,IF(MAP_TNHN!C12="",N12*3,N12*3-2*(IF(ISNUMBER(SEARCH(MAP_TNHN!C12&amp;" (1 tiết)",'PL11'!$S$5)),1,0)+IF(ISNUMBER(SEARCH(MAP_TNHN!C12&amp;" (1 tiết)",'PL11'!$S$6)),1,0)+IF(ISNUMBER(SEARCH(MAP_TNHN!C12&amp;" (1 tiết)",'PL11'!$S$7)),1,0)+IF(ISNUMBER(SEARCH(MAP_TNHN!C12&amp;" (1 tiết)",'PL11'!$S$8)),1,0)+IF(ISNUMBER(SEARCH(MAP_TNHN!C12&amp;" (1 tiết)",'PL11'!$S$9)),1,0)+IF(ISNUMBER(SEARCH(MAP_TNHN!C12&amp;" (1 tiết)",'PL11'!$S$10)),1,0)+IF(ISNUMBER(SEARCH(MAP_TNHN!C12&amp;" (1 tiết)",'PL11'!$S$11)),1,0)+IF(ISNUMBER(SEARCH(MAP_TNHN!C12&amp;" (1 tiết)",'PL11'!$S$12)),1,0)+IF(ISNUMBER(SEARCH(MAP_TNHN!C12&amp;" (1 tiết)",'PL11'!$S$13)),1,0)+IF(ISNUMBER(SEARCH(MAP_TNHN!C12&amp;" (1 tiết)",'PL11'!$S$14)),1,0)+IF(ISNUMBER(SEARCH(MAP_TNHN!C12&amp;" (1 tiết)",'PL11'!$S$15)),1,0)+IF(ISNUMBER(SEARCH(MAP_TNHN!C12&amp;" (1 tiết)",'PL11'!$S$16)),1,0)+IF(ISNUMBER(SEARCH(MAP_TNHN!C12&amp;" (1 tiết)",'PL11'!$S$17)),1,0)+IF(ISNUMBER(SEARCH(MAP_TNHN!C12&amp;" (1 tiết)",'PL11'!$S$18)),1,0))-(IF(ISNUMBER(SEARCH(MAP_TNHN!C12&amp;" (2 tiết)",'PL11'!$S$5)),1,0)+IF(ISNUMBER(SEARCH(MAP_TNHN!C12&amp;" (2 tiết)",'PL11'!$S$6)),1,0)+IF(ISNUMBER(SEARCH(MAP_TNHN!C12&amp;" (2 tiết)",'PL11'!$S$7)),1,0)+IF(ISNUMBER(SEARCH(MAP_TNHN!C12&amp;" (2 tiết)",'PL11'!$S$8)),1,0)+IF(ISNUMBER(SEARCH(MAP_TNHN!C12&amp;" (2 tiết)",'PL11'!$S$9)),1,0)+IF(ISNUMBER(SEARCH(MAP_TNHN!C12&amp;" (2 tiết)",'PL11'!$S$10)),1,0)+IF(ISNUMBER(SEARCH(MAP_TNHN!C12&amp;" (2 tiết)",'PL11'!$S$11)),1,0)+IF(ISNUMBER(SEARCH(MAP_TNHN!C12&amp;" (2 tiết)",'PL11'!$S$12)),1,0)+IF(ISNUMBER(SEARCH(MAP_TNHN!C12&amp;" (2 tiết)",'PL11'!$S$13)),1,0)+IF(ISNUMBER(SEARCH(MAP_TNHN!C12&amp;" (2 tiết)",'PL11'!$S$14)),1,0)+IF(ISNUMBER(SEARCH(MAP_TNHN!C12&amp;" (2 tiết)",'PL11'!$S$15)),1,0)+IF(ISNUMBER(SEARCH(MAP_TNHN!C12&amp;" (2 tiết)",'PL11'!$S$16)),1,0)+IF(ISNUMBER(SEARCH(MAP_TNHN!C12&amp;" (2 tiết)",'PL11'!$S$17)),1,0)+IF(ISNUMBER(SEARCH(MAP_TNHN!C12&amp;" (2 tiết)",'PL11'!$S$18)),1,0))))</f>
        <v>0</v>
      </c>
      <c r="AY12">
        <f>IF(S12="",0,IF(MAP_TNHN!D12="",S12*3,S12*3-2*(IF(ISNUMBER(SEARCH(MAP_TNHN!D12&amp;" (1 tiết)",'PL10'!$S$5)),1,0)+IF(ISNUMBER(SEARCH(MAP_TNHN!D12&amp;" (1 tiết)",'PL10'!$S$6)),1,0)+IF(ISNUMBER(SEARCH(MAP_TNHN!D12&amp;" (1 tiết)",'PL10'!$S$7)),1,0)+IF(ISNUMBER(SEARCH(MAP_TNHN!D12&amp;" (1 tiết)",'PL10'!$S$8)),1,0)+IF(ISNUMBER(SEARCH(MAP_TNHN!D12&amp;" (1 tiết)",'PL10'!$S$9)),1,0)+IF(ISNUMBER(SEARCH(MAP_TNHN!D12&amp;" (1 tiết)",'PL10'!$S$10)),1,0)+IF(ISNUMBER(SEARCH(MAP_TNHN!D12&amp;" (1 tiết)",'PL10'!$S$11)),1,0)+IF(ISNUMBER(SEARCH(MAP_TNHN!D12&amp;" (1 tiết)",'PL10'!$S$12)),1,0)+IF(ISNUMBER(SEARCH(MAP_TNHN!D12&amp;" (1 tiết)",'PL10'!$S$13)),1,0)+IF(ISNUMBER(SEARCH(MAP_TNHN!D12&amp;" (1 tiết)",'PL10'!$S$14)),1,0)+IF(ISNUMBER(SEARCH(MAP_TNHN!D12&amp;" (1 tiết)",'PL10'!$S$15)),1,0)+IF(ISNUMBER(SEARCH(MAP_TNHN!D12&amp;" (1 tiết)",'PL10'!$S$16)),1,0)+IF(ISNUMBER(SEARCH(MAP_TNHN!D12&amp;" (1 tiết)",'PL10'!$S$17)),1,0)+IF(ISNUMBER(SEARCH(MAP_TNHN!D12&amp;" (1 tiết)",'PL10'!$S$18)),1,0)+IF(ISNUMBER(SEARCH(MAP_TNHN!D12&amp;" (1 tiết)",'PL10'!$S$19)),1,0)+IF(ISNUMBER(SEARCH(MAP_TNHN!D12&amp;" (1 tiết)",'PL10'!$S$20)),1,0)+IF(ISNUMBER(SEARCH(MAP_TNHN!D12&amp;" (1 tiết)",'PL10'!$S$21)),1,0)+IF(ISNUMBER(SEARCH(MAP_TNHN!D12&amp;" (1 tiết)",'PL10'!$S$22)),1,0)+IF(ISNUMBER(SEARCH(MAP_TNHN!D12&amp;" (1 tiết)",'PL10'!$S$23)),1,0)+IF(ISNUMBER(SEARCH(MAP_TNHN!D12&amp;" (1 tiết)",'PL10'!$S$24)),1,0)+IF(ISNUMBER(SEARCH(MAP_TNHN!D12&amp;" (1 tiết)",'PL10'!$S$25)),1,0))-(IF(ISNUMBER(SEARCH(MAP_TNHN!D12&amp;" (2 tiết)",'PL10'!$S$5)),1,0)+IF(ISNUMBER(SEARCH(MAP_TNHN!D12&amp;" (2 tiết)",'PL10'!$S$6)),1,0)+IF(ISNUMBER(SEARCH(MAP_TNHN!D12&amp;" (2 tiết)",'PL10'!$S$7)),1,0)+IF(ISNUMBER(SEARCH(MAP_TNHN!D12&amp;" (2 tiết)",'PL10'!$S$8)),1,0)+IF(ISNUMBER(SEARCH(MAP_TNHN!D12&amp;" (2 tiết)",'PL10'!$S$9)),1,0)+IF(ISNUMBER(SEARCH(MAP_TNHN!D12&amp;" (2 tiết)",'PL10'!$S$10)),1,0)+IF(ISNUMBER(SEARCH(MAP_TNHN!D12&amp;" (2 tiết)",'PL10'!$S$11)),1,0)+IF(ISNUMBER(SEARCH(MAP_TNHN!D12&amp;" (2 tiết)",'PL10'!$S$12)),1,0)+IF(ISNUMBER(SEARCH(MAP_TNHN!D12&amp;" (2 tiết)",'PL10'!$S$13)),1,0)+IF(ISNUMBER(SEARCH(MAP_TNHN!D12&amp;" (2 tiết)",'PL10'!$S$14)),1,0)+IF(ISNUMBER(SEARCH(MAP_TNHN!D12&amp;" (2 tiết)",'PL10'!$S$15)),1,0)+IF(ISNUMBER(SEARCH(MAP_TNHN!D12&amp;" (2 tiết)",'PL10'!$S$16)),1,0)+IF(ISNUMBER(SEARCH(MAP_TNHN!D12&amp;" (2 tiết)",'PL10'!$S$17)),1,0)+IF(ISNUMBER(SEARCH(MAP_TNHN!D12&amp;" (2 tiết)",'PL10'!$S$18)),1,0)+IF(ISNUMBER(SEARCH(MAP_TNHN!D12&amp;" (2 tiết)",'PL10'!$S$19)),1,0)+IF(ISNUMBER(SEARCH(MAP_TNHN!D12&amp;" (2 tiết)",'PL10'!$S$20)),1,0)+IF(ISNUMBER(SEARCH(MAP_TNHN!D12&amp;" (2 tiết)",'PL10'!$S$21)),1,0)+IF(ISNUMBER(SEARCH(MAP_TNHN!D12&amp;" (2 tiết)",'PL10'!$S$22)),1,0)+IF(ISNUMBER(SEARCH(MAP_TNHN!D12&amp;" (2 tiết)",'PL10'!$S$23)),1,0)+IF(ISNUMBER(SEARCH(MAP_TNHN!D12&amp;" (2 tiết)",'PL10'!$S$24)),1,0)+IF(ISNUMBER(SEARCH(MAP_TNHN!D12&amp;" (2 tiết)",'PL10'!$S$25)),1,0))))</f>
        <v>0</v>
      </c>
    </row>
    <row r="13" spans="1:51" x14ac:dyDescent="0.35">
      <c r="A13" s="311"/>
      <c r="B13" s="8">
        <v>8</v>
      </c>
      <c r="C13" s="9" t="s">
        <v>60</v>
      </c>
      <c r="D13" s="20">
        <v>12</v>
      </c>
      <c r="E13" s="10">
        <v>2</v>
      </c>
      <c r="F13" s="10">
        <v>1</v>
      </c>
      <c r="G13" s="10"/>
      <c r="H13" s="10">
        <v>2</v>
      </c>
      <c r="I13" s="307"/>
      <c r="J13" s="10"/>
      <c r="K13" s="6">
        <v>3</v>
      </c>
      <c r="L13" s="6"/>
      <c r="M13" s="6"/>
      <c r="N13" s="139"/>
      <c r="O13" s="6"/>
      <c r="P13" s="42"/>
      <c r="Q13" s="42"/>
      <c r="R13" s="42"/>
      <c r="S13" s="138"/>
      <c r="T13" s="42"/>
      <c r="U13" s="11">
        <f>E13*'Phân tiết'!$M$7+G13*('Phân tiết'!$M$21/3)+H13*'Phân tiết'!$L$26+AW13+J13*'Phân tiết'!$M$20+K13*'Phân tiết'!$I$7+M13*('Phân tiết'!$I$21/3)+AX13+O13*'Phân tiết'!$I$20+P13*'Phân tiết'!$E$7+R13*('Phân tiết'!$E$21/3)+AY13+T13*'Phân tiết'!$E$20</f>
        <v>19</v>
      </c>
      <c r="V13" s="8">
        <f t="shared" si="0"/>
        <v>4</v>
      </c>
      <c r="W13" s="6"/>
      <c r="X13" s="6"/>
      <c r="Y13" s="8"/>
      <c r="Z13" s="43">
        <f t="shared" si="1"/>
        <v>23</v>
      </c>
      <c r="AA13" s="34">
        <f t="shared" si="2"/>
        <v>6</v>
      </c>
      <c r="AB13" s="8"/>
      <c r="AC13" s="8"/>
      <c r="AD13" s="6">
        <f t="shared" si="3"/>
        <v>0</v>
      </c>
      <c r="AE13" s="8"/>
      <c r="AF13" s="8"/>
      <c r="AG13" s="6">
        <f t="shared" si="5"/>
        <v>0</v>
      </c>
      <c r="AH13" s="8"/>
      <c r="AI13" s="8"/>
      <c r="AJ13" s="6">
        <f t="shared" si="4"/>
        <v>0</v>
      </c>
      <c r="AK13" s="6">
        <f t="shared" si="6"/>
        <v>198</v>
      </c>
      <c r="AL13" s="8"/>
      <c r="AM13" s="34"/>
      <c r="AN13" s="8" t="s">
        <v>46</v>
      </c>
      <c r="AO13" s="8" t="s">
        <v>46</v>
      </c>
      <c r="AP13" s="8" t="s">
        <v>46</v>
      </c>
      <c r="AQ13" s="8" t="s">
        <v>46</v>
      </c>
      <c r="AR13" s="8" t="s">
        <v>46</v>
      </c>
      <c r="AS13" s="8"/>
      <c r="AT13" s="8" t="s">
        <v>46</v>
      </c>
      <c r="AU13" s="8"/>
      <c r="AV13" s="8"/>
      <c r="AW13">
        <f>IF(I13="",0,IF(MAP_TNHN!B13="",I13*3,I13*3-2*(IF(ISNUMBER(SEARCH(MAP_TNHN!B13&amp;" (1 tiết)",'PL12'!$S$5)),1,0)+IF(ISNUMBER(SEARCH(MAP_TNHN!B13&amp;" (1 tiết)",'PL12'!$S$6)),1,0)+IF(ISNUMBER(SEARCH(MAP_TNHN!B13&amp;" (1 tiết)",'PL12'!$S$7)),1,0)+IF(ISNUMBER(SEARCH(MAP_TNHN!B13&amp;" (1 tiết)",'PL12'!$S$8)),1,0)+IF(ISNUMBER(SEARCH(MAP_TNHN!B13&amp;" (1 tiết)",'PL12'!$S$9)),1,0)+IF(ISNUMBER(SEARCH(MAP_TNHN!B13&amp;" (1 tiết)",'PL12'!$S$10)),1,0)+IF(ISNUMBER(SEARCH(MAP_TNHN!B13&amp;" (1 tiết)",'PL12'!$S$11)),1,0)+IF(ISNUMBER(SEARCH(MAP_TNHN!B13&amp;" (1 tiết)",'PL12'!$S$12)),1,0)+IF(ISNUMBER(SEARCH(MAP_TNHN!B13&amp;" (1 tiết)",'PL12'!$S$13)),1,0)+IF(ISNUMBER(SEARCH(MAP_TNHN!B13&amp;" (1 tiết)",'PL12'!$S$14)),1,0)+IF(ISNUMBER(SEARCH(MAP_TNHN!B13&amp;" (1 tiết)",'PL12'!$S$15)),1,0)+IF(ISNUMBER(SEARCH(MAP_TNHN!B13&amp;" (1 tiết)",'PL12'!$S$16)),1,0)+IF(ISNUMBER(SEARCH(MAP_TNHN!B13&amp;" (1 tiết)",'PL12'!$S$17)),1,0)+IF(ISNUMBER(SEARCH(MAP_TNHN!B13&amp;" (1 tiết)",'PL12'!$S$18)),1,0)+IF(ISNUMBER(SEARCH(MAP_TNHN!B13&amp;" (1 tiết)",'PL12'!$S$19)),1,0))-(IF(ISNUMBER(SEARCH(MAP_TNHN!B13&amp;" (2 tiết)",'PL12'!$S$5)),1,0)+IF(ISNUMBER(SEARCH(MAP_TNHN!B13&amp;" (2 tiết)",'PL12'!$S$6)),1,0)+IF(ISNUMBER(SEARCH(MAP_TNHN!B13&amp;" (2 tiết)",'PL12'!$S$7)),1,0)+IF(ISNUMBER(SEARCH(MAP_TNHN!B13&amp;" (2 tiết)",'PL12'!$S$8)),1,0)+IF(ISNUMBER(SEARCH(MAP_TNHN!B13&amp;" (2 tiết)",'PL12'!$S$9)),1,0)+IF(ISNUMBER(SEARCH(MAP_TNHN!B13&amp;" (2 tiết)",'PL12'!$S$10)),1,0)+IF(ISNUMBER(SEARCH(MAP_TNHN!B13&amp;" (2 tiết)",'PL12'!$S$11)),1,0)+IF(ISNUMBER(SEARCH(MAP_TNHN!B13&amp;" (2 tiết)",'PL12'!$S$12)),1,0)+IF(ISNUMBER(SEARCH(MAP_TNHN!B13&amp;" (2 tiết)",'PL12'!$S$13)),1,0)+IF(ISNUMBER(SEARCH(MAP_TNHN!B13&amp;" (2 tiết)",'PL12'!$S$14)),1,0)+IF(ISNUMBER(SEARCH(MAP_TNHN!B13&amp;" (2 tiết)",'PL12'!$S$15)),1,0)+IF(ISNUMBER(SEARCH(MAP_TNHN!B13&amp;" (2 tiết)",'PL12'!$S$16)),1,0)+IF(ISNUMBER(SEARCH(MAP_TNHN!B13&amp;" (2 tiết)",'PL12'!$S$17)),1,0)+IF(ISNUMBER(SEARCH(MAP_TNHN!B13&amp;" (2 tiết)",'PL12'!$S$18)),1,0)+IF(ISNUMBER(SEARCH(MAP_TNHN!B13&amp;" (2 tiết)",'PL12'!$S$19)),1,0))))</f>
        <v>0</v>
      </c>
      <c r="AX13">
        <f>IF(N13="",0,IF(MAP_TNHN!C13="",N13*3,N13*3-2*(IF(ISNUMBER(SEARCH(MAP_TNHN!C13&amp;" (1 tiết)",'PL11'!$S$5)),1,0)+IF(ISNUMBER(SEARCH(MAP_TNHN!C13&amp;" (1 tiết)",'PL11'!$S$6)),1,0)+IF(ISNUMBER(SEARCH(MAP_TNHN!C13&amp;" (1 tiết)",'PL11'!$S$7)),1,0)+IF(ISNUMBER(SEARCH(MAP_TNHN!C13&amp;" (1 tiết)",'PL11'!$S$8)),1,0)+IF(ISNUMBER(SEARCH(MAP_TNHN!C13&amp;" (1 tiết)",'PL11'!$S$9)),1,0)+IF(ISNUMBER(SEARCH(MAP_TNHN!C13&amp;" (1 tiết)",'PL11'!$S$10)),1,0)+IF(ISNUMBER(SEARCH(MAP_TNHN!C13&amp;" (1 tiết)",'PL11'!$S$11)),1,0)+IF(ISNUMBER(SEARCH(MAP_TNHN!C13&amp;" (1 tiết)",'PL11'!$S$12)),1,0)+IF(ISNUMBER(SEARCH(MAP_TNHN!C13&amp;" (1 tiết)",'PL11'!$S$13)),1,0)+IF(ISNUMBER(SEARCH(MAP_TNHN!C13&amp;" (1 tiết)",'PL11'!$S$14)),1,0)+IF(ISNUMBER(SEARCH(MAP_TNHN!C13&amp;" (1 tiết)",'PL11'!$S$15)),1,0)+IF(ISNUMBER(SEARCH(MAP_TNHN!C13&amp;" (1 tiết)",'PL11'!$S$16)),1,0)+IF(ISNUMBER(SEARCH(MAP_TNHN!C13&amp;" (1 tiết)",'PL11'!$S$17)),1,0)+IF(ISNUMBER(SEARCH(MAP_TNHN!C13&amp;" (1 tiết)",'PL11'!$S$18)),1,0))-(IF(ISNUMBER(SEARCH(MAP_TNHN!C13&amp;" (2 tiết)",'PL11'!$S$5)),1,0)+IF(ISNUMBER(SEARCH(MAP_TNHN!C13&amp;" (2 tiết)",'PL11'!$S$6)),1,0)+IF(ISNUMBER(SEARCH(MAP_TNHN!C13&amp;" (2 tiết)",'PL11'!$S$7)),1,0)+IF(ISNUMBER(SEARCH(MAP_TNHN!C13&amp;" (2 tiết)",'PL11'!$S$8)),1,0)+IF(ISNUMBER(SEARCH(MAP_TNHN!C13&amp;" (2 tiết)",'PL11'!$S$9)),1,0)+IF(ISNUMBER(SEARCH(MAP_TNHN!C13&amp;" (2 tiết)",'PL11'!$S$10)),1,0)+IF(ISNUMBER(SEARCH(MAP_TNHN!C13&amp;" (2 tiết)",'PL11'!$S$11)),1,0)+IF(ISNUMBER(SEARCH(MAP_TNHN!C13&amp;" (2 tiết)",'PL11'!$S$12)),1,0)+IF(ISNUMBER(SEARCH(MAP_TNHN!C13&amp;" (2 tiết)",'PL11'!$S$13)),1,0)+IF(ISNUMBER(SEARCH(MAP_TNHN!C13&amp;" (2 tiết)",'PL11'!$S$14)),1,0)+IF(ISNUMBER(SEARCH(MAP_TNHN!C13&amp;" (2 tiết)",'PL11'!$S$15)),1,0)+IF(ISNUMBER(SEARCH(MAP_TNHN!C13&amp;" (2 tiết)",'PL11'!$S$16)),1,0)+IF(ISNUMBER(SEARCH(MAP_TNHN!C13&amp;" (2 tiết)",'PL11'!$S$17)),1,0)+IF(ISNUMBER(SEARCH(MAP_TNHN!C13&amp;" (2 tiết)",'PL11'!$S$18)),1,0))))</f>
        <v>0</v>
      </c>
      <c r="AY13">
        <f>IF(S13="",0,IF(MAP_TNHN!D13="",S13*3,S13*3-2*(IF(ISNUMBER(SEARCH(MAP_TNHN!D13&amp;" (1 tiết)",'PL10'!$S$5)),1,0)+IF(ISNUMBER(SEARCH(MAP_TNHN!D13&amp;" (1 tiết)",'PL10'!$S$6)),1,0)+IF(ISNUMBER(SEARCH(MAP_TNHN!D13&amp;" (1 tiết)",'PL10'!$S$7)),1,0)+IF(ISNUMBER(SEARCH(MAP_TNHN!D13&amp;" (1 tiết)",'PL10'!$S$8)),1,0)+IF(ISNUMBER(SEARCH(MAP_TNHN!D13&amp;" (1 tiết)",'PL10'!$S$9)),1,0)+IF(ISNUMBER(SEARCH(MAP_TNHN!D13&amp;" (1 tiết)",'PL10'!$S$10)),1,0)+IF(ISNUMBER(SEARCH(MAP_TNHN!D13&amp;" (1 tiết)",'PL10'!$S$11)),1,0)+IF(ISNUMBER(SEARCH(MAP_TNHN!D13&amp;" (1 tiết)",'PL10'!$S$12)),1,0)+IF(ISNUMBER(SEARCH(MAP_TNHN!D13&amp;" (1 tiết)",'PL10'!$S$13)),1,0)+IF(ISNUMBER(SEARCH(MAP_TNHN!D13&amp;" (1 tiết)",'PL10'!$S$14)),1,0)+IF(ISNUMBER(SEARCH(MAP_TNHN!D13&amp;" (1 tiết)",'PL10'!$S$15)),1,0)+IF(ISNUMBER(SEARCH(MAP_TNHN!D13&amp;" (1 tiết)",'PL10'!$S$16)),1,0)+IF(ISNUMBER(SEARCH(MAP_TNHN!D13&amp;" (1 tiết)",'PL10'!$S$17)),1,0)+IF(ISNUMBER(SEARCH(MAP_TNHN!D13&amp;" (1 tiết)",'PL10'!$S$18)),1,0)+IF(ISNUMBER(SEARCH(MAP_TNHN!D13&amp;" (1 tiết)",'PL10'!$S$19)),1,0)+IF(ISNUMBER(SEARCH(MAP_TNHN!D13&amp;" (1 tiết)",'PL10'!$S$20)),1,0)+IF(ISNUMBER(SEARCH(MAP_TNHN!D13&amp;" (1 tiết)",'PL10'!$S$21)),1,0)+IF(ISNUMBER(SEARCH(MAP_TNHN!D13&amp;" (1 tiết)",'PL10'!$S$22)),1,0)+IF(ISNUMBER(SEARCH(MAP_TNHN!D13&amp;" (1 tiết)",'PL10'!$S$23)),1,0)+IF(ISNUMBER(SEARCH(MAP_TNHN!D13&amp;" (1 tiết)",'PL10'!$S$24)),1,0)+IF(ISNUMBER(SEARCH(MAP_TNHN!D13&amp;" (1 tiết)",'PL10'!$S$25)),1,0))-(IF(ISNUMBER(SEARCH(MAP_TNHN!D13&amp;" (2 tiết)",'PL10'!$S$5)),1,0)+IF(ISNUMBER(SEARCH(MAP_TNHN!D13&amp;" (2 tiết)",'PL10'!$S$6)),1,0)+IF(ISNUMBER(SEARCH(MAP_TNHN!D13&amp;" (2 tiết)",'PL10'!$S$7)),1,0)+IF(ISNUMBER(SEARCH(MAP_TNHN!D13&amp;" (2 tiết)",'PL10'!$S$8)),1,0)+IF(ISNUMBER(SEARCH(MAP_TNHN!D13&amp;" (2 tiết)",'PL10'!$S$9)),1,0)+IF(ISNUMBER(SEARCH(MAP_TNHN!D13&amp;" (2 tiết)",'PL10'!$S$10)),1,0)+IF(ISNUMBER(SEARCH(MAP_TNHN!D13&amp;" (2 tiết)",'PL10'!$S$11)),1,0)+IF(ISNUMBER(SEARCH(MAP_TNHN!D13&amp;" (2 tiết)",'PL10'!$S$12)),1,0)+IF(ISNUMBER(SEARCH(MAP_TNHN!D13&amp;" (2 tiết)",'PL10'!$S$13)),1,0)+IF(ISNUMBER(SEARCH(MAP_TNHN!D13&amp;" (2 tiết)",'PL10'!$S$14)),1,0)+IF(ISNUMBER(SEARCH(MAP_TNHN!D13&amp;" (2 tiết)",'PL10'!$S$15)),1,0)+IF(ISNUMBER(SEARCH(MAP_TNHN!D13&amp;" (2 tiết)",'PL10'!$S$16)),1,0)+IF(ISNUMBER(SEARCH(MAP_TNHN!D13&amp;" (2 tiết)",'PL10'!$S$17)),1,0)+IF(ISNUMBER(SEARCH(MAP_TNHN!D13&amp;" (2 tiết)",'PL10'!$S$18)),1,0)+IF(ISNUMBER(SEARCH(MAP_TNHN!D13&amp;" (2 tiết)",'PL10'!$S$19)),1,0)+IF(ISNUMBER(SEARCH(MAP_TNHN!D13&amp;" (2 tiết)",'PL10'!$S$20)),1,0)+IF(ISNUMBER(SEARCH(MAP_TNHN!D13&amp;" (2 tiết)",'PL10'!$S$21)),1,0)+IF(ISNUMBER(SEARCH(MAP_TNHN!D13&amp;" (2 tiết)",'PL10'!$S$22)),1,0)+IF(ISNUMBER(SEARCH(MAP_TNHN!D13&amp;" (2 tiết)",'PL10'!$S$23)),1,0)+IF(ISNUMBER(SEARCH(MAP_TNHN!D13&amp;" (2 tiết)",'PL10'!$S$24)),1,0)+IF(ISNUMBER(SEARCH(MAP_TNHN!D13&amp;" (2 tiết)",'PL10'!$S$25)),1,0))))</f>
        <v>0</v>
      </c>
    </row>
    <row r="14" spans="1:51" x14ac:dyDescent="0.35">
      <c r="A14" s="311"/>
      <c r="B14" s="8">
        <v>9</v>
      </c>
      <c r="C14" s="9" t="s">
        <v>61</v>
      </c>
      <c r="D14" s="20">
        <v>12</v>
      </c>
      <c r="E14" s="10">
        <v>2</v>
      </c>
      <c r="F14" s="10">
        <v>1</v>
      </c>
      <c r="G14" s="10"/>
      <c r="H14" s="10">
        <v>1</v>
      </c>
      <c r="I14" s="307"/>
      <c r="J14" s="223">
        <v>1</v>
      </c>
      <c r="K14" s="114"/>
      <c r="L14" s="6"/>
      <c r="M14" s="6"/>
      <c r="N14" s="139"/>
      <c r="O14" s="6"/>
      <c r="P14" s="42">
        <v>3</v>
      </c>
      <c r="Q14" s="42"/>
      <c r="R14" s="42"/>
      <c r="S14" s="138"/>
      <c r="T14" s="42"/>
      <c r="U14" s="11">
        <f>E14*'Phân tiết'!$M$7+G14*('Phân tiết'!$M$21/3)+H14*'Phân tiết'!$L$26+AW14+J14*'Phân tiết'!$M$20+K14*'Phân tiết'!$I$7+M14*('Phân tiết'!$I$21/3)+AX14+O14*'Phân tiết'!$I$20+P14*'Phân tiết'!$E$7+R14*('Phân tiết'!$E$21/3)+AY14+T14*'Phân tiết'!$E$20</f>
        <v>18</v>
      </c>
      <c r="V14" s="8">
        <f t="shared" si="0"/>
        <v>4</v>
      </c>
      <c r="W14" s="6"/>
      <c r="X14" s="6"/>
      <c r="Y14" s="8"/>
      <c r="Z14" s="43">
        <f t="shared" si="1"/>
        <v>22</v>
      </c>
      <c r="AA14" s="34">
        <f t="shared" si="2"/>
        <v>5</v>
      </c>
      <c r="AB14" s="8">
        <v>2</v>
      </c>
      <c r="AC14" s="8">
        <v>7</v>
      </c>
      <c r="AD14" s="6">
        <f t="shared" si="3"/>
        <v>21</v>
      </c>
      <c r="AE14" s="8"/>
      <c r="AF14" s="8"/>
      <c r="AG14" s="6">
        <f t="shared" si="5"/>
        <v>0</v>
      </c>
      <c r="AH14" s="8"/>
      <c r="AI14" s="8"/>
      <c r="AJ14" s="6">
        <f t="shared" si="4"/>
        <v>0</v>
      </c>
      <c r="AK14" s="6">
        <f t="shared" si="6"/>
        <v>186</v>
      </c>
      <c r="AL14" s="8" t="s">
        <v>48</v>
      </c>
      <c r="AM14" s="8"/>
      <c r="AN14" s="8" t="s">
        <v>46</v>
      </c>
      <c r="AO14" s="8" t="s">
        <v>46</v>
      </c>
      <c r="AP14" s="8" t="s">
        <v>46</v>
      </c>
      <c r="AQ14" s="8" t="s">
        <v>46</v>
      </c>
      <c r="AR14" s="8" t="s">
        <v>46</v>
      </c>
      <c r="AS14" s="8"/>
      <c r="AT14" s="8" t="s">
        <v>46</v>
      </c>
      <c r="AU14" s="8"/>
      <c r="AV14" s="8"/>
      <c r="AW14">
        <f>IF(I14="",0,IF(MAP_TNHN!B14="",I14*3,I14*3-2*(IF(ISNUMBER(SEARCH(MAP_TNHN!B14&amp;" (1 tiết)",'PL12'!$S$5)),1,0)+IF(ISNUMBER(SEARCH(MAP_TNHN!B14&amp;" (1 tiết)",'PL12'!$S$6)),1,0)+IF(ISNUMBER(SEARCH(MAP_TNHN!B14&amp;" (1 tiết)",'PL12'!$S$7)),1,0)+IF(ISNUMBER(SEARCH(MAP_TNHN!B14&amp;" (1 tiết)",'PL12'!$S$8)),1,0)+IF(ISNUMBER(SEARCH(MAP_TNHN!B14&amp;" (1 tiết)",'PL12'!$S$9)),1,0)+IF(ISNUMBER(SEARCH(MAP_TNHN!B14&amp;" (1 tiết)",'PL12'!$S$10)),1,0)+IF(ISNUMBER(SEARCH(MAP_TNHN!B14&amp;" (1 tiết)",'PL12'!$S$11)),1,0)+IF(ISNUMBER(SEARCH(MAP_TNHN!B14&amp;" (1 tiết)",'PL12'!$S$12)),1,0)+IF(ISNUMBER(SEARCH(MAP_TNHN!B14&amp;" (1 tiết)",'PL12'!$S$13)),1,0)+IF(ISNUMBER(SEARCH(MAP_TNHN!B14&amp;" (1 tiết)",'PL12'!$S$14)),1,0)+IF(ISNUMBER(SEARCH(MAP_TNHN!B14&amp;" (1 tiết)",'PL12'!$S$15)),1,0)+IF(ISNUMBER(SEARCH(MAP_TNHN!B14&amp;" (1 tiết)",'PL12'!$S$16)),1,0)+IF(ISNUMBER(SEARCH(MAP_TNHN!B14&amp;" (1 tiết)",'PL12'!$S$17)),1,0)+IF(ISNUMBER(SEARCH(MAP_TNHN!B14&amp;" (1 tiết)",'PL12'!$S$18)),1,0)+IF(ISNUMBER(SEARCH(MAP_TNHN!B14&amp;" (1 tiết)",'PL12'!$S$19)),1,0))-(IF(ISNUMBER(SEARCH(MAP_TNHN!B14&amp;" (2 tiết)",'PL12'!$S$5)),1,0)+IF(ISNUMBER(SEARCH(MAP_TNHN!B14&amp;" (2 tiết)",'PL12'!$S$6)),1,0)+IF(ISNUMBER(SEARCH(MAP_TNHN!B14&amp;" (2 tiết)",'PL12'!$S$7)),1,0)+IF(ISNUMBER(SEARCH(MAP_TNHN!B14&amp;" (2 tiết)",'PL12'!$S$8)),1,0)+IF(ISNUMBER(SEARCH(MAP_TNHN!B14&amp;" (2 tiết)",'PL12'!$S$9)),1,0)+IF(ISNUMBER(SEARCH(MAP_TNHN!B14&amp;" (2 tiết)",'PL12'!$S$10)),1,0)+IF(ISNUMBER(SEARCH(MAP_TNHN!B14&amp;" (2 tiết)",'PL12'!$S$11)),1,0)+IF(ISNUMBER(SEARCH(MAP_TNHN!B14&amp;" (2 tiết)",'PL12'!$S$12)),1,0)+IF(ISNUMBER(SEARCH(MAP_TNHN!B14&amp;" (2 tiết)",'PL12'!$S$13)),1,0)+IF(ISNUMBER(SEARCH(MAP_TNHN!B14&amp;" (2 tiết)",'PL12'!$S$14)),1,0)+IF(ISNUMBER(SEARCH(MAP_TNHN!B14&amp;" (2 tiết)",'PL12'!$S$15)),1,0)+IF(ISNUMBER(SEARCH(MAP_TNHN!B14&amp;" (2 tiết)",'PL12'!$S$16)),1,0)+IF(ISNUMBER(SEARCH(MAP_TNHN!B14&amp;" (2 tiết)",'PL12'!$S$17)),1,0)+IF(ISNUMBER(SEARCH(MAP_TNHN!B14&amp;" (2 tiết)",'PL12'!$S$18)),1,0)+IF(ISNUMBER(SEARCH(MAP_TNHN!B14&amp;" (2 tiết)",'PL12'!$S$19)),1,0))))</f>
        <v>0</v>
      </c>
      <c r="AX14">
        <f>IF(N14="",0,IF(MAP_TNHN!C14="",N14*3,N14*3-2*(IF(ISNUMBER(SEARCH(MAP_TNHN!C14&amp;" (1 tiết)",'PL11'!$S$5)),1,0)+IF(ISNUMBER(SEARCH(MAP_TNHN!C14&amp;" (1 tiết)",'PL11'!$S$6)),1,0)+IF(ISNUMBER(SEARCH(MAP_TNHN!C14&amp;" (1 tiết)",'PL11'!$S$7)),1,0)+IF(ISNUMBER(SEARCH(MAP_TNHN!C14&amp;" (1 tiết)",'PL11'!$S$8)),1,0)+IF(ISNUMBER(SEARCH(MAP_TNHN!C14&amp;" (1 tiết)",'PL11'!$S$9)),1,0)+IF(ISNUMBER(SEARCH(MAP_TNHN!C14&amp;" (1 tiết)",'PL11'!$S$10)),1,0)+IF(ISNUMBER(SEARCH(MAP_TNHN!C14&amp;" (1 tiết)",'PL11'!$S$11)),1,0)+IF(ISNUMBER(SEARCH(MAP_TNHN!C14&amp;" (1 tiết)",'PL11'!$S$12)),1,0)+IF(ISNUMBER(SEARCH(MAP_TNHN!C14&amp;" (1 tiết)",'PL11'!$S$13)),1,0)+IF(ISNUMBER(SEARCH(MAP_TNHN!C14&amp;" (1 tiết)",'PL11'!$S$14)),1,0)+IF(ISNUMBER(SEARCH(MAP_TNHN!C14&amp;" (1 tiết)",'PL11'!$S$15)),1,0)+IF(ISNUMBER(SEARCH(MAP_TNHN!C14&amp;" (1 tiết)",'PL11'!$S$16)),1,0)+IF(ISNUMBER(SEARCH(MAP_TNHN!C14&amp;" (1 tiết)",'PL11'!$S$17)),1,0)+IF(ISNUMBER(SEARCH(MAP_TNHN!C14&amp;" (1 tiết)",'PL11'!$S$18)),1,0))-(IF(ISNUMBER(SEARCH(MAP_TNHN!C14&amp;" (2 tiết)",'PL11'!$S$5)),1,0)+IF(ISNUMBER(SEARCH(MAP_TNHN!C14&amp;" (2 tiết)",'PL11'!$S$6)),1,0)+IF(ISNUMBER(SEARCH(MAP_TNHN!C14&amp;" (2 tiết)",'PL11'!$S$7)),1,0)+IF(ISNUMBER(SEARCH(MAP_TNHN!C14&amp;" (2 tiết)",'PL11'!$S$8)),1,0)+IF(ISNUMBER(SEARCH(MAP_TNHN!C14&amp;" (2 tiết)",'PL11'!$S$9)),1,0)+IF(ISNUMBER(SEARCH(MAP_TNHN!C14&amp;" (2 tiết)",'PL11'!$S$10)),1,0)+IF(ISNUMBER(SEARCH(MAP_TNHN!C14&amp;" (2 tiết)",'PL11'!$S$11)),1,0)+IF(ISNUMBER(SEARCH(MAP_TNHN!C14&amp;" (2 tiết)",'PL11'!$S$12)),1,0)+IF(ISNUMBER(SEARCH(MAP_TNHN!C14&amp;" (2 tiết)",'PL11'!$S$13)),1,0)+IF(ISNUMBER(SEARCH(MAP_TNHN!C14&amp;" (2 tiết)",'PL11'!$S$14)),1,0)+IF(ISNUMBER(SEARCH(MAP_TNHN!C14&amp;" (2 tiết)",'PL11'!$S$15)),1,0)+IF(ISNUMBER(SEARCH(MAP_TNHN!C14&amp;" (2 tiết)",'PL11'!$S$16)),1,0)+IF(ISNUMBER(SEARCH(MAP_TNHN!C14&amp;" (2 tiết)",'PL11'!$S$17)),1,0)+IF(ISNUMBER(SEARCH(MAP_TNHN!C14&amp;" (2 tiết)",'PL11'!$S$18)),1,0))))</f>
        <v>0</v>
      </c>
      <c r="AY14">
        <f>IF(S14="",0,IF(MAP_TNHN!D14="",S14*3,S14*3-2*(IF(ISNUMBER(SEARCH(MAP_TNHN!D14&amp;" (1 tiết)",'PL10'!$S$5)),1,0)+IF(ISNUMBER(SEARCH(MAP_TNHN!D14&amp;" (1 tiết)",'PL10'!$S$6)),1,0)+IF(ISNUMBER(SEARCH(MAP_TNHN!D14&amp;" (1 tiết)",'PL10'!$S$7)),1,0)+IF(ISNUMBER(SEARCH(MAP_TNHN!D14&amp;" (1 tiết)",'PL10'!$S$8)),1,0)+IF(ISNUMBER(SEARCH(MAP_TNHN!D14&amp;" (1 tiết)",'PL10'!$S$9)),1,0)+IF(ISNUMBER(SEARCH(MAP_TNHN!D14&amp;" (1 tiết)",'PL10'!$S$10)),1,0)+IF(ISNUMBER(SEARCH(MAP_TNHN!D14&amp;" (1 tiết)",'PL10'!$S$11)),1,0)+IF(ISNUMBER(SEARCH(MAP_TNHN!D14&amp;" (1 tiết)",'PL10'!$S$12)),1,0)+IF(ISNUMBER(SEARCH(MAP_TNHN!D14&amp;" (1 tiết)",'PL10'!$S$13)),1,0)+IF(ISNUMBER(SEARCH(MAP_TNHN!D14&amp;" (1 tiết)",'PL10'!$S$14)),1,0)+IF(ISNUMBER(SEARCH(MAP_TNHN!D14&amp;" (1 tiết)",'PL10'!$S$15)),1,0)+IF(ISNUMBER(SEARCH(MAP_TNHN!D14&amp;" (1 tiết)",'PL10'!$S$16)),1,0)+IF(ISNUMBER(SEARCH(MAP_TNHN!D14&amp;" (1 tiết)",'PL10'!$S$17)),1,0)+IF(ISNUMBER(SEARCH(MAP_TNHN!D14&amp;" (1 tiết)",'PL10'!$S$18)),1,0)+IF(ISNUMBER(SEARCH(MAP_TNHN!D14&amp;" (1 tiết)",'PL10'!$S$19)),1,0)+IF(ISNUMBER(SEARCH(MAP_TNHN!D14&amp;" (1 tiết)",'PL10'!$S$20)),1,0)+IF(ISNUMBER(SEARCH(MAP_TNHN!D14&amp;" (1 tiết)",'PL10'!$S$21)),1,0)+IF(ISNUMBER(SEARCH(MAP_TNHN!D14&amp;" (1 tiết)",'PL10'!$S$22)),1,0)+IF(ISNUMBER(SEARCH(MAP_TNHN!D14&amp;" (1 tiết)",'PL10'!$S$23)),1,0)+IF(ISNUMBER(SEARCH(MAP_TNHN!D14&amp;" (1 tiết)",'PL10'!$S$24)),1,0)+IF(ISNUMBER(SEARCH(MAP_TNHN!D14&amp;" (1 tiết)",'PL10'!$S$25)),1,0))-(IF(ISNUMBER(SEARCH(MAP_TNHN!D14&amp;" (2 tiết)",'PL10'!$S$5)),1,0)+IF(ISNUMBER(SEARCH(MAP_TNHN!D14&amp;" (2 tiết)",'PL10'!$S$6)),1,0)+IF(ISNUMBER(SEARCH(MAP_TNHN!D14&amp;" (2 tiết)",'PL10'!$S$7)),1,0)+IF(ISNUMBER(SEARCH(MAP_TNHN!D14&amp;" (2 tiết)",'PL10'!$S$8)),1,0)+IF(ISNUMBER(SEARCH(MAP_TNHN!D14&amp;" (2 tiết)",'PL10'!$S$9)),1,0)+IF(ISNUMBER(SEARCH(MAP_TNHN!D14&amp;" (2 tiết)",'PL10'!$S$10)),1,0)+IF(ISNUMBER(SEARCH(MAP_TNHN!D14&amp;" (2 tiết)",'PL10'!$S$11)),1,0)+IF(ISNUMBER(SEARCH(MAP_TNHN!D14&amp;" (2 tiết)",'PL10'!$S$12)),1,0)+IF(ISNUMBER(SEARCH(MAP_TNHN!D14&amp;" (2 tiết)",'PL10'!$S$13)),1,0)+IF(ISNUMBER(SEARCH(MAP_TNHN!D14&amp;" (2 tiết)",'PL10'!$S$14)),1,0)+IF(ISNUMBER(SEARCH(MAP_TNHN!D14&amp;" (2 tiết)",'PL10'!$S$15)),1,0)+IF(ISNUMBER(SEARCH(MAP_TNHN!D14&amp;" (2 tiết)",'PL10'!$S$16)),1,0)+IF(ISNUMBER(SEARCH(MAP_TNHN!D14&amp;" (2 tiết)",'PL10'!$S$17)),1,0)+IF(ISNUMBER(SEARCH(MAP_TNHN!D14&amp;" (2 tiết)",'PL10'!$S$18)),1,0)+IF(ISNUMBER(SEARCH(MAP_TNHN!D14&amp;" (2 tiết)",'PL10'!$S$19)),1,0)+IF(ISNUMBER(SEARCH(MAP_TNHN!D14&amp;" (2 tiết)",'PL10'!$S$20)),1,0)+IF(ISNUMBER(SEARCH(MAP_TNHN!D14&amp;" (2 tiết)",'PL10'!$S$21)),1,0)+IF(ISNUMBER(SEARCH(MAP_TNHN!D14&amp;" (2 tiết)",'PL10'!$S$22)),1,0)+IF(ISNUMBER(SEARCH(MAP_TNHN!D14&amp;" (2 tiết)",'PL10'!$S$23)),1,0)+IF(ISNUMBER(SEARCH(MAP_TNHN!D14&amp;" (2 tiết)",'PL10'!$S$24)),1,0)+IF(ISNUMBER(SEARCH(MAP_TNHN!D14&amp;" (2 tiết)",'PL10'!$S$25)),1,0))))</f>
        <v>0</v>
      </c>
    </row>
    <row r="15" spans="1:51" x14ac:dyDescent="0.35">
      <c r="A15" s="311"/>
      <c r="B15" s="8">
        <v>10</v>
      </c>
      <c r="C15" s="9" t="s">
        <v>62</v>
      </c>
      <c r="D15" s="20">
        <v>12</v>
      </c>
      <c r="E15" s="10">
        <v>2</v>
      </c>
      <c r="F15" s="10">
        <v>1</v>
      </c>
      <c r="G15" s="10"/>
      <c r="H15" s="10">
        <v>2</v>
      </c>
      <c r="I15" s="307"/>
      <c r="J15" s="10"/>
      <c r="K15" s="223">
        <v>1</v>
      </c>
      <c r="L15" s="6"/>
      <c r="M15" s="6"/>
      <c r="N15" s="139"/>
      <c r="O15" s="6"/>
      <c r="P15" s="42">
        <v>2</v>
      </c>
      <c r="Q15" s="42"/>
      <c r="R15" s="42"/>
      <c r="S15" s="138"/>
      <c r="T15" s="42"/>
      <c r="U15" s="11">
        <f>E15*'Phân tiết'!$M$7+G15*('Phân tiết'!$M$21/3)+H15*'Phân tiết'!$L$26+AW15+J15*'Phân tiết'!$M$20+K15*'Phân tiết'!$I$7+M15*('Phân tiết'!$I$21/3)+AX15+O15*'Phân tiết'!$I$20+P15*'Phân tiết'!$E$7+R15*('Phân tiết'!$E$21/3)+AY15+T15*'Phân tiết'!$E$20</f>
        <v>19</v>
      </c>
      <c r="V15" s="8">
        <f t="shared" si="0"/>
        <v>4</v>
      </c>
      <c r="W15" s="6"/>
      <c r="X15" s="6" t="s">
        <v>63</v>
      </c>
      <c r="Y15" s="8">
        <v>1</v>
      </c>
      <c r="Z15" s="43">
        <f t="shared" si="1"/>
        <v>24</v>
      </c>
      <c r="AA15" s="34">
        <f t="shared" si="2"/>
        <v>7</v>
      </c>
      <c r="AB15" s="8">
        <v>2</v>
      </c>
      <c r="AC15" s="8">
        <v>20</v>
      </c>
      <c r="AD15" s="6">
        <f t="shared" si="3"/>
        <v>60</v>
      </c>
      <c r="AE15" s="8"/>
      <c r="AF15" s="8"/>
      <c r="AG15" s="6">
        <f t="shared" si="5"/>
        <v>0</v>
      </c>
      <c r="AH15" s="8"/>
      <c r="AI15" s="8"/>
      <c r="AJ15" s="6">
        <f t="shared" si="4"/>
        <v>0</v>
      </c>
      <c r="AK15" s="6">
        <f t="shared" si="6"/>
        <v>291</v>
      </c>
      <c r="AL15" s="8" t="s">
        <v>64</v>
      </c>
      <c r="AM15" s="34"/>
      <c r="AN15" s="8" t="s">
        <v>46</v>
      </c>
      <c r="AO15" s="8" t="s">
        <v>46</v>
      </c>
      <c r="AP15" s="8" t="s">
        <v>46</v>
      </c>
      <c r="AQ15" s="8" t="s">
        <v>46</v>
      </c>
      <c r="AR15" s="8" t="s">
        <v>46</v>
      </c>
      <c r="AS15" s="8"/>
      <c r="AT15" s="8" t="s">
        <v>46</v>
      </c>
      <c r="AU15" s="8"/>
      <c r="AV15" s="8"/>
      <c r="AW15">
        <f>IF(I15="",0,IF(MAP_TNHN!B15="",I15*3,I15*3-2*(IF(ISNUMBER(SEARCH(MAP_TNHN!B15&amp;" (1 tiết)",'PL12'!$S$5)),1,0)+IF(ISNUMBER(SEARCH(MAP_TNHN!B15&amp;" (1 tiết)",'PL12'!$S$6)),1,0)+IF(ISNUMBER(SEARCH(MAP_TNHN!B15&amp;" (1 tiết)",'PL12'!$S$7)),1,0)+IF(ISNUMBER(SEARCH(MAP_TNHN!B15&amp;" (1 tiết)",'PL12'!$S$8)),1,0)+IF(ISNUMBER(SEARCH(MAP_TNHN!B15&amp;" (1 tiết)",'PL12'!$S$9)),1,0)+IF(ISNUMBER(SEARCH(MAP_TNHN!B15&amp;" (1 tiết)",'PL12'!$S$10)),1,0)+IF(ISNUMBER(SEARCH(MAP_TNHN!B15&amp;" (1 tiết)",'PL12'!$S$11)),1,0)+IF(ISNUMBER(SEARCH(MAP_TNHN!B15&amp;" (1 tiết)",'PL12'!$S$12)),1,0)+IF(ISNUMBER(SEARCH(MAP_TNHN!B15&amp;" (1 tiết)",'PL12'!$S$13)),1,0)+IF(ISNUMBER(SEARCH(MAP_TNHN!B15&amp;" (1 tiết)",'PL12'!$S$14)),1,0)+IF(ISNUMBER(SEARCH(MAP_TNHN!B15&amp;" (1 tiết)",'PL12'!$S$15)),1,0)+IF(ISNUMBER(SEARCH(MAP_TNHN!B15&amp;" (1 tiết)",'PL12'!$S$16)),1,0)+IF(ISNUMBER(SEARCH(MAP_TNHN!B15&amp;" (1 tiết)",'PL12'!$S$17)),1,0)+IF(ISNUMBER(SEARCH(MAP_TNHN!B15&amp;" (1 tiết)",'PL12'!$S$18)),1,0)+IF(ISNUMBER(SEARCH(MAP_TNHN!B15&amp;" (1 tiết)",'PL12'!$S$19)),1,0))-(IF(ISNUMBER(SEARCH(MAP_TNHN!B15&amp;" (2 tiết)",'PL12'!$S$5)),1,0)+IF(ISNUMBER(SEARCH(MAP_TNHN!B15&amp;" (2 tiết)",'PL12'!$S$6)),1,0)+IF(ISNUMBER(SEARCH(MAP_TNHN!B15&amp;" (2 tiết)",'PL12'!$S$7)),1,0)+IF(ISNUMBER(SEARCH(MAP_TNHN!B15&amp;" (2 tiết)",'PL12'!$S$8)),1,0)+IF(ISNUMBER(SEARCH(MAP_TNHN!B15&amp;" (2 tiết)",'PL12'!$S$9)),1,0)+IF(ISNUMBER(SEARCH(MAP_TNHN!B15&amp;" (2 tiết)",'PL12'!$S$10)),1,0)+IF(ISNUMBER(SEARCH(MAP_TNHN!B15&amp;" (2 tiết)",'PL12'!$S$11)),1,0)+IF(ISNUMBER(SEARCH(MAP_TNHN!B15&amp;" (2 tiết)",'PL12'!$S$12)),1,0)+IF(ISNUMBER(SEARCH(MAP_TNHN!B15&amp;" (2 tiết)",'PL12'!$S$13)),1,0)+IF(ISNUMBER(SEARCH(MAP_TNHN!B15&amp;" (2 tiết)",'PL12'!$S$14)),1,0)+IF(ISNUMBER(SEARCH(MAP_TNHN!B15&amp;" (2 tiết)",'PL12'!$S$15)),1,0)+IF(ISNUMBER(SEARCH(MAP_TNHN!B15&amp;" (2 tiết)",'PL12'!$S$16)),1,0)+IF(ISNUMBER(SEARCH(MAP_TNHN!B15&amp;" (2 tiết)",'PL12'!$S$17)),1,0)+IF(ISNUMBER(SEARCH(MAP_TNHN!B15&amp;" (2 tiết)",'PL12'!$S$18)),1,0)+IF(ISNUMBER(SEARCH(MAP_TNHN!B15&amp;" (2 tiết)",'PL12'!$S$19)),1,0))))</f>
        <v>0</v>
      </c>
      <c r="AX15">
        <f>IF(N15="",0,IF(MAP_TNHN!C15="",N15*3,N15*3-2*(IF(ISNUMBER(SEARCH(MAP_TNHN!C15&amp;" (1 tiết)",'PL11'!$S$5)),1,0)+IF(ISNUMBER(SEARCH(MAP_TNHN!C15&amp;" (1 tiết)",'PL11'!$S$6)),1,0)+IF(ISNUMBER(SEARCH(MAP_TNHN!C15&amp;" (1 tiết)",'PL11'!$S$7)),1,0)+IF(ISNUMBER(SEARCH(MAP_TNHN!C15&amp;" (1 tiết)",'PL11'!$S$8)),1,0)+IF(ISNUMBER(SEARCH(MAP_TNHN!C15&amp;" (1 tiết)",'PL11'!$S$9)),1,0)+IF(ISNUMBER(SEARCH(MAP_TNHN!C15&amp;" (1 tiết)",'PL11'!$S$10)),1,0)+IF(ISNUMBER(SEARCH(MAP_TNHN!C15&amp;" (1 tiết)",'PL11'!$S$11)),1,0)+IF(ISNUMBER(SEARCH(MAP_TNHN!C15&amp;" (1 tiết)",'PL11'!$S$12)),1,0)+IF(ISNUMBER(SEARCH(MAP_TNHN!C15&amp;" (1 tiết)",'PL11'!$S$13)),1,0)+IF(ISNUMBER(SEARCH(MAP_TNHN!C15&amp;" (1 tiết)",'PL11'!$S$14)),1,0)+IF(ISNUMBER(SEARCH(MAP_TNHN!C15&amp;" (1 tiết)",'PL11'!$S$15)),1,0)+IF(ISNUMBER(SEARCH(MAP_TNHN!C15&amp;" (1 tiết)",'PL11'!$S$16)),1,0)+IF(ISNUMBER(SEARCH(MAP_TNHN!C15&amp;" (1 tiết)",'PL11'!$S$17)),1,0)+IF(ISNUMBER(SEARCH(MAP_TNHN!C15&amp;" (1 tiết)",'PL11'!$S$18)),1,0))-(IF(ISNUMBER(SEARCH(MAP_TNHN!C15&amp;" (2 tiết)",'PL11'!$S$5)),1,0)+IF(ISNUMBER(SEARCH(MAP_TNHN!C15&amp;" (2 tiết)",'PL11'!$S$6)),1,0)+IF(ISNUMBER(SEARCH(MAP_TNHN!C15&amp;" (2 tiết)",'PL11'!$S$7)),1,0)+IF(ISNUMBER(SEARCH(MAP_TNHN!C15&amp;" (2 tiết)",'PL11'!$S$8)),1,0)+IF(ISNUMBER(SEARCH(MAP_TNHN!C15&amp;" (2 tiết)",'PL11'!$S$9)),1,0)+IF(ISNUMBER(SEARCH(MAP_TNHN!C15&amp;" (2 tiết)",'PL11'!$S$10)),1,0)+IF(ISNUMBER(SEARCH(MAP_TNHN!C15&amp;" (2 tiết)",'PL11'!$S$11)),1,0)+IF(ISNUMBER(SEARCH(MAP_TNHN!C15&amp;" (2 tiết)",'PL11'!$S$12)),1,0)+IF(ISNUMBER(SEARCH(MAP_TNHN!C15&amp;" (2 tiết)",'PL11'!$S$13)),1,0)+IF(ISNUMBER(SEARCH(MAP_TNHN!C15&amp;" (2 tiết)",'PL11'!$S$14)),1,0)+IF(ISNUMBER(SEARCH(MAP_TNHN!C15&amp;" (2 tiết)",'PL11'!$S$15)),1,0)+IF(ISNUMBER(SEARCH(MAP_TNHN!C15&amp;" (2 tiết)",'PL11'!$S$16)),1,0)+IF(ISNUMBER(SEARCH(MAP_TNHN!C15&amp;" (2 tiết)",'PL11'!$S$17)),1,0)+IF(ISNUMBER(SEARCH(MAP_TNHN!C15&amp;" (2 tiết)",'PL11'!$S$18)),1,0))))</f>
        <v>0</v>
      </c>
      <c r="AY15">
        <f>IF(S15="",0,IF(MAP_TNHN!D15="",S15*3,S15*3-2*(IF(ISNUMBER(SEARCH(MAP_TNHN!D15&amp;" (1 tiết)",'PL10'!$S$5)),1,0)+IF(ISNUMBER(SEARCH(MAP_TNHN!D15&amp;" (1 tiết)",'PL10'!$S$6)),1,0)+IF(ISNUMBER(SEARCH(MAP_TNHN!D15&amp;" (1 tiết)",'PL10'!$S$7)),1,0)+IF(ISNUMBER(SEARCH(MAP_TNHN!D15&amp;" (1 tiết)",'PL10'!$S$8)),1,0)+IF(ISNUMBER(SEARCH(MAP_TNHN!D15&amp;" (1 tiết)",'PL10'!$S$9)),1,0)+IF(ISNUMBER(SEARCH(MAP_TNHN!D15&amp;" (1 tiết)",'PL10'!$S$10)),1,0)+IF(ISNUMBER(SEARCH(MAP_TNHN!D15&amp;" (1 tiết)",'PL10'!$S$11)),1,0)+IF(ISNUMBER(SEARCH(MAP_TNHN!D15&amp;" (1 tiết)",'PL10'!$S$12)),1,0)+IF(ISNUMBER(SEARCH(MAP_TNHN!D15&amp;" (1 tiết)",'PL10'!$S$13)),1,0)+IF(ISNUMBER(SEARCH(MAP_TNHN!D15&amp;" (1 tiết)",'PL10'!$S$14)),1,0)+IF(ISNUMBER(SEARCH(MAP_TNHN!D15&amp;" (1 tiết)",'PL10'!$S$15)),1,0)+IF(ISNUMBER(SEARCH(MAP_TNHN!D15&amp;" (1 tiết)",'PL10'!$S$16)),1,0)+IF(ISNUMBER(SEARCH(MAP_TNHN!D15&amp;" (1 tiết)",'PL10'!$S$17)),1,0)+IF(ISNUMBER(SEARCH(MAP_TNHN!D15&amp;" (1 tiết)",'PL10'!$S$18)),1,0)+IF(ISNUMBER(SEARCH(MAP_TNHN!D15&amp;" (1 tiết)",'PL10'!$S$19)),1,0)+IF(ISNUMBER(SEARCH(MAP_TNHN!D15&amp;" (1 tiết)",'PL10'!$S$20)),1,0)+IF(ISNUMBER(SEARCH(MAP_TNHN!D15&amp;" (1 tiết)",'PL10'!$S$21)),1,0)+IF(ISNUMBER(SEARCH(MAP_TNHN!D15&amp;" (1 tiết)",'PL10'!$S$22)),1,0)+IF(ISNUMBER(SEARCH(MAP_TNHN!D15&amp;" (1 tiết)",'PL10'!$S$23)),1,0)+IF(ISNUMBER(SEARCH(MAP_TNHN!D15&amp;" (1 tiết)",'PL10'!$S$24)),1,0)+IF(ISNUMBER(SEARCH(MAP_TNHN!D15&amp;" (1 tiết)",'PL10'!$S$25)),1,0))-(IF(ISNUMBER(SEARCH(MAP_TNHN!D15&amp;" (2 tiết)",'PL10'!$S$5)),1,0)+IF(ISNUMBER(SEARCH(MAP_TNHN!D15&amp;" (2 tiết)",'PL10'!$S$6)),1,0)+IF(ISNUMBER(SEARCH(MAP_TNHN!D15&amp;" (2 tiết)",'PL10'!$S$7)),1,0)+IF(ISNUMBER(SEARCH(MAP_TNHN!D15&amp;" (2 tiết)",'PL10'!$S$8)),1,0)+IF(ISNUMBER(SEARCH(MAP_TNHN!D15&amp;" (2 tiết)",'PL10'!$S$9)),1,0)+IF(ISNUMBER(SEARCH(MAP_TNHN!D15&amp;" (2 tiết)",'PL10'!$S$10)),1,0)+IF(ISNUMBER(SEARCH(MAP_TNHN!D15&amp;" (2 tiết)",'PL10'!$S$11)),1,0)+IF(ISNUMBER(SEARCH(MAP_TNHN!D15&amp;" (2 tiết)",'PL10'!$S$12)),1,0)+IF(ISNUMBER(SEARCH(MAP_TNHN!D15&amp;" (2 tiết)",'PL10'!$S$13)),1,0)+IF(ISNUMBER(SEARCH(MAP_TNHN!D15&amp;" (2 tiết)",'PL10'!$S$14)),1,0)+IF(ISNUMBER(SEARCH(MAP_TNHN!D15&amp;" (2 tiết)",'PL10'!$S$15)),1,0)+IF(ISNUMBER(SEARCH(MAP_TNHN!D15&amp;" (2 tiết)",'PL10'!$S$16)),1,0)+IF(ISNUMBER(SEARCH(MAP_TNHN!D15&amp;" (2 tiết)",'PL10'!$S$17)),1,0)+IF(ISNUMBER(SEARCH(MAP_TNHN!D15&amp;" (2 tiết)",'PL10'!$S$18)),1,0)+IF(ISNUMBER(SEARCH(MAP_TNHN!D15&amp;" (2 tiết)",'PL10'!$S$19)),1,0)+IF(ISNUMBER(SEARCH(MAP_TNHN!D15&amp;" (2 tiết)",'PL10'!$S$20)),1,0)+IF(ISNUMBER(SEARCH(MAP_TNHN!D15&amp;" (2 tiết)",'PL10'!$S$21)),1,0)+IF(ISNUMBER(SEARCH(MAP_TNHN!D15&amp;" (2 tiết)",'PL10'!$S$22)),1,0)+IF(ISNUMBER(SEARCH(MAP_TNHN!D15&amp;" (2 tiết)",'PL10'!$S$23)),1,0)+IF(ISNUMBER(SEARCH(MAP_TNHN!D15&amp;" (2 tiết)",'PL10'!$S$24)),1,0)+IF(ISNUMBER(SEARCH(MAP_TNHN!D15&amp;" (2 tiết)",'PL10'!$S$25)),1,0))))</f>
        <v>0</v>
      </c>
    </row>
    <row r="16" spans="1:51" s="89" customFormat="1" x14ac:dyDescent="0.35">
      <c r="A16" s="310"/>
      <c r="B16" s="85"/>
      <c r="C16" s="86" t="s">
        <v>65</v>
      </c>
      <c r="D16" s="85"/>
      <c r="E16" s="85">
        <f>SUM(E6:E15)</f>
        <v>15</v>
      </c>
      <c r="F16" s="85"/>
      <c r="G16" s="85">
        <f>SUM(G6:G15)</f>
        <v>0</v>
      </c>
      <c r="H16" s="85">
        <f>SUM(H6:H15)</f>
        <v>10</v>
      </c>
      <c r="I16" s="160"/>
      <c r="J16" s="85"/>
      <c r="K16" s="85">
        <f>SUM(K6:K15)</f>
        <v>17</v>
      </c>
      <c r="L16" s="85"/>
      <c r="M16" s="85">
        <f>SUM(M6:M15)</f>
        <v>0</v>
      </c>
      <c r="N16" s="160"/>
      <c r="O16" s="85"/>
      <c r="P16" s="85">
        <f>SUM(P6:P15)</f>
        <v>21</v>
      </c>
      <c r="Q16" s="85"/>
      <c r="R16" s="85">
        <f>SUM(R6:R15)</f>
        <v>0</v>
      </c>
      <c r="S16" s="160"/>
      <c r="T16" s="85"/>
      <c r="U16" s="87"/>
      <c r="V16" s="85"/>
      <c r="W16" s="85"/>
      <c r="X16" s="85"/>
      <c r="Y16" s="85"/>
      <c r="Z16" s="88"/>
      <c r="AA16" s="88"/>
      <c r="AB16" s="85"/>
      <c r="AC16" s="85"/>
      <c r="AD16" s="85">
        <f t="shared" si="3"/>
        <v>0</v>
      </c>
      <c r="AE16" s="85"/>
      <c r="AF16" s="85"/>
      <c r="AG16" s="85">
        <f t="shared" si="5"/>
        <v>0</v>
      </c>
      <c r="AH16" s="85"/>
      <c r="AI16" s="85"/>
      <c r="AJ16" s="85"/>
      <c r="AK16" s="85">
        <f t="shared" si="6"/>
        <v>0</v>
      </c>
      <c r="AL16" s="85"/>
      <c r="AM16" s="88"/>
      <c r="AN16" s="85"/>
      <c r="AO16" s="85"/>
      <c r="AP16" s="85"/>
      <c r="AQ16" s="85"/>
      <c r="AR16" s="85"/>
      <c r="AS16" s="85"/>
      <c r="AT16" s="85"/>
      <c r="AU16" s="85"/>
      <c r="AV16" s="85"/>
      <c r="AW16"/>
      <c r="AX16"/>
      <c r="AY16"/>
    </row>
    <row r="17" spans="1:51" x14ac:dyDescent="0.35">
      <c r="A17" s="309" t="s">
        <v>66</v>
      </c>
      <c r="B17" s="11">
        <v>1</v>
      </c>
      <c r="C17" s="12" t="s">
        <v>67</v>
      </c>
      <c r="D17" s="21"/>
      <c r="E17" s="45">
        <v>4</v>
      </c>
      <c r="F17" s="45"/>
      <c r="G17" s="45">
        <v>1</v>
      </c>
      <c r="H17" s="219">
        <v>1</v>
      </c>
      <c r="I17" s="161"/>
      <c r="J17" s="45"/>
      <c r="K17" s="46"/>
      <c r="L17" s="46"/>
      <c r="M17" s="46"/>
      <c r="N17" s="164"/>
      <c r="O17" s="46"/>
      <c r="P17" s="47">
        <v>2</v>
      </c>
      <c r="Q17" s="47"/>
      <c r="R17" s="47">
        <v>2</v>
      </c>
      <c r="S17" s="165"/>
      <c r="T17" s="47"/>
      <c r="U17" s="11">
        <f>E17*('Phân tiết'!$M$18/4)+G17*('Phân tiết'!$M$21/3)+H17*'Phân tiết'!$L$26+AW17+J17*'Phân tiết'!$M$20+K17*('Phân tiết'!$I$18/4)+M17*('Phân tiết'!$I$21/3)+AX17+O17*'Phân tiết'!$I$20+P17*('Phân tiết'!$E$18/4)+R17*('Phân tiết'!$E$21/3)+AY17+T17*'Phân tiết'!$E$20</f>
        <v>17</v>
      </c>
      <c r="V17" s="8">
        <f>F17*4+L17*4+Q17*4</f>
        <v>0</v>
      </c>
      <c r="W17" s="6" t="s">
        <v>45</v>
      </c>
      <c r="X17" s="6"/>
      <c r="Y17" s="11">
        <v>3</v>
      </c>
      <c r="Z17" s="43">
        <f>SUM(U17:Y17)</f>
        <v>20</v>
      </c>
      <c r="AA17" s="34">
        <f>Z17-17</f>
        <v>3</v>
      </c>
      <c r="AB17" s="8">
        <v>2</v>
      </c>
      <c r="AC17" s="8">
        <v>20</v>
      </c>
      <c r="AD17" s="6">
        <f t="shared" si="3"/>
        <v>60</v>
      </c>
      <c r="AE17" s="8"/>
      <c r="AF17" s="8"/>
      <c r="AG17" s="6">
        <f t="shared" si="5"/>
        <v>0</v>
      </c>
      <c r="AH17" s="8"/>
      <c r="AI17" s="8"/>
      <c r="AJ17" s="6">
        <f>AH17*AI17</f>
        <v>0</v>
      </c>
      <c r="AK17" s="6">
        <f t="shared" si="6"/>
        <v>159</v>
      </c>
      <c r="AL17" s="11" t="s">
        <v>64</v>
      </c>
      <c r="AM17" s="11"/>
      <c r="AN17" s="11"/>
      <c r="AO17" s="11" t="s">
        <v>46</v>
      </c>
      <c r="AP17" s="11" t="s">
        <v>46</v>
      </c>
      <c r="AQ17" s="11" t="s">
        <v>46</v>
      </c>
      <c r="AR17" s="11" t="s">
        <v>46</v>
      </c>
      <c r="AS17" s="11"/>
      <c r="AT17" s="11" t="s">
        <v>46</v>
      </c>
      <c r="AU17" s="11"/>
      <c r="AV17" s="8"/>
      <c r="AW17">
        <f>IF(I17="",0,IF(MAP_TNHN!B17="",I17*3,I17*3-2*(IF(ISNUMBER(SEARCH(MAP_TNHN!B17&amp;" (1 tiết)",'PL12'!$S$5)),1,0)+IF(ISNUMBER(SEARCH(MAP_TNHN!B17&amp;" (1 tiết)",'PL12'!$S$6)),1,0)+IF(ISNUMBER(SEARCH(MAP_TNHN!B17&amp;" (1 tiết)",'PL12'!$S$7)),1,0)+IF(ISNUMBER(SEARCH(MAP_TNHN!B17&amp;" (1 tiết)",'PL12'!$S$8)),1,0)+IF(ISNUMBER(SEARCH(MAP_TNHN!B17&amp;" (1 tiết)",'PL12'!$S$9)),1,0)+IF(ISNUMBER(SEARCH(MAP_TNHN!B17&amp;" (1 tiết)",'PL12'!$S$10)),1,0)+IF(ISNUMBER(SEARCH(MAP_TNHN!B17&amp;" (1 tiết)",'PL12'!$S$11)),1,0)+IF(ISNUMBER(SEARCH(MAP_TNHN!B17&amp;" (1 tiết)",'PL12'!$S$12)),1,0)+IF(ISNUMBER(SEARCH(MAP_TNHN!B17&amp;" (1 tiết)",'PL12'!$S$13)),1,0)+IF(ISNUMBER(SEARCH(MAP_TNHN!B17&amp;" (1 tiết)",'PL12'!$S$14)),1,0)+IF(ISNUMBER(SEARCH(MAP_TNHN!B17&amp;" (1 tiết)",'PL12'!$S$15)),1,0)+IF(ISNUMBER(SEARCH(MAP_TNHN!B17&amp;" (1 tiết)",'PL12'!$S$16)),1,0)+IF(ISNUMBER(SEARCH(MAP_TNHN!B17&amp;" (1 tiết)",'PL12'!$S$17)),1,0)+IF(ISNUMBER(SEARCH(MAP_TNHN!B17&amp;" (1 tiết)",'PL12'!$S$18)),1,0)+IF(ISNUMBER(SEARCH(MAP_TNHN!B17&amp;" (1 tiết)",'PL12'!$S$19)),1,0))-(IF(ISNUMBER(SEARCH(MAP_TNHN!B17&amp;" (2 tiết)",'PL12'!$S$5)),1,0)+IF(ISNUMBER(SEARCH(MAP_TNHN!B17&amp;" (2 tiết)",'PL12'!$S$6)),1,0)+IF(ISNUMBER(SEARCH(MAP_TNHN!B17&amp;" (2 tiết)",'PL12'!$S$7)),1,0)+IF(ISNUMBER(SEARCH(MAP_TNHN!B17&amp;" (2 tiết)",'PL12'!$S$8)),1,0)+IF(ISNUMBER(SEARCH(MAP_TNHN!B17&amp;" (2 tiết)",'PL12'!$S$9)),1,0)+IF(ISNUMBER(SEARCH(MAP_TNHN!B17&amp;" (2 tiết)",'PL12'!$S$10)),1,0)+IF(ISNUMBER(SEARCH(MAP_TNHN!B17&amp;" (2 tiết)",'PL12'!$S$11)),1,0)+IF(ISNUMBER(SEARCH(MAP_TNHN!B17&amp;" (2 tiết)",'PL12'!$S$12)),1,0)+IF(ISNUMBER(SEARCH(MAP_TNHN!B17&amp;" (2 tiết)",'PL12'!$S$13)),1,0)+IF(ISNUMBER(SEARCH(MAP_TNHN!B17&amp;" (2 tiết)",'PL12'!$S$14)),1,0)+IF(ISNUMBER(SEARCH(MAP_TNHN!B17&amp;" (2 tiết)",'PL12'!$S$15)),1,0)+IF(ISNUMBER(SEARCH(MAP_TNHN!B17&amp;" (2 tiết)",'PL12'!$S$16)),1,0)+IF(ISNUMBER(SEARCH(MAP_TNHN!B17&amp;" (2 tiết)",'PL12'!$S$17)),1,0)+IF(ISNUMBER(SEARCH(MAP_TNHN!B17&amp;" (2 tiết)",'PL12'!$S$18)),1,0)+IF(ISNUMBER(SEARCH(MAP_TNHN!B17&amp;" (2 tiết)",'PL12'!$S$19)),1,0))))</f>
        <v>0</v>
      </c>
      <c r="AX17">
        <f>IF(N17="",0,IF(MAP_TNHN!C17="",N17*3,N17*3-2*(IF(ISNUMBER(SEARCH(MAP_TNHN!C17&amp;" (1 tiết)",'PL11'!$S$5)),1,0)+IF(ISNUMBER(SEARCH(MAP_TNHN!C17&amp;" (1 tiết)",'PL11'!$S$6)),1,0)+IF(ISNUMBER(SEARCH(MAP_TNHN!C17&amp;" (1 tiết)",'PL11'!$S$7)),1,0)+IF(ISNUMBER(SEARCH(MAP_TNHN!C17&amp;" (1 tiết)",'PL11'!$S$8)),1,0)+IF(ISNUMBER(SEARCH(MAP_TNHN!C17&amp;" (1 tiết)",'PL11'!$S$9)),1,0)+IF(ISNUMBER(SEARCH(MAP_TNHN!C17&amp;" (1 tiết)",'PL11'!$S$10)),1,0)+IF(ISNUMBER(SEARCH(MAP_TNHN!C17&amp;" (1 tiết)",'PL11'!$S$11)),1,0)+IF(ISNUMBER(SEARCH(MAP_TNHN!C17&amp;" (1 tiết)",'PL11'!$S$12)),1,0)+IF(ISNUMBER(SEARCH(MAP_TNHN!C17&amp;" (1 tiết)",'PL11'!$S$13)),1,0)+IF(ISNUMBER(SEARCH(MAP_TNHN!C17&amp;" (1 tiết)",'PL11'!$S$14)),1,0)+IF(ISNUMBER(SEARCH(MAP_TNHN!C17&amp;" (1 tiết)",'PL11'!$S$15)),1,0)+IF(ISNUMBER(SEARCH(MAP_TNHN!C17&amp;" (1 tiết)",'PL11'!$S$16)),1,0)+IF(ISNUMBER(SEARCH(MAP_TNHN!C17&amp;" (1 tiết)",'PL11'!$S$17)),1,0)+IF(ISNUMBER(SEARCH(MAP_TNHN!C17&amp;" (1 tiết)",'PL11'!$S$18)),1,0))-(IF(ISNUMBER(SEARCH(MAP_TNHN!C17&amp;" (2 tiết)",'PL11'!$S$5)),1,0)+IF(ISNUMBER(SEARCH(MAP_TNHN!C17&amp;" (2 tiết)",'PL11'!$S$6)),1,0)+IF(ISNUMBER(SEARCH(MAP_TNHN!C17&amp;" (2 tiết)",'PL11'!$S$7)),1,0)+IF(ISNUMBER(SEARCH(MAP_TNHN!C17&amp;" (2 tiết)",'PL11'!$S$8)),1,0)+IF(ISNUMBER(SEARCH(MAP_TNHN!C17&amp;" (2 tiết)",'PL11'!$S$9)),1,0)+IF(ISNUMBER(SEARCH(MAP_TNHN!C17&amp;" (2 tiết)",'PL11'!$S$10)),1,0)+IF(ISNUMBER(SEARCH(MAP_TNHN!C17&amp;" (2 tiết)",'PL11'!$S$11)),1,0)+IF(ISNUMBER(SEARCH(MAP_TNHN!C17&amp;" (2 tiết)",'PL11'!$S$12)),1,0)+IF(ISNUMBER(SEARCH(MAP_TNHN!C17&amp;" (2 tiết)",'PL11'!$S$13)),1,0)+IF(ISNUMBER(SEARCH(MAP_TNHN!C17&amp;" (2 tiết)",'PL11'!$S$14)),1,0)+IF(ISNUMBER(SEARCH(MAP_TNHN!C17&amp;" (2 tiết)",'PL11'!$S$15)),1,0)+IF(ISNUMBER(SEARCH(MAP_TNHN!C17&amp;" (2 tiết)",'PL11'!$S$16)),1,0)+IF(ISNUMBER(SEARCH(MAP_TNHN!C17&amp;" (2 tiết)",'PL11'!$S$17)),1,0)+IF(ISNUMBER(SEARCH(MAP_TNHN!C17&amp;" (2 tiết)",'PL11'!$S$18)),1,0))))</f>
        <v>0</v>
      </c>
      <c r="AY17">
        <f>IF(S17="",0,IF(MAP_TNHN!D17="",S17*3,S17*3-2*(IF(ISNUMBER(SEARCH(MAP_TNHN!D17&amp;" (1 tiết)",'PL10'!$S$5)),1,0)+IF(ISNUMBER(SEARCH(MAP_TNHN!D17&amp;" (1 tiết)",'PL10'!$S$6)),1,0)+IF(ISNUMBER(SEARCH(MAP_TNHN!D17&amp;" (1 tiết)",'PL10'!$S$7)),1,0)+IF(ISNUMBER(SEARCH(MAP_TNHN!D17&amp;" (1 tiết)",'PL10'!$S$8)),1,0)+IF(ISNUMBER(SEARCH(MAP_TNHN!D17&amp;" (1 tiết)",'PL10'!$S$9)),1,0)+IF(ISNUMBER(SEARCH(MAP_TNHN!D17&amp;" (1 tiết)",'PL10'!$S$10)),1,0)+IF(ISNUMBER(SEARCH(MAP_TNHN!D17&amp;" (1 tiết)",'PL10'!$S$11)),1,0)+IF(ISNUMBER(SEARCH(MAP_TNHN!D17&amp;" (1 tiết)",'PL10'!$S$12)),1,0)+IF(ISNUMBER(SEARCH(MAP_TNHN!D17&amp;" (1 tiết)",'PL10'!$S$13)),1,0)+IF(ISNUMBER(SEARCH(MAP_TNHN!D17&amp;" (1 tiết)",'PL10'!$S$14)),1,0)+IF(ISNUMBER(SEARCH(MAP_TNHN!D17&amp;" (1 tiết)",'PL10'!$S$15)),1,0)+IF(ISNUMBER(SEARCH(MAP_TNHN!D17&amp;" (1 tiết)",'PL10'!$S$16)),1,0)+IF(ISNUMBER(SEARCH(MAP_TNHN!D17&amp;" (1 tiết)",'PL10'!$S$17)),1,0)+IF(ISNUMBER(SEARCH(MAP_TNHN!D17&amp;" (1 tiết)",'PL10'!$S$18)),1,0)+IF(ISNUMBER(SEARCH(MAP_TNHN!D17&amp;" (1 tiết)",'PL10'!$S$19)),1,0)+IF(ISNUMBER(SEARCH(MAP_TNHN!D17&amp;" (1 tiết)",'PL10'!$S$20)),1,0)+IF(ISNUMBER(SEARCH(MAP_TNHN!D17&amp;" (1 tiết)",'PL10'!$S$21)),1,0)+IF(ISNUMBER(SEARCH(MAP_TNHN!D17&amp;" (1 tiết)",'PL10'!$S$22)),1,0)+IF(ISNUMBER(SEARCH(MAP_TNHN!D17&amp;" (1 tiết)",'PL10'!$S$23)),1,0)+IF(ISNUMBER(SEARCH(MAP_TNHN!D17&amp;" (1 tiết)",'PL10'!$S$24)),1,0)+IF(ISNUMBER(SEARCH(MAP_TNHN!D17&amp;" (1 tiết)",'PL10'!$S$25)),1,0))-(IF(ISNUMBER(SEARCH(MAP_TNHN!D17&amp;" (2 tiết)",'PL10'!$S$5)),1,0)+IF(ISNUMBER(SEARCH(MAP_TNHN!D17&amp;" (2 tiết)",'PL10'!$S$6)),1,0)+IF(ISNUMBER(SEARCH(MAP_TNHN!D17&amp;" (2 tiết)",'PL10'!$S$7)),1,0)+IF(ISNUMBER(SEARCH(MAP_TNHN!D17&amp;" (2 tiết)",'PL10'!$S$8)),1,0)+IF(ISNUMBER(SEARCH(MAP_TNHN!D17&amp;" (2 tiết)",'PL10'!$S$9)),1,0)+IF(ISNUMBER(SEARCH(MAP_TNHN!D17&amp;" (2 tiết)",'PL10'!$S$10)),1,0)+IF(ISNUMBER(SEARCH(MAP_TNHN!D17&amp;" (2 tiết)",'PL10'!$S$11)),1,0)+IF(ISNUMBER(SEARCH(MAP_TNHN!D17&amp;" (2 tiết)",'PL10'!$S$12)),1,0)+IF(ISNUMBER(SEARCH(MAP_TNHN!D17&amp;" (2 tiết)",'PL10'!$S$13)),1,0)+IF(ISNUMBER(SEARCH(MAP_TNHN!D17&amp;" (2 tiết)",'PL10'!$S$14)),1,0)+IF(ISNUMBER(SEARCH(MAP_TNHN!D17&amp;" (2 tiết)",'PL10'!$S$15)),1,0)+IF(ISNUMBER(SEARCH(MAP_TNHN!D17&amp;" (2 tiết)",'PL10'!$S$16)),1,0)+IF(ISNUMBER(SEARCH(MAP_TNHN!D17&amp;" (2 tiết)",'PL10'!$S$17)),1,0)+IF(ISNUMBER(SEARCH(MAP_TNHN!D17&amp;" (2 tiết)",'PL10'!$S$18)),1,0)+IF(ISNUMBER(SEARCH(MAP_TNHN!D17&amp;" (2 tiết)",'PL10'!$S$19)),1,0)+IF(ISNUMBER(SEARCH(MAP_TNHN!D17&amp;" (2 tiết)",'PL10'!$S$20)),1,0)+IF(ISNUMBER(SEARCH(MAP_TNHN!D17&amp;" (2 tiết)",'PL10'!$S$21)),1,0)+IF(ISNUMBER(SEARCH(MAP_TNHN!D17&amp;" (2 tiết)",'PL10'!$S$22)),1,0)+IF(ISNUMBER(SEARCH(MAP_TNHN!D17&amp;" (2 tiết)",'PL10'!$S$23)),1,0)+IF(ISNUMBER(SEARCH(MAP_TNHN!D17&amp;" (2 tiết)",'PL10'!$S$24)),1,0)+IF(ISNUMBER(SEARCH(MAP_TNHN!D17&amp;" (2 tiết)",'PL10'!$S$25)),1,0))))</f>
        <v>0</v>
      </c>
    </row>
    <row r="18" spans="1:51" ht="15.5" x14ac:dyDescent="0.35">
      <c r="A18" s="311"/>
      <c r="B18" s="11">
        <v>2</v>
      </c>
      <c r="C18" s="12" t="s">
        <v>68</v>
      </c>
      <c r="D18" s="21"/>
      <c r="E18" s="45">
        <v>3</v>
      </c>
      <c r="F18" s="45"/>
      <c r="G18" s="45">
        <v>3</v>
      </c>
      <c r="H18" s="45">
        <v>1</v>
      </c>
      <c r="I18" s="161"/>
      <c r="J18" s="45"/>
      <c r="K18" s="46">
        <v>3</v>
      </c>
      <c r="L18" s="46"/>
      <c r="M18" s="46">
        <v>3</v>
      </c>
      <c r="N18" s="164"/>
      <c r="O18" s="46"/>
      <c r="P18" s="47"/>
      <c r="Q18" s="47"/>
      <c r="R18" s="47"/>
      <c r="S18" s="165"/>
      <c r="T18" s="47"/>
      <c r="U18" s="11">
        <f>E18*('Phân tiết'!$M$18/4)+G18*('Phân tiết'!$M$21/3)+H18*'Phân tiết'!$L$26+AW18+J18*'Phân tiết'!$M$20+K18*('Phân tiết'!$I$18/4)+M18*('Phân tiết'!$I$21/3)+AX18+O18*'Phân tiết'!$I$20+P18*('Phân tiết'!$E$18/4)+R18*('Phân tiết'!$E$21/3)+AY18+T18*'Phân tiết'!$E$20</f>
        <v>20</v>
      </c>
      <c r="V18" s="8">
        <f>F18*4+L18*4+Q18*4</f>
        <v>0</v>
      </c>
      <c r="W18" s="6"/>
      <c r="X18" s="6" t="s">
        <v>54</v>
      </c>
      <c r="Y18" s="11">
        <v>1</v>
      </c>
      <c r="Z18" s="43">
        <f>SUM(U18:Y18)</f>
        <v>21</v>
      </c>
      <c r="AA18" s="34">
        <f>Z18-17</f>
        <v>4</v>
      </c>
      <c r="AB18" s="8">
        <v>2</v>
      </c>
      <c r="AC18" s="8">
        <v>15</v>
      </c>
      <c r="AD18" s="6">
        <f t="shared" si="3"/>
        <v>45</v>
      </c>
      <c r="AE18" s="8"/>
      <c r="AF18" s="8"/>
      <c r="AG18" s="6">
        <f t="shared" si="5"/>
        <v>0</v>
      </c>
      <c r="AH18" s="8"/>
      <c r="AI18" s="8"/>
      <c r="AJ18" s="6">
        <f>AH18*AI18</f>
        <v>0</v>
      </c>
      <c r="AK18" s="6">
        <f t="shared" si="6"/>
        <v>177</v>
      </c>
      <c r="AL18" s="8" t="s">
        <v>48</v>
      </c>
      <c r="AM18" s="11"/>
      <c r="AN18" s="12"/>
      <c r="AO18" s="11"/>
      <c r="AP18" s="11"/>
      <c r="AQ18" s="11" t="s">
        <v>46</v>
      </c>
      <c r="AR18" s="11"/>
      <c r="AS18" s="11"/>
      <c r="AT18" s="11" t="s">
        <v>46</v>
      </c>
      <c r="AU18" s="11"/>
      <c r="AV18" s="28"/>
      <c r="AW18">
        <f>IF(I18="",0,IF(MAP_TNHN!B18="",I18*3,I18*3-2*(IF(ISNUMBER(SEARCH(MAP_TNHN!B18&amp;" (1 tiết)",'PL12'!$S$5)),1,0)+IF(ISNUMBER(SEARCH(MAP_TNHN!B18&amp;" (1 tiết)",'PL12'!$S$6)),1,0)+IF(ISNUMBER(SEARCH(MAP_TNHN!B18&amp;" (1 tiết)",'PL12'!$S$7)),1,0)+IF(ISNUMBER(SEARCH(MAP_TNHN!B18&amp;" (1 tiết)",'PL12'!$S$8)),1,0)+IF(ISNUMBER(SEARCH(MAP_TNHN!B18&amp;" (1 tiết)",'PL12'!$S$9)),1,0)+IF(ISNUMBER(SEARCH(MAP_TNHN!B18&amp;" (1 tiết)",'PL12'!$S$10)),1,0)+IF(ISNUMBER(SEARCH(MAP_TNHN!B18&amp;" (1 tiết)",'PL12'!$S$11)),1,0)+IF(ISNUMBER(SEARCH(MAP_TNHN!B18&amp;" (1 tiết)",'PL12'!$S$12)),1,0)+IF(ISNUMBER(SEARCH(MAP_TNHN!B18&amp;" (1 tiết)",'PL12'!$S$13)),1,0)+IF(ISNUMBER(SEARCH(MAP_TNHN!B18&amp;" (1 tiết)",'PL12'!$S$14)),1,0)+IF(ISNUMBER(SEARCH(MAP_TNHN!B18&amp;" (1 tiết)",'PL12'!$S$15)),1,0)+IF(ISNUMBER(SEARCH(MAP_TNHN!B18&amp;" (1 tiết)",'PL12'!$S$16)),1,0)+IF(ISNUMBER(SEARCH(MAP_TNHN!B18&amp;" (1 tiết)",'PL12'!$S$17)),1,0)+IF(ISNUMBER(SEARCH(MAP_TNHN!B18&amp;" (1 tiết)",'PL12'!$S$18)),1,0)+IF(ISNUMBER(SEARCH(MAP_TNHN!B18&amp;" (1 tiết)",'PL12'!$S$19)),1,0))-(IF(ISNUMBER(SEARCH(MAP_TNHN!B18&amp;" (2 tiết)",'PL12'!$S$5)),1,0)+IF(ISNUMBER(SEARCH(MAP_TNHN!B18&amp;" (2 tiết)",'PL12'!$S$6)),1,0)+IF(ISNUMBER(SEARCH(MAP_TNHN!B18&amp;" (2 tiết)",'PL12'!$S$7)),1,0)+IF(ISNUMBER(SEARCH(MAP_TNHN!B18&amp;" (2 tiết)",'PL12'!$S$8)),1,0)+IF(ISNUMBER(SEARCH(MAP_TNHN!B18&amp;" (2 tiết)",'PL12'!$S$9)),1,0)+IF(ISNUMBER(SEARCH(MAP_TNHN!B18&amp;" (2 tiết)",'PL12'!$S$10)),1,0)+IF(ISNUMBER(SEARCH(MAP_TNHN!B18&amp;" (2 tiết)",'PL12'!$S$11)),1,0)+IF(ISNUMBER(SEARCH(MAP_TNHN!B18&amp;" (2 tiết)",'PL12'!$S$12)),1,0)+IF(ISNUMBER(SEARCH(MAP_TNHN!B18&amp;" (2 tiết)",'PL12'!$S$13)),1,0)+IF(ISNUMBER(SEARCH(MAP_TNHN!B18&amp;" (2 tiết)",'PL12'!$S$14)),1,0)+IF(ISNUMBER(SEARCH(MAP_TNHN!B18&amp;" (2 tiết)",'PL12'!$S$15)),1,0)+IF(ISNUMBER(SEARCH(MAP_TNHN!B18&amp;" (2 tiết)",'PL12'!$S$16)),1,0)+IF(ISNUMBER(SEARCH(MAP_TNHN!B18&amp;" (2 tiết)",'PL12'!$S$17)),1,0)+IF(ISNUMBER(SEARCH(MAP_TNHN!B18&amp;" (2 tiết)",'PL12'!$S$18)),1,0)+IF(ISNUMBER(SEARCH(MAP_TNHN!B18&amp;" (2 tiết)",'PL12'!$S$19)),1,0))))</f>
        <v>0</v>
      </c>
      <c r="AX18">
        <f>IF(N18="",0,IF(MAP_TNHN!C18="",N18*3,N18*3-2*(IF(ISNUMBER(SEARCH(MAP_TNHN!C18&amp;" (1 tiết)",'PL11'!$S$5)),1,0)+IF(ISNUMBER(SEARCH(MAP_TNHN!C18&amp;" (1 tiết)",'PL11'!$S$6)),1,0)+IF(ISNUMBER(SEARCH(MAP_TNHN!C18&amp;" (1 tiết)",'PL11'!$S$7)),1,0)+IF(ISNUMBER(SEARCH(MAP_TNHN!C18&amp;" (1 tiết)",'PL11'!$S$8)),1,0)+IF(ISNUMBER(SEARCH(MAP_TNHN!C18&amp;" (1 tiết)",'PL11'!$S$9)),1,0)+IF(ISNUMBER(SEARCH(MAP_TNHN!C18&amp;" (1 tiết)",'PL11'!$S$10)),1,0)+IF(ISNUMBER(SEARCH(MAP_TNHN!C18&amp;" (1 tiết)",'PL11'!$S$11)),1,0)+IF(ISNUMBER(SEARCH(MAP_TNHN!C18&amp;" (1 tiết)",'PL11'!$S$12)),1,0)+IF(ISNUMBER(SEARCH(MAP_TNHN!C18&amp;" (1 tiết)",'PL11'!$S$13)),1,0)+IF(ISNUMBER(SEARCH(MAP_TNHN!C18&amp;" (1 tiết)",'PL11'!$S$14)),1,0)+IF(ISNUMBER(SEARCH(MAP_TNHN!C18&amp;" (1 tiết)",'PL11'!$S$15)),1,0)+IF(ISNUMBER(SEARCH(MAP_TNHN!C18&amp;" (1 tiết)",'PL11'!$S$16)),1,0)+IF(ISNUMBER(SEARCH(MAP_TNHN!C18&amp;" (1 tiết)",'PL11'!$S$17)),1,0)+IF(ISNUMBER(SEARCH(MAP_TNHN!C18&amp;" (1 tiết)",'PL11'!$S$18)),1,0))-(IF(ISNUMBER(SEARCH(MAP_TNHN!C18&amp;" (2 tiết)",'PL11'!$S$5)),1,0)+IF(ISNUMBER(SEARCH(MAP_TNHN!C18&amp;" (2 tiết)",'PL11'!$S$6)),1,0)+IF(ISNUMBER(SEARCH(MAP_TNHN!C18&amp;" (2 tiết)",'PL11'!$S$7)),1,0)+IF(ISNUMBER(SEARCH(MAP_TNHN!C18&amp;" (2 tiết)",'PL11'!$S$8)),1,0)+IF(ISNUMBER(SEARCH(MAP_TNHN!C18&amp;" (2 tiết)",'PL11'!$S$9)),1,0)+IF(ISNUMBER(SEARCH(MAP_TNHN!C18&amp;" (2 tiết)",'PL11'!$S$10)),1,0)+IF(ISNUMBER(SEARCH(MAP_TNHN!C18&amp;" (2 tiết)",'PL11'!$S$11)),1,0)+IF(ISNUMBER(SEARCH(MAP_TNHN!C18&amp;" (2 tiết)",'PL11'!$S$12)),1,0)+IF(ISNUMBER(SEARCH(MAP_TNHN!C18&amp;" (2 tiết)",'PL11'!$S$13)),1,0)+IF(ISNUMBER(SEARCH(MAP_TNHN!C18&amp;" (2 tiết)",'PL11'!$S$14)),1,0)+IF(ISNUMBER(SEARCH(MAP_TNHN!C18&amp;" (2 tiết)",'PL11'!$S$15)),1,0)+IF(ISNUMBER(SEARCH(MAP_TNHN!C18&amp;" (2 tiết)",'PL11'!$S$16)),1,0)+IF(ISNUMBER(SEARCH(MAP_TNHN!C18&amp;" (2 tiết)",'PL11'!$S$17)),1,0)+IF(ISNUMBER(SEARCH(MAP_TNHN!C18&amp;" (2 tiết)",'PL11'!$S$18)),1,0))))</f>
        <v>0</v>
      </c>
      <c r="AY18">
        <f>IF(S18="",0,IF(MAP_TNHN!D18="",S18*3,S18*3-2*(IF(ISNUMBER(SEARCH(MAP_TNHN!D18&amp;" (1 tiết)",'PL10'!$S$5)),1,0)+IF(ISNUMBER(SEARCH(MAP_TNHN!D18&amp;" (1 tiết)",'PL10'!$S$6)),1,0)+IF(ISNUMBER(SEARCH(MAP_TNHN!D18&amp;" (1 tiết)",'PL10'!$S$7)),1,0)+IF(ISNUMBER(SEARCH(MAP_TNHN!D18&amp;" (1 tiết)",'PL10'!$S$8)),1,0)+IF(ISNUMBER(SEARCH(MAP_TNHN!D18&amp;" (1 tiết)",'PL10'!$S$9)),1,0)+IF(ISNUMBER(SEARCH(MAP_TNHN!D18&amp;" (1 tiết)",'PL10'!$S$10)),1,0)+IF(ISNUMBER(SEARCH(MAP_TNHN!D18&amp;" (1 tiết)",'PL10'!$S$11)),1,0)+IF(ISNUMBER(SEARCH(MAP_TNHN!D18&amp;" (1 tiết)",'PL10'!$S$12)),1,0)+IF(ISNUMBER(SEARCH(MAP_TNHN!D18&amp;" (1 tiết)",'PL10'!$S$13)),1,0)+IF(ISNUMBER(SEARCH(MAP_TNHN!D18&amp;" (1 tiết)",'PL10'!$S$14)),1,0)+IF(ISNUMBER(SEARCH(MAP_TNHN!D18&amp;" (1 tiết)",'PL10'!$S$15)),1,0)+IF(ISNUMBER(SEARCH(MAP_TNHN!D18&amp;" (1 tiết)",'PL10'!$S$16)),1,0)+IF(ISNUMBER(SEARCH(MAP_TNHN!D18&amp;" (1 tiết)",'PL10'!$S$17)),1,0)+IF(ISNUMBER(SEARCH(MAP_TNHN!D18&amp;" (1 tiết)",'PL10'!$S$18)),1,0)+IF(ISNUMBER(SEARCH(MAP_TNHN!D18&amp;" (1 tiết)",'PL10'!$S$19)),1,0)+IF(ISNUMBER(SEARCH(MAP_TNHN!D18&amp;" (1 tiết)",'PL10'!$S$20)),1,0)+IF(ISNUMBER(SEARCH(MAP_TNHN!D18&amp;" (1 tiết)",'PL10'!$S$21)),1,0)+IF(ISNUMBER(SEARCH(MAP_TNHN!D18&amp;" (1 tiết)",'PL10'!$S$22)),1,0)+IF(ISNUMBER(SEARCH(MAP_TNHN!D18&amp;" (1 tiết)",'PL10'!$S$23)),1,0)+IF(ISNUMBER(SEARCH(MAP_TNHN!D18&amp;" (1 tiết)",'PL10'!$S$24)),1,0)+IF(ISNUMBER(SEARCH(MAP_TNHN!D18&amp;" (1 tiết)",'PL10'!$S$25)),1,0))-(IF(ISNUMBER(SEARCH(MAP_TNHN!D18&amp;" (2 tiết)",'PL10'!$S$5)),1,0)+IF(ISNUMBER(SEARCH(MAP_TNHN!D18&amp;" (2 tiết)",'PL10'!$S$6)),1,0)+IF(ISNUMBER(SEARCH(MAP_TNHN!D18&amp;" (2 tiết)",'PL10'!$S$7)),1,0)+IF(ISNUMBER(SEARCH(MAP_TNHN!D18&amp;" (2 tiết)",'PL10'!$S$8)),1,0)+IF(ISNUMBER(SEARCH(MAP_TNHN!D18&amp;" (2 tiết)",'PL10'!$S$9)),1,0)+IF(ISNUMBER(SEARCH(MAP_TNHN!D18&amp;" (2 tiết)",'PL10'!$S$10)),1,0)+IF(ISNUMBER(SEARCH(MAP_TNHN!D18&amp;" (2 tiết)",'PL10'!$S$11)),1,0)+IF(ISNUMBER(SEARCH(MAP_TNHN!D18&amp;" (2 tiết)",'PL10'!$S$12)),1,0)+IF(ISNUMBER(SEARCH(MAP_TNHN!D18&amp;" (2 tiết)",'PL10'!$S$13)),1,0)+IF(ISNUMBER(SEARCH(MAP_TNHN!D18&amp;" (2 tiết)",'PL10'!$S$14)),1,0)+IF(ISNUMBER(SEARCH(MAP_TNHN!D18&amp;" (2 tiết)",'PL10'!$S$15)),1,0)+IF(ISNUMBER(SEARCH(MAP_TNHN!D18&amp;" (2 tiết)",'PL10'!$S$16)),1,0)+IF(ISNUMBER(SEARCH(MAP_TNHN!D18&amp;" (2 tiết)",'PL10'!$S$17)),1,0)+IF(ISNUMBER(SEARCH(MAP_TNHN!D18&amp;" (2 tiết)",'PL10'!$S$18)),1,0)+IF(ISNUMBER(SEARCH(MAP_TNHN!D18&amp;" (2 tiết)",'PL10'!$S$19)),1,0)+IF(ISNUMBER(SEARCH(MAP_TNHN!D18&amp;" (2 tiết)",'PL10'!$S$20)),1,0)+IF(ISNUMBER(SEARCH(MAP_TNHN!D18&amp;" (2 tiết)",'PL10'!$S$21)),1,0)+IF(ISNUMBER(SEARCH(MAP_TNHN!D18&amp;" (2 tiết)",'PL10'!$S$22)),1,0)+IF(ISNUMBER(SEARCH(MAP_TNHN!D18&amp;" (2 tiết)",'PL10'!$S$23)),1,0)+IF(ISNUMBER(SEARCH(MAP_TNHN!D18&amp;" (2 tiết)",'PL10'!$S$24)),1,0)+IF(ISNUMBER(SEARCH(MAP_TNHN!D18&amp;" (2 tiết)",'PL10'!$S$25)),1,0))))</f>
        <v>0</v>
      </c>
    </row>
    <row r="19" spans="1:51" x14ac:dyDescent="0.35">
      <c r="A19" s="311"/>
      <c r="B19" s="11">
        <v>3</v>
      </c>
      <c r="C19" s="12" t="s">
        <v>69</v>
      </c>
      <c r="D19" s="21"/>
      <c r="E19" s="45">
        <v>2</v>
      </c>
      <c r="F19" s="45"/>
      <c r="G19" s="45">
        <v>1</v>
      </c>
      <c r="H19" s="45">
        <v>1</v>
      </c>
      <c r="I19" s="161"/>
      <c r="J19" s="45"/>
      <c r="K19" s="46"/>
      <c r="L19" s="46"/>
      <c r="M19" s="46"/>
      <c r="N19" s="164"/>
      <c r="O19" s="46"/>
      <c r="P19" s="47">
        <v>5</v>
      </c>
      <c r="Q19" s="47"/>
      <c r="R19" s="47">
        <v>5</v>
      </c>
      <c r="S19" s="165"/>
      <c r="T19" s="47"/>
      <c r="U19" s="11">
        <f>E19*('Phân tiết'!$M$18/4)+G19*('Phân tiết'!$M$21/3)+H19*'Phân tiết'!$L$26+AW19+J19*'Phân tiết'!$M$20+K19*('Phân tiết'!$I$18/4)+M19*('Phân tiết'!$I$21/3)+AX19+O19*'Phân tiết'!$I$20+P19*('Phân tiết'!$E$18/4)+R19*('Phân tiết'!$E$21/3)+AY19+T19*'Phân tiết'!$E$20</f>
        <v>22</v>
      </c>
      <c r="V19" s="8">
        <f>F19*4+L19*4+Q19*4</f>
        <v>0</v>
      </c>
      <c r="W19" s="6"/>
      <c r="X19" s="6"/>
      <c r="Y19" s="11"/>
      <c r="Z19" s="43">
        <f>SUM(U19:Y19)</f>
        <v>22</v>
      </c>
      <c r="AA19" s="34">
        <f>Z19-17</f>
        <v>5</v>
      </c>
      <c r="AB19" s="8"/>
      <c r="AC19" s="8"/>
      <c r="AD19" s="6">
        <f t="shared" si="3"/>
        <v>0</v>
      </c>
      <c r="AE19" s="8">
        <v>2</v>
      </c>
      <c r="AF19" s="8">
        <v>18</v>
      </c>
      <c r="AG19" s="6">
        <f t="shared" si="5"/>
        <v>54</v>
      </c>
      <c r="AH19" s="8"/>
      <c r="AI19" s="8"/>
      <c r="AJ19" s="6">
        <f>AH19*AI19</f>
        <v>0</v>
      </c>
      <c r="AK19" s="6">
        <f t="shared" si="6"/>
        <v>219</v>
      </c>
      <c r="AL19" s="11"/>
      <c r="AM19" s="8" t="s">
        <v>70</v>
      </c>
      <c r="AN19" s="11"/>
      <c r="AO19" s="11"/>
      <c r="AP19" s="11"/>
      <c r="AQ19" s="11" t="s">
        <v>46</v>
      </c>
      <c r="AR19" s="11"/>
      <c r="AS19" s="11"/>
      <c r="AT19" s="11" t="s">
        <v>46</v>
      </c>
      <c r="AU19" s="11"/>
      <c r="AV19" s="8"/>
      <c r="AW19">
        <f>IF(I19="",0,IF(MAP_TNHN!B19="",I19*3,I19*3-2*(IF(ISNUMBER(SEARCH(MAP_TNHN!B19&amp;" (1 tiết)",'PL12'!$S$5)),1,0)+IF(ISNUMBER(SEARCH(MAP_TNHN!B19&amp;" (1 tiết)",'PL12'!$S$6)),1,0)+IF(ISNUMBER(SEARCH(MAP_TNHN!B19&amp;" (1 tiết)",'PL12'!$S$7)),1,0)+IF(ISNUMBER(SEARCH(MAP_TNHN!B19&amp;" (1 tiết)",'PL12'!$S$8)),1,0)+IF(ISNUMBER(SEARCH(MAP_TNHN!B19&amp;" (1 tiết)",'PL12'!$S$9)),1,0)+IF(ISNUMBER(SEARCH(MAP_TNHN!B19&amp;" (1 tiết)",'PL12'!$S$10)),1,0)+IF(ISNUMBER(SEARCH(MAP_TNHN!B19&amp;" (1 tiết)",'PL12'!$S$11)),1,0)+IF(ISNUMBER(SEARCH(MAP_TNHN!B19&amp;" (1 tiết)",'PL12'!$S$12)),1,0)+IF(ISNUMBER(SEARCH(MAP_TNHN!B19&amp;" (1 tiết)",'PL12'!$S$13)),1,0)+IF(ISNUMBER(SEARCH(MAP_TNHN!B19&amp;" (1 tiết)",'PL12'!$S$14)),1,0)+IF(ISNUMBER(SEARCH(MAP_TNHN!B19&amp;" (1 tiết)",'PL12'!$S$15)),1,0)+IF(ISNUMBER(SEARCH(MAP_TNHN!B19&amp;" (1 tiết)",'PL12'!$S$16)),1,0)+IF(ISNUMBER(SEARCH(MAP_TNHN!B19&amp;" (1 tiết)",'PL12'!$S$17)),1,0)+IF(ISNUMBER(SEARCH(MAP_TNHN!B19&amp;" (1 tiết)",'PL12'!$S$18)),1,0)+IF(ISNUMBER(SEARCH(MAP_TNHN!B19&amp;" (1 tiết)",'PL12'!$S$19)),1,0))-(IF(ISNUMBER(SEARCH(MAP_TNHN!B19&amp;" (2 tiết)",'PL12'!$S$5)),1,0)+IF(ISNUMBER(SEARCH(MAP_TNHN!B19&amp;" (2 tiết)",'PL12'!$S$6)),1,0)+IF(ISNUMBER(SEARCH(MAP_TNHN!B19&amp;" (2 tiết)",'PL12'!$S$7)),1,0)+IF(ISNUMBER(SEARCH(MAP_TNHN!B19&amp;" (2 tiết)",'PL12'!$S$8)),1,0)+IF(ISNUMBER(SEARCH(MAP_TNHN!B19&amp;" (2 tiết)",'PL12'!$S$9)),1,0)+IF(ISNUMBER(SEARCH(MAP_TNHN!B19&amp;" (2 tiết)",'PL12'!$S$10)),1,0)+IF(ISNUMBER(SEARCH(MAP_TNHN!B19&amp;" (2 tiết)",'PL12'!$S$11)),1,0)+IF(ISNUMBER(SEARCH(MAP_TNHN!B19&amp;" (2 tiết)",'PL12'!$S$12)),1,0)+IF(ISNUMBER(SEARCH(MAP_TNHN!B19&amp;" (2 tiết)",'PL12'!$S$13)),1,0)+IF(ISNUMBER(SEARCH(MAP_TNHN!B19&amp;" (2 tiết)",'PL12'!$S$14)),1,0)+IF(ISNUMBER(SEARCH(MAP_TNHN!B19&amp;" (2 tiết)",'PL12'!$S$15)),1,0)+IF(ISNUMBER(SEARCH(MAP_TNHN!B19&amp;" (2 tiết)",'PL12'!$S$16)),1,0)+IF(ISNUMBER(SEARCH(MAP_TNHN!B19&amp;" (2 tiết)",'PL12'!$S$17)),1,0)+IF(ISNUMBER(SEARCH(MAP_TNHN!B19&amp;" (2 tiết)",'PL12'!$S$18)),1,0)+IF(ISNUMBER(SEARCH(MAP_TNHN!B19&amp;" (2 tiết)",'PL12'!$S$19)),1,0))))</f>
        <v>0</v>
      </c>
      <c r="AX19">
        <f>IF(N19="",0,IF(MAP_TNHN!C19="",N19*3,N19*3-2*(IF(ISNUMBER(SEARCH(MAP_TNHN!C19&amp;" (1 tiết)",'PL11'!$S$5)),1,0)+IF(ISNUMBER(SEARCH(MAP_TNHN!C19&amp;" (1 tiết)",'PL11'!$S$6)),1,0)+IF(ISNUMBER(SEARCH(MAP_TNHN!C19&amp;" (1 tiết)",'PL11'!$S$7)),1,0)+IF(ISNUMBER(SEARCH(MAP_TNHN!C19&amp;" (1 tiết)",'PL11'!$S$8)),1,0)+IF(ISNUMBER(SEARCH(MAP_TNHN!C19&amp;" (1 tiết)",'PL11'!$S$9)),1,0)+IF(ISNUMBER(SEARCH(MAP_TNHN!C19&amp;" (1 tiết)",'PL11'!$S$10)),1,0)+IF(ISNUMBER(SEARCH(MAP_TNHN!C19&amp;" (1 tiết)",'PL11'!$S$11)),1,0)+IF(ISNUMBER(SEARCH(MAP_TNHN!C19&amp;" (1 tiết)",'PL11'!$S$12)),1,0)+IF(ISNUMBER(SEARCH(MAP_TNHN!C19&amp;" (1 tiết)",'PL11'!$S$13)),1,0)+IF(ISNUMBER(SEARCH(MAP_TNHN!C19&amp;" (1 tiết)",'PL11'!$S$14)),1,0)+IF(ISNUMBER(SEARCH(MAP_TNHN!C19&amp;" (1 tiết)",'PL11'!$S$15)),1,0)+IF(ISNUMBER(SEARCH(MAP_TNHN!C19&amp;" (1 tiết)",'PL11'!$S$16)),1,0)+IF(ISNUMBER(SEARCH(MAP_TNHN!C19&amp;" (1 tiết)",'PL11'!$S$17)),1,0)+IF(ISNUMBER(SEARCH(MAP_TNHN!C19&amp;" (1 tiết)",'PL11'!$S$18)),1,0))-(IF(ISNUMBER(SEARCH(MAP_TNHN!C19&amp;" (2 tiết)",'PL11'!$S$5)),1,0)+IF(ISNUMBER(SEARCH(MAP_TNHN!C19&amp;" (2 tiết)",'PL11'!$S$6)),1,0)+IF(ISNUMBER(SEARCH(MAP_TNHN!C19&amp;" (2 tiết)",'PL11'!$S$7)),1,0)+IF(ISNUMBER(SEARCH(MAP_TNHN!C19&amp;" (2 tiết)",'PL11'!$S$8)),1,0)+IF(ISNUMBER(SEARCH(MAP_TNHN!C19&amp;" (2 tiết)",'PL11'!$S$9)),1,0)+IF(ISNUMBER(SEARCH(MAP_TNHN!C19&amp;" (2 tiết)",'PL11'!$S$10)),1,0)+IF(ISNUMBER(SEARCH(MAP_TNHN!C19&amp;" (2 tiết)",'PL11'!$S$11)),1,0)+IF(ISNUMBER(SEARCH(MAP_TNHN!C19&amp;" (2 tiết)",'PL11'!$S$12)),1,0)+IF(ISNUMBER(SEARCH(MAP_TNHN!C19&amp;" (2 tiết)",'PL11'!$S$13)),1,0)+IF(ISNUMBER(SEARCH(MAP_TNHN!C19&amp;" (2 tiết)",'PL11'!$S$14)),1,0)+IF(ISNUMBER(SEARCH(MAP_TNHN!C19&amp;" (2 tiết)",'PL11'!$S$15)),1,0)+IF(ISNUMBER(SEARCH(MAP_TNHN!C19&amp;" (2 tiết)",'PL11'!$S$16)),1,0)+IF(ISNUMBER(SEARCH(MAP_TNHN!C19&amp;" (2 tiết)",'PL11'!$S$17)),1,0)+IF(ISNUMBER(SEARCH(MAP_TNHN!C19&amp;" (2 tiết)",'PL11'!$S$18)),1,0))))</f>
        <v>0</v>
      </c>
      <c r="AY19">
        <f>IF(S19="",0,IF(MAP_TNHN!D19="",S19*3,S19*3-2*(IF(ISNUMBER(SEARCH(MAP_TNHN!D19&amp;" (1 tiết)",'PL10'!$S$5)),1,0)+IF(ISNUMBER(SEARCH(MAP_TNHN!D19&amp;" (1 tiết)",'PL10'!$S$6)),1,0)+IF(ISNUMBER(SEARCH(MAP_TNHN!D19&amp;" (1 tiết)",'PL10'!$S$7)),1,0)+IF(ISNUMBER(SEARCH(MAP_TNHN!D19&amp;" (1 tiết)",'PL10'!$S$8)),1,0)+IF(ISNUMBER(SEARCH(MAP_TNHN!D19&amp;" (1 tiết)",'PL10'!$S$9)),1,0)+IF(ISNUMBER(SEARCH(MAP_TNHN!D19&amp;" (1 tiết)",'PL10'!$S$10)),1,0)+IF(ISNUMBER(SEARCH(MAP_TNHN!D19&amp;" (1 tiết)",'PL10'!$S$11)),1,0)+IF(ISNUMBER(SEARCH(MAP_TNHN!D19&amp;" (1 tiết)",'PL10'!$S$12)),1,0)+IF(ISNUMBER(SEARCH(MAP_TNHN!D19&amp;" (1 tiết)",'PL10'!$S$13)),1,0)+IF(ISNUMBER(SEARCH(MAP_TNHN!D19&amp;" (1 tiết)",'PL10'!$S$14)),1,0)+IF(ISNUMBER(SEARCH(MAP_TNHN!D19&amp;" (1 tiết)",'PL10'!$S$15)),1,0)+IF(ISNUMBER(SEARCH(MAP_TNHN!D19&amp;" (1 tiết)",'PL10'!$S$16)),1,0)+IF(ISNUMBER(SEARCH(MAP_TNHN!D19&amp;" (1 tiết)",'PL10'!$S$17)),1,0)+IF(ISNUMBER(SEARCH(MAP_TNHN!D19&amp;" (1 tiết)",'PL10'!$S$18)),1,0)+IF(ISNUMBER(SEARCH(MAP_TNHN!D19&amp;" (1 tiết)",'PL10'!$S$19)),1,0)+IF(ISNUMBER(SEARCH(MAP_TNHN!D19&amp;" (1 tiết)",'PL10'!$S$20)),1,0)+IF(ISNUMBER(SEARCH(MAP_TNHN!D19&amp;" (1 tiết)",'PL10'!$S$21)),1,0)+IF(ISNUMBER(SEARCH(MAP_TNHN!D19&amp;" (1 tiết)",'PL10'!$S$22)),1,0)+IF(ISNUMBER(SEARCH(MAP_TNHN!D19&amp;" (1 tiết)",'PL10'!$S$23)),1,0)+IF(ISNUMBER(SEARCH(MAP_TNHN!D19&amp;" (1 tiết)",'PL10'!$S$24)),1,0)+IF(ISNUMBER(SEARCH(MAP_TNHN!D19&amp;" (1 tiết)",'PL10'!$S$25)),1,0))-(IF(ISNUMBER(SEARCH(MAP_TNHN!D19&amp;" (2 tiết)",'PL10'!$S$5)),1,0)+IF(ISNUMBER(SEARCH(MAP_TNHN!D19&amp;" (2 tiết)",'PL10'!$S$6)),1,0)+IF(ISNUMBER(SEARCH(MAP_TNHN!D19&amp;" (2 tiết)",'PL10'!$S$7)),1,0)+IF(ISNUMBER(SEARCH(MAP_TNHN!D19&amp;" (2 tiết)",'PL10'!$S$8)),1,0)+IF(ISNUMBER(SEARCH(MAP_TNHN!D19&amp;" (2 tiết)",'PL10'!$S$9)),1,0)+IF(ISNUMBER(SEARCH(MAP_TNHN!D19&amp;" (2 tiết)",'PL10'!$S$10)),1,0)+IF(ISNUMBER(SEARCH(MAP_TNHN!D19&amp;" (2 tiết)",'PL10'!$S$11)),1,0)+IF(ISNUMBER(SEARCH(MAP_TNHN!D19&amp;" (2 tiết)",'PL10'!$S$12)),1,0)+IF(ISNUMBER(SEARCH(MAP_TNHN!D19&amp;" (2 tiết)",'PL10'!$S$13)),1,0)+IF(ISNUMBER(SEARCH(MAP_TNHN!D19&amp;" (2 tiết)",'PL10'!$S$14)),1,0)+IF(ISNUMBER(SEARCH(MAP_TNHN!D19&amp;" (2 tiết)",'PL10'!$S$15)),1,0)+IF(ISNUMBER(SEARCH(MAP_TNHN!D19&amp;" (2 tiết)",'PL10'!$S$16)),1,0)+IF(ISNUMBER(SEARCH(MAP_TNHN!D19&amp;" (2 tiết)",'PL10'!$S$17)),1,0)+IF(ISNUMBER(SEARCH(MAP_TNHN!D19&amp;" (2 tiết)",'PL10'!$S$18)),1,0)+IF(ISNUMBER(SEARCH(MAP_TNHN!D19&amp;" (2 tiết)",'PL10'!$S$19)),1,0)+IF(ISNUMBER(SEARCH(MAP_TNHN!D19&amp;" (2 tiết)",'PL10'!$S$20)),1,0)+IF(ISNUMBER(SEARCH(MAP_TNHN!D19&amp;" (2 tiết)",'PL10'!$S$21)),1,0)+IF(ISNUMBER(SEARCH(MAP_TNHN!D19&amp;" (2 tiết)",'PL10'!$S$22)),1,0)+IF(ISNUMBER(SEARCH(MAP_TNHN!D19&amp;" (2 tiết)",'PL10'!$S$23)),1,0)+IF(ISNUMBER(SEARCH(MAP_TNHN!D19&amp;" (2 tiết)",'PL10'!$S$24)),1,0)+IF(ISNUMBER(SEARCH(MAP_TNHN!D19&amp;" (2 tiết)",'PL10'!$S$25)),1,0))))</f>
        <v>0</v>
      </c>
    </row>
    <row r="20" spans="1:51" x14ac:dyDescent="0.35">
      <c r="A20" s="311"/>
      <c r="B20" s="11">
        <v>4</v>
      </c>
      <c r="C20" s="12" t="s">
        <v>71</v>
      </c>
      <c r="D20" s="21"/>
      <c r="E20" s="45"/>
      <c r="F20" s="45"/>
      <c r="G20" s="45"/>
      <c r="H20" s="45"/>
      <c r="I20" s="161"/>
      <c r="J20" s="45"/>
      <c r="K20" s="46">
        <v>4</v>
      </c>
      <c r="L20" s="46"/>
      <c r="M20" s="46">
        <v>4</v>
      </c>
      <c r="N20" s="164"/>
      <c r="O20" s="46"/>
      <c r="P20" s="47">
        <v>3</v>
      </c>
      <c r="Q20" s="47"/>
      <c r="R20" s="47">
        <v>3</v>
      </c>
      <c r="S20" s="165"/>
      <c r="T20" s="47">
        <v>1</v>
      </c>
      <c r="U20" s="11">
        <f>E20*('Phân tiết'!$M$18/4)+G20*('Phân tiết'!$M$21/3)+H20*'Phân tiết'!$L$26+AW20+J20*'Phân tiết'!$M$20+K20*('Phân tiết'!$I$18/4)+M20*('Phân tiết'!$I$21/3)+AX20+O20*'Phân tiết'!$I$20+P20*('Phân tiết'!$E$18/4)+R20*('Phân tiết'!$E$21/3)+AY20+T20*'Phân tiết'!$E$20</f>
        <v>22</v>
      </c>
      <c r="V20" s="8">
        <f>F20*4+L20*4+Q20*4</f>
        <v>0</v>
      </c>
      <c r="W20" s="6"/>
      <c r="X20" s="6"/>
      <c r="Y20" s="11"/>
      <c r="Z20" s="43">
        <f>SUM(U20:Y20)</f>
        <v>22</v>
      </c>
      <c r="AA20" s="34">
        <f>Z20-17</f>
        <v>5</v>
      </c>
      <c r="AB20" s="8"/>
      <c r="AC20" s="8"/>
      <c r="AD20" s="6">
        <f t="shared" si="3"/>
        <v>0</v>
      </c>
      <c r="AE20" s="8"/>
      <c r="AF20" s="8"/>
      <c r="AG20" s="6">
        <f t="shared" si="5"/>
        <v>0</v>
      </c>
      <c r="AH20" s="8"/>
      <c r="AI20" s="8"/>
      <c r="AJ20" s="6">
        <f>AH20*AI20</f>
        <v>0</v>
      </c>
      <c r="AK20" s="6">
        <f t="shared" si="6"/>
        <v>165</v>
      </c>
      <c r="AL20" s="8"/>
      <c r="AM20" s="11"/>
      <c r="AN20" s="11"/>
      <c r="AO20" s="11"/>
      <c r="AP20" s="11"/>
      <c r="AQ20" s="11"/>
      <c r="AR20" s="11"/>
      <c r="AS20" s="11"/>
      <c r="AT20" s="11" t="s">
        <v>46</v>
      </c>
      <c r="AU20" s="11"/>
      <c r="AV20" s="8"/>
      <c r="AW20">
        <f>IF(I20="",0,IF(MAP_TNHN!B20="",I20*3,I20*3-2*(IF(ISNUMBER(SEARCH(MAP_TNHN!B20&amp;" (1 tiết)",'PL12'!$S$5)),1,0)+IF(ISNUMBER(SEARCH(MAP_TNHN!B20&amp;" (1 tiết)",'PL12'!$S$6)),1,0)+IF(ISNUMBER(SEARCH(MAP_TNHN!B20&amp;" (1 tiết)",'PL12'!$S$7)),1,0)+IF(ISNUMBER(SEARCH(MAP_TNHN!B20&amp;" (1 tiết)",'PL12'!$S$8)),1,0)+IF(ISNUMBER(SEARCH(MAP_TNHN!B20&amp;" (1 tiết)",'PL12'!$S$9)),1,0)+IF(ISNUMBER(SEARCH(MAP_TNHN!B20&amp;" (1 tiết)",'PL12'!$S$10)),1,0)+IF(ISNUMBER(SEARCH(MAP_TNHN!B20&amp;" (1 tiết)",'PL12'!$S$11)),1,0)+IF(ISNUMBER(SEARCH(MAP_TNHN!B20&amp;" (1 tiết)",'PL12'!$S$12)),1,0)+IF(ISNUMBER(SEARCH(MAP_TNHN!B20&amp;" (1 tiết)",'PL12'!$S$13)),1,0)+IF(ISNUMBER(SEARCH(MAP_TNHN!B20&amp;" (1 tiết)",'PL12'!$S$14)),1,0)+IF(ISNUMBER(SEARCH(MAP_TNHN!B20&amp;" (1 tiết)",'PL12'!$S$15)),1,0)+IF(ISNUMBER(SEARCH(MAP_TNHN!B20&amp;" (1 tiết)",'PL12'!$S$16)),1,0)+IF(ISNUMBER(SEARCH(MAP_TNHN!B20&amp;" (1 tiết)",'PL12'!$S$17)),1,0)+IF(ISNUMBER(SEARCH(MAP_TNHN!B20&amp;" (1 tiết)",'PL12'!$S$18)),1,0)+IF(ISNUMBER(SEARCH(MAP_TNHN!B20&amp;" (1 tiết)",'PL12'!$S$19)),1,0))-(IF(ISNUMBER(SEARCH(MAP_TNHN!B20&amp;" (2 tiết)",'PL12'!$S$5)),1,0)+IF(ISNUMBER(SEARCH(MAP_TNHN!B20&amp;" (2 tiết)",'PL12'!$S$6)),1,0)+IF(ISNUMBER(SEARCH(MAP_TNHN!B20&amp;" (2 tiết)",'PL12'!$S$7)),1,0)+IF(ISNUMBER(SEARCH(MAP_TNHN!B20&amp;" (2 tiết)",'PL12'!$S$8)),1,0)+IF(ISNUMBER(SEARCH(MAP_TNHN!B20&amp;" (2 tiết)",'PL12'!$S$9)),1,0)+IF(ISNUMBER(SEARCH(MAP_TNHN!B20&amp;" (2 tiết)",'PL12'!$S$10)),1,0)+IF(ISNUMBER(SEARCH(MAP_TNHN!B20&amp;" (2 tiết)",'PL12'!$S$11)),1,0)+IF(ISNUMBER(SEARCH(MAP_TNHN!B20&amp;" (2 tiết)",'PL12'!$S$12)),1,0)+IF(ISNUMBER(SEARCH(MAP_TNHN!B20&amp;" (2 tiết)",'PL12'!$S$13)),1,0)+IF(ISNUMBER(SEARCH(MAP_TNHN!B20&amp;" (2 tiết)",'PL12'!$S$14)),1,0)+IF(ISNUMBER(SEARCH(MAP_TNHN!B20&amp;" (2 tiết)",'PL12'!$S$15)),1,0)+IF(ISNUMBER(SEARCH(MAP_TNHN!B20&amp;" (2 tiết)",'PL12'!$S$16)),1,0)+IF(ISNUMBER(SEARCH(MAP_TNHN!B20&amp;" (2 tiết)",'PL12'!$S$17)),1,0)+IF(ISNUMBER(SEARCH(MAP_TNHN!B20&amp;" (2 tiết)",'PL12'!$S$18)),1,0)+IF(ISNUMBER(SEARCH(MAP_TNHN!B20&amp;" (2 tiết)",'PL12'!$S$19)),1,0))))</f>
        <v>0</v>
      </c>
      <c r="AX20">
        <f>IF(N20="",0,IF(MAP_TNHN!C20="",N20*3,N20*3-2*(IF(ISNUMBER(SEARCH(MAP_TNHN!C20&amp;" (1 tiết)",'PL11'!$S$5)),1,0)+IF(ISNUMBER(SEARCH(MAP_TNHN!C20&amp;" (1 tiết)",'PL11'!$S$6)),1,0)+IF(ISNUMBER(SEARCH(MAP_TNHN!C20&amp;" (1 tiết)",'PL11'!$S$7)),1,0)+IF(ISNUMBER(SEARCH(MAP_TNHN!C20&amp;" (1 tiết)",'PL11'!$S$8)),1,0)+IF(ISNUMBER(SEARCH(MAP_TNHN!C20&amp;" (1 tiết)",'PL11'!$S$9)),1,0)+IF(ISNUMBER(SEARCH(MAP_TNHN!C20&amp;" (1 tiết)",'PL11'!$S$10)),1,0)+IF(ISNUMBER(SEARCH(MAP_TNHN!C20&amp;" (1 tiết)",'PL11'!$S$11)),1,0)+IF(ISNUMBER(SEARCH(MAP_TNHN!C20&amp;" (1 tiết)",'PL11'!$S$12)),1,0)+IF(ISNUMBER(SEARCH(MAP_TNHN!C20&amp;" (1 tiết)",'PL11'!$S$13)),1,0)+IF(ISNUMBER(SEARCH(MAP_TNHN!C20&amp;" (1 tiết)",'PL11'!$S$14)),1,0)+IF(ISNUMBER(SEARCH(MAP_TNHN!C20&amp;" (1 tiết)",'PL11'!$S$15)),1,0)+IF(ISNUMBER(SEARCH(MAP_TNHN!C20&amp;" (1 tiết)",'PL11'!$S$16)),1,0)+IF(ISNUMBER(SEARCH(MAP_TNHN!C20&amp;" (1 tiết)",'PL11'!$S$17)),1,0)+IF(ISNUMBER(SEARCH(MAP_TNHN!C20&amp;" (1 tiết)",'PL11'!$S$18)),1,0))-(IF(ISNUMBER(SEARCH(MAP_TNHN!C20&amp;" (2 tiết)",'PL11'!$S$5)),1,0)+IF(ISNUMBER(SEARCH(MAP_TNHN!C20&amp;" (2 tiết)",'PL11'!$S$6)),1,0)+IF(ISNUMBER(SEARCH(MAP_TNHN!C20&amp;" (2 tiết)",'PL11'!$S$7)),1,0)+IF(ISNUMBER(SEARCH(MAP_TNHN!C20&amp;" (2 tiết)",'PL11'!$S$8)),1,0)+IF(ISNUMBER(SEARCH(MAP_TNHN!C20&amp;" (2 tiết)",'PL11'!$S$9)),1,0)+IF(ISNUMBER(SEARCH(MAP_TNHN!C20&amp;" (2 tiết)",'PL11'!$S$10)),1,0)+IF(ISNUMBER(SEARCH(MAP_TNHN!C20&amp;" (2 tiết)",'PL11'!$S$11)),1,0)+IF(ISNUMBER(SEARCH(MAP_TNHN!C20&amp;" (2 tiết)",'PL11'!$S$12)),1,0)+IF(ISNUMBER(SEARCH(MAP_TNHN!C20&amp;" (2 tiết)",'PL11'!$S$13)),1,0)+IF(ISNUMBER(SEARCH(MAP_TNHN!C20&amp;" (2 tiết)",'PL11'!$S$14)),1,0)+IF(ISNUMBER(SEARCH(MAP_TNHN!C20&amp;" (2 tiết)",'PL11'!$S$15)),1,0)+IF(ISNUMBER(SEARCH(MAP_TNHN!C20&amp;" (2 tiết)",'PL11'!$S$16)),1,0)+IF(ISNUMBER(SEARCH(MAP_TNHN!C20&amp;" (2 tiết)",'PL11'!$S$17)),1,0)+IF(ISNUMBER(SEARCH(MAP_TNHN!C20&amp;" (2 tiết)",'PL11'!$S$18)),1,0))))</f>
        <v>0</v>
      </c>
      <c r="AY20">
        <f>IF(S20="",0,IF(MAP_TNHN!D20="",S20*3,S20*3-2*(IF(ISNUMBER(SEARCH(MAP_TNHN!D20&amp;" (1 tiết)",'PL10'!$S$5)),1,0)+IF(ISNUMBER(SEARCH(MAP_TNHN!D20&amp;" (1 tiết)",'PL10'!$S$6)),1,0)+IF(ISNUMBER(SEARCH(MAP_TNHN!D20&amp;" (1 tiết)",'PL10'!$S$7)),1,0)+IF(ISNUMBER(SEARCH(MAP_TNHN!D20&amp;" (1 tiết)",'PL10'!$S$8)),1,0)+IF(ISNUMBER(SEARCH(MAP_TNHN!D20&amp;" (1 tiết)",'PL10'!$S$9)),1,0)+IF(ISNUMBER(SEARCH(MAP_TNHN!D20&amp;" (1 tiết)",'PL10'!$S$10)),1,0)+IF(ISNUMBER(SEARCH(MAP_TNHN!D20&amp;" (1 tiết)",'PL10'!$S$11)),1,0)+IF(ISNUMBER(SEARCH(MAP_TNHN!D20&amp;" (1 tiết)",'PL10'!$S$12)),1,0)+IF(ISNUMBER(SEARCH(MAP_TNHN!D20&amp;" (1 tiết)",'PL10'!$S$13)),1,0)+IF(ISNUMBER(SEARCH(MAP_TNHN!D20&amp;" (1 tiết)",'PL10'!$S$14)),1,0)+IF(ISNUMBER(SEARCH(MAP_TNHN!D20&amp;" (1 tiết)",'PL10'!$S$15)),1,0)+IF(ISNUMBER(SEARCH(MAP_TNHN!D20&amp;" (1 tiết)",'PL10'!$S$16)),1,0)+IF(ISNUMBER(SEARCH(MAP_TNHN!D20&amp;" (1 tiết)",'PL10'!$S$17)),1,0)+IF(ISNUMBER(SEARCH(MAP_TNHN!D20&amp;" (1 tiết)",'PL10'!$S$18)),1,0)+IF(ISNUMBER(SEARCH(MAP_TNHN!D20&amp;" (1 tiết)",'PL10'!$S$19)),1,0)+IF(ISNUMBER(SEARCH(MAP_TNHN!D20&amp;" (1 tiết)",'PL10'!$S$20)),1,0)+IF(ISNUMBER(SEARCH(MAP_TNHN!D20&amp;" (1 tiết)",'PL10'!$S$21)),1,0)+IF(ISNUMBER(SEARCH(MAP_TNHN!D20&amp;" (1 tiết)",'PL10'!$S$22)),1,0)+IF(ISNUMBER(SEARCH(MAP_TNHN!D20&amp;" (1 tiết)",'PL10'!$S$23)),1,0)+IF(ISNUMBER(SEARCH(MAP_TNHN!D20&amp;" (1 tiết)",'PL10'!$S$24)),1,0)+IF(ISNUMBER(SEARCH(MAP_TNHN!D20&amp;" (1 tiết)",'PL10'!$S$25)),1,0))-(IF(ISNUMBER(SEARCH(MAP_TNHN!D20&amp;" (2 tiết)",'PL10'!$S$5)),1,0)+IF(ISNUMBER(SEARCH(MAP_TNHN!D20&amp;" (2 tiết)",'PL10'!$S$6)),1,0)+IF(ISNUMBER(SEARCH(MAP_TNHN!D20&amp;" (2 tiết)",'PL10'!$S$7)),1,0)+IF(ISNUMBER(SEARCH(MAP_TNHN!D20&amp;" (2 tiết)",'PL10'!$S$8)),1,0)+IF(ISNUMBER(SEARCH(MAP_TNHN!D20&amp;" (2 tiết)",'PL10'!$S$9)),1,0)+IF(ISNUMBER(SEARCH(MAP_TNHN!D20&amp;" (2 tiết)",'PL10'!$S$10)),1,0)+IF(ISNUMBER(SEARCH(MAP_TNHN!D20&amp;" (2 tiết)",'PL10'!$S$11)),1,0)+IF(ISNUMBER(SEARCH(MAP_TNHN!D20&amp;" (2 tiết)",'PL10'!$S$12)),1,0)+IF(ISNUMBER(SEARCH(MAP_TNHN!D20&amp;" (2 tiết)",'PL10'!$S$13)),1,0)+IF(ISNUMBER(SEARCH(MAP_TNHN!D20&amp;" (2 tiết)",'PL10'!$S$14)),1,0)+IF(ISNUMBER(SEARCH(MAP_TNHN!D20&amp;" (2 tiết)",'PL10'!$S$15)),1,0)+IF(ISNUMBER(SEARCH(MAP_TNHN!D20&amp;" (2 tiết)",'PL10'!$S$16)),1,0)+IF(ISNUMBER(SEARCH(MAP_TNHN!D20&amp;" (2 tiết)",'PL10'!$S$17)),1,0)+IF(ISNUMBER(SEARCH(MAP_TNHN!D20&amp;" (2 tiết)",'PL10'!$S$18)),1,0)+IF(ISNUMBER(SEARCH(MAP_TNHN!D20&amp;" (2 tiết)",'PL10'!$S$19)),1,0)+IF(ISNUMBER(SEARCH(MAP_TNHN!D20&amp;" (2 tiết)",'PL10'!$S$20)),1,0)+IF(ISNUMBER(SEARCH(MAP_TNHN!D20&amp;" (2 tiết)",'PL10'!$S$21)),1,0)+IF(ISNUMBER(SEARCH(MAP_TNHN!D20&amp;" (2 tiết)",'PL10'!$S$22)),1,0)+IF(ISNUMBER(SEARCH(MAP_TNHN!D20&amp;" (2 tiết)",'PL10'!$S$23)),1,0)+IF(ISNUMBER(SEARCH(MAP_TNHN!D20&amp;" (2 tiết)",'PL10'!$S$24)),1,0)+IF(ISNUMBER(SEARCH(MAP_TNHN!D20&amp;" (2 tiết)",'PL10'!$S$25)),1,0))))</f>
        <v>0</v>
      </c>
    </row>
    <row r="21" spans="1:51" s="89" customFormat="1" x14ac:dyDescent="0.35">
      <c r="A21" s="88"/>
      <c r="B21" s="85"/>
      <c r="C21" s="86" t="s">
        <v>65</v>
      </c>
      <c r="D21" s="85"/>
      <c r="E21" s="85">
        <f>SUM(E17:E20)</f>
        <v>9</v>
      </c>
      <c r="F21" s="85"/>
      <c r="G21" s="85">
        <f>SUM(G17:G20)</f>
        <v>5</v>
      </c>
      <c r="H21" s="85">
        <f>SUM(H17:H20)</f>
        <v>3</v>
      </c>
      <c r="I21" s="160"/>
      <c r="J21" s="85"/>
      <c r="K21" s="85">
        <f>SUM(K17:K20)</f>
        <v>7</v>
      </c>
      <c r="L21" s="85"/>
      <c r="M21" s="85">
        <f>SUM(M17:M20)</f>
        <v>7</v>
      </c>
      <c r="N21" s="160"/>
      <c r="O21" s="85"/>
      <c r="P21" s="85">
        <f>SUM(P17:P20)</f>
        <v>10</v>
      </c>
      <c r="Q21" s="85"/>
      <c r="R21" s="85">
        <f>SUM(R17:R20)</f>
        <v>10</v>
      </c>
      <c r="S21" s="160"/>
      <c r="T21" s="85"/>
      <c r="U21" s="87"/>
      <c r="V21" s="85"/>
      <c r="W21" s="85"/>
      <c r="X21" s="85"/>
      <c r="Y21" s="85"/>
      <c r="Z21" s="88"/>
      <c r="AA21" s="88"/>
      <c r="AB21" s="85"/>
      <c r="AC21" s="85"/>
      <c r="AD21" s="85">
        <f t="shared" si="3"/>
        <v>0</v>
      </c>
      <c r="AE21" s="85"/>
      <c r="AF21" s="85"/>
      <c r="AG21" s="85">
        <f t="shared" si="5"/>
        <v>0</v>
      </c>
      <c r="AH21" s="85"/>
      <c r="AI21" s="85"/>
      <c r="AJ21" s="85"/>
      <c r="AK21" s="85">
        <f t="shared" si="6"/>
        <v>0</v>
      </c>
      <c r="AL21" s="85"/>
      <c r="AM21" s="88"/>
      <c r="AN21" s="85"/>
      <c r="AO21" s="85"/>
      <c r="AP21" s="85"/>
      <c r="AQ21" s="85"/>
      <c r="AR21" s="85"/>
      <c r="AS21" s="85"/>
      <c r="AT21" s="85"/>
      <c r="AU21" s="85"/>
      <c r="AV21" s="85"/>
      <c r="AW21"/>
      <c r="AX21"/>
      <c r="AY21"/>
    </row>
    <row r="22" spans="1:51" x14ac:dyDescent="0.35">
      <c r="A22" s="313" t="s">
        <v>72</v>
      </c>
      <c r="B22" s="11">
        <v>1</v>
      </c>
      <c r="C22" s="12" t="s">
        <v>73</v>
      </c>
      <c r="D22" s="21"/>
      <c r="E22" s="45">
        <v>5</v>
      </c>
      <c r="F22" s="45"/>
      <c r="G22" s="45">
        <v>1</v>
      </c>
      <c r="H22" s="45">
        <v>1</v>
      </c>
      <c r="I22" s="161"/>
      <c r="J22" s="45"/>
      <c r="K22" s="46">
        <v>3</v>
      </c>
      <c r="L22" s="46"/>
      <c r="M22" s="46"/>
      <c r="N22" s="164"/>
      <c r="O22" s="46"/>
      <c r="P22" s="47"/>
      <c r="Q22" s="47"/>
      <c r="R22" s="47"/>
      <c r="S22" s="165"/>
      <c r="T22" s="47"/>
      <c r="U22" s="11">
        <f>E22*('Phân tiết'!$M$18/4)+G22*('Phân tiết'!$M$21/3)+H22*'Phân tiết'!$L$26+AW22+J22*'Phân tiết'!$M$20+K22*('Phân tiết'!$I$18/4)+M22*('Phân tiết'!$I$21/3)+AX22+O22*'Phân tiết'!$I$20+P22*('Phân tiết'!$E$18/4)+R22*('Phân tiết'!$E$21/3)+AY22+T22*'Phân tiết'!$E$20</f>
        <v>19</v>
      </c>
      <c r="V22" s="8">
        <f>F22*4+L22*4+Q22*4</f>
        <v>0</v>
      </c>
      <c r="W22" s="6" t="s">
        <v>45</v>
      </c>
      <c r="X22" s="6"/>
      <c r="Y22" s="11">
        <v>3</v>
      </c>
      <c r="Z22" s="43">
        <f>SUM(U22:Y22)</f>
        <v>22</v>
      </c>
      <c r="AA22" s="34">
        <f>Z22-17</f>
        <v>5</v>
      </c>
      <c r="AB22" s="8">
        <v>2</v>
      </c>
      <c r="AC22" s="8">
        <v>20</v>
      </c>
      <c r="AD22" s="6">
        <f t="shared" si="3"/>
        <v>60</v>
      </c>
      <c r="AE22" s="8"/>
      <c r="AF22" s="8"/>
      <c r="AG22" s="6">
        <f t="shared" si="5"/>
        <v>0</v>
      </c>
      <c r="AH22" s="8"/>
      <c r="AI22" s="8"/>
      <c r="AJ22" s="6">
        <f>AH22*AI22</f>
        <v>0</v>
      </c>
      <c r="AK22" s="6">
        <f t="shared" si="6"/>
        <v>225</v>
      </c>
      <c r="AL22" s="11" t="s">
        <v>64</v>
      </c>
      <c r="AM22" s="11"/>
      <c r="AN22" s="11"/>
      <c r="AO22" s="11">
        <v>12</v>
      </c>
      <c r="AP22" s="11">
        <v>12</v>
      </c>
      <c r="AQ22" s="11" t="s">
        <v>74</v>
      </c>
      <c r="AR22" s="11" t="s">
        <v>74</v>
      </c>
      <c r="AS22" s="11"/>
      <c r="AT22" s="11" t="s">
        <v>74</v>
      </c>
      <c r="AU22" s="11" t="s">
        <v>75</v>
      </c>
      <c r="AV22" s="8"/>
      <c r="AW22">
        <f>IF(I22="",0,IF(MAP_TNHN!B23="",I22*3,I22*3-2*(IF(ISNUMBER(SEARCH(MAP_TNHN!B23&amp;" (1 tiết)",'PL12'!$S$5)),1,0)+IF(ISNUMBER(SEARCH(MAP_TNHN!B23&amp;" (1 tiết)",'PL12'!$S$6)),1,0)+IF(ISNUMBER(SEARCH(MAP_TNHN!B23&amp;" (1 tiết)",'PL12'!$S$7)),1,0)+IF(ISNUMBER(SEARCH(MAP_TNHN!B23&amp;" (1 tiết)",'PL12'!$S$8)),1,0)+IF(ISNUMBER(SEARCH(MAP_TNHN!B23&amp;" (1 tiết)",'PL12'!$S$9)),1,0)+IF(ISNUMBER(SEARCH(MAP_TNHN!B23&amp;" (1 tiết)",'PL12'!$S$10)),1,0)+IF(ISNUMBER(SEARCH(MAP_TNHN!B23&amp;" (1 tiết)",'PL12'!$S$11)),1,0)+IF(ISNUMBER(SEARCH(MAP_TNHN!B23&amp;" (1 tiết)",'PL12'!$S$12)),1,0)+IF(ISNUMBER(SEARCH(MAP_TNHN!B23&amp;" (1 tiết)",'PL12'!$S$13)),1,0)+IF(ISNUMBER(SEARCH(MAP_TNHN!B23&amp;" (1 tiết)",'PL12'!$S$14)),1,0)+IF(ISNUMBER(SEARCH(MAP_TNHN!B23&amp;" (1 tiết)",'PL12'!$S$15)),1,0)+IF(ISNUMBER(SEARCH(MAP_TNHN!B23&amp;" (1 tiết)",'PL12'!$S$16)),1,0)+IF(ISNUMBER(SEARCH(MAP_TNHN!B23&amp;" (1 tiết)",'PL12'!$S$17)),1,0)+IF(ISNUMBER(SEARCH(MAP_TNHN!B23&amp;" (1 tiết)",'PL12'!$S$18)),1,0)+IF(ISNUMBER(SEARCH(MAP_TNHN!B23&amp;" (1 tiết)",'PL12'!$S$19)),1,0))-(IF(ISNUMBER(SEARCH(MAP_TNHN!B23&amp;" (2 tiết)",'PL12'!$S$5)),1,0)+IF(ISNUMBER(SEARCH(MAP_TNHN!B23&amp;" (2 tiết)",'PL12'!$S$6)),1,0)+IF(ISNUMBER(SEARCH(MAP_TNHN!B23&amp;" (2 tiết)",'PL12'!$S$7)),1,0)+IF(ISNUMBER(SEARCH(MAP_TNHN!B23&amp;" (2 tiết)",'PL12'!$S$8)),1,0)+IF(ISNUMBER(SEARCH(MAP_TNHN!B23&amp;" (2 tiết)",'PL12'!$S$9)),1,0)+IF(ISNUMBER(SEARCH(MAP_TNHN!B23&amp;" (2 tiết)",'PL12'!$S$10)),1,0)+IF(ISNUMBER(SEARCH(MAP_TNHN!B23&amp;" (2 tiết)",'PL12'!$S$11)),1,0)+IF(ISNUMBER(SEARCH(MAP_TNHN!B23&amp;" (2 tiết)",'PL12'!$S$12)),1,0)+IF(ISNUMBER(SEARCH(MAP_TNHN!B23&amp;" (2 tiết)",'PL12'!$S$13)),1,0)+IF(ISNUMBER(SEARCH(MAP_TNHN!B23&amp;" (2 tiết)",'PL12'!$S$14)),1,0)+IF(ISNUMBER(SEARCH(MAP_TNHN!B23&amp;" (2 tiết)",'PL12'!$S$15)),1,0)+IF(ISNUMBER(SEARCH(MAP_TNHN!B23&amp;" (2 tiết)",'PL12'!$S$16)),1,0)+IF(ISNUMBER(SEARCH(MAP_TNHN!B23&amp;" (2 tiết)",'PL12'!$S$17)),1,0)+IF(ISNUMBER(SEARCH(MAP_TNHN!B23&amp;" (2 tiết)",'PL12'!$S$18)),1,0)+IF(ISNUMBER(SEARCH(MAP_TNHN!B23&amp;" (2 tiết)",'PL12'!$S$19)),1,0))))</f>
        <v>0</v>
      </c>
      <c r="AX22">
        <f>IF(N22="",0,IF(MAP_TNHN!C23="",N22*3,N22*3-2*(IF(ISNUMBER(SEARCH(MAP_TNHN!C23&amp;" (1 tiết)",'PL11'!$S$5)),1,0)+IF(ISNUMBER(SEARCH(MAP_TNHN!C23&amp;" (1 tiết)",'PL11'!$S$6)),1,0)+IF(ISNUMBER(SEARCH(MAP_TNHN!C23&amp;" (1 tiết)",'PL11'!$S$7)),1,0)+IF(ISNUMBER(SEARCH(MAP_TNHN!C23&amp;" (1 tiết)",'PL11'!$S$8)),1,0)+IF(ISNUMBER(SEARCH(MAP_TNHN!C23&amp;" (1 tiết)",'PL11'!$S$9)),1,0)+IF(ISNUMBER(SEARCH(MAP_TNHN!C23&amp;" (1 tiết)",'PL11'!$S$10)),1,0)+IF(ISNUMBER(SEARCH(MAP_TNHN!C23&amp;" (1 tiết)",'PL11'!$S$11)),1,0)+IF(ISNUMBER(SEARCH(MAP_TNHN!C23&amp;" (1 tiết)",'PL11'!$S$12)),1,0)+IF(ISNUMBER(SEARCH(MAP_TNHN!C23&amp;" (1 tiết)",'PL11'!$S$13)),1,0)+IF(ISNUMBER(SEARCH(MAP_TNHN!C23&amp;" (1 tiết)",'PL11'!$S$14)),1,0)+IF(ISNUMBER(SEARCH(MAP_TNHN!C23&amp;" (1 tiết)",'PL11'!$S$15)),1,0)+IF(ISNUMBER(SEARCH(MAP_TNHN!C23&amp;" (1 tiết)",'PL11'!$S$16)),1,0)+IF(ISNUMBER(SEARCH(MAP_TNHN!C23&amp;" (1 tiết)",'PL11'!$S$17)),1,0)+IF(ISNUMBER(SEARCH(MAP_TNHN!C23&amp;" (1 tiết)",'PL11'!$S$18)),1,0))-(IF(ISNUMBER(SEARCH(MAP_TNHN!C23&amp;" (2 tiết)",'PL11'!$S$5)),1,0)+IF(ISNUMBER(SEARCH(MAP_TNHN!C23&amp;" (2 tiết)",'PL11'!$S$6)),1,0)+IF(ISNUMBER(SEARCH(MAP_TNHN!C23&amp;" (2 tiết)",'PL11'!$S$7)),1,0)+IF(ISNUMBER(SEARCH(MAP_TNHN!C23&amp;" (2 tiết)",'PL11'!$S$8)),1,0)+IF(ISNUMBER(SEARCH(MAP_TNHN!C23&amp;" (2 tiết)",'PL11'!$S$9)),1,0)+IF(ISNUMBER(SEARCH(MAP_TNHN!C23&amp;" (2 tiết)",'PL11'!$S$10)),1,0)+IF(ISNUMBER(SEARCH(MAP_TNHN!C23&amp;" (2 tiết)",'PL11'!$S$11)),1,0)+IF(ISNUMBER(SEARCH(MAP_TNHN!C23&amp;" (2 tiết)",'PL11'!$S$12)),1,0)+IF(ISNUMBER(SEARCH(MAP_TNHN!C23&amp;" (2 tiết)",'PL11'!$S$13)),1,0)+IF(ISNUMBER(SEARCH(MAP_TNHN!C23&amp;" (2 tiết)",'PL11'!$S$14)),1,0)+IF(ISNUMBER(SEARCH(MAP_TNHN!C23&amp;" (2 tiết)",'PL11'!$S$15)),1,0)+IF(ISNUMBER(SEARCH(MAP_TNHN!C23&amp;" (2 tiết)",'PL11'!$S$16)),1,0)+IF(ISNUMBER(SEARCH(MAP_TNHN!C23&amp;" (2 tiết)",'PL11'!$S$17)),1,0)+IF(ISNUMBER(SEARCH(MAP_TNHN!C23&amp;" (2 tiết)",'PL11'!$S$18)),1,0))))</f>
        <v>0</v>
      </c>
      <c r="AY22">
        <f>IF(S22="",0,IF(MAP_TNHN!D23="",S22*3,S22*3-2*(IF(ISNUMBER(SEARCH(MAP_TNHN!D23&amp;" (1 tiết)",'PL10'!$S$5)),1,0)+IF(ISNUMBER(SEARCH(MAP_TNHN!D23&amp;" (1 tiết)",'PL10'!$S$6)),1,0)+IF(ISNUMBER(SEARCH(MAP_TNHN!D23&amp;" (1 tiết)",'PL10'!$S$7)),1,0)+IF(ISNUMBER(SEARCH(MAP_TNHN!D23&amp;" (1 tiết)",'PL10'!$S$8)),1,0)+IF(ISNUMBER(SEARCH(MAP_TNHN!D23&amp;" (1 tiết)",'PL10'!$S$9)),1,0)+IF(ISNUMBER(SEARCH(MAP_TNHN!D23&amp;" (1 tiết)",'PL10'!$S$10)),1,0)+IF(ISNUMBER(SEARCH(MAP_TNHN!D23&amp;" (1 tiết)",'PL10'!$S$11)),1,0)+IF(ISNUMBER(SEARCH(MAP_TNHN!D23&amp;" (1 tiết)",'PL10'!$S$12)),1,0)+IF(ISNUMBER(SEARCH(MAP_TNHN!D23&amp;" (1 tiết)",'PL10'!$S$13)),1,0)+IF(ISNUMBER(SEARCH(MAP_TNHN!D23&amp;" (1 tiết)",'PL10'!$S$14)),1,0)+IF(ISNUMBER(SEARCH(MAP_TNHN!D23&amp;" (1 tiết)",'PL10'!$S$15)),1,0)+IF(ISNUMBER(SEARCH(MAP_TNHN!D23&amp;" (1 tiết)",'PL10'!$S$16)),1,0)+IF(ISNUMBER(SEARCH(MAP_TNHN!D23&amp;" (1 tiết)",'PL10'!$S$17)),1,0)+IF(ISNUMBER(SEARCH(MAP_TNHN!D23&amp;" (1 tiết)",'PL10'!$S$18)),1,0)+IF(ISNUMBER(SEARCH(MAP_TNHN!D23&amp;" (1 tiết)",'PL10'!$S$19)),1,0)+IF(ISNUMBER(SEARCH(MAP_TNHN!D23&amp;" (1 tiết)",'PL10'!$S$20)),1,0)+IF(ISNUMBER(SEARCH(MAP_TNHN!D23&amp;" (1 tiết)",'PL10'!$S$21)),1,0)+IF(ISNUMBER(SEARCH(MAP_TNHN!D23&amp;" (1 tiết)",'PL10'!$S$22)),1,0)+IF(ISNUMBER(SEARCH(MAP_TNHN!D23&amp;" (1 tiết)",'PL10'!$S$23)),1,0)+IF(ISNUMBER(SEARCH(MAP_TNHN!D23&amp;" (1 tiết)",'PL10'!$S$24)),1,0)+IF(ISNUMBER(SEARCH(MAP_TNHN!D23&amp;" (1 tiết)",'PL10'!$S$25)),1,0))-(IF(ISNUMBER(SEARCH(MAP_TNHN!D23&amp;" (2 tiết)",'PL10'!$S$5)),1,0)+IF(ISNUMBER(SEARCH(MAP_TNHN!D23&amp;" (2 tiết)",'PL10'!$S$6)),1,0)+IF(ISNUMBER(SEARCH(MAP_TNHN!D23&amp;" (2 tiết)",'PL10'!$S$7)),1,0)+IF(ISNUMBER(SEARCH(MAP_TNHN!D23&amp;" (2 tiết)",'PL10'!$S$8)),1,0)+IF(ISNUMBER(SEARCH(MAP_TNHN!D23&amp;" (2 tiết)",'PL10'!$S$9)),1,0)+IF(ISNUMBER(SEARCH(MAP_TNHN!D23&amp;" (2 tiết)",'PL10'!$S$10)),1,0)+IF(ISNUMBER(SEARCH(MAP_TNHN!D23&amp;" (2 tiết)",'PL10'!$S$11)),1,0)+IF(ISNUMBER(SEARCH(MAP_TNHN!D23&amp;" (2 tiết)",'PL10'!$S$12)),1,0)+IF(ISNUMBER(SEARCH(MAP_TNHN!D23&amp;" (2 tiết)",'PL10'!$S$13)),1,0)+IF(ISNUMBER(SEARCH(MAP_TNHN!D23&amp;" (2 tiết)",'PL10'!$S$14)),1,0)+IF(ISNUMBER(SEARCH(MAP_TNHN!D23&amp;" (2 tiết)",'PL10'!$S$15)),1,0)+IF(ISNUMBER(SEARCH(MAP_TNHN!D23&amp;" (2 tiết)",'PL10'!$S$16)),1,0)+IF(ISNUMBER(SEARCH(MAP_TNHN!D23&amp;" (2 tiết)",'PL10'!$S$17)),1,0)+IF(ISNUMBER(SEARCH(MAP_TNHN!D23&amp;" (2 tiết)",'PL10'!$S$18)),1,0)+IF(ISNUMBER(SEARCH(MAP_TNHN!D23&amp;" (2 tiết)",'PL10'!$S$19)),1,0)+IF(ISNUMBER(SEARCH(MAP_TNHN!D23&amp;" (2 tiết)",'PL10'!$S$20)),1,0)+IF(ISNUMBER(SEARCH(MAP_TNHN!D23&amp;" (2 tiết)",'PL10'!$S$21)),1,0)+IF(ISNUMBER(SEARCH(MAP_TNHN!D23&amp;" (2 tiết)",'PL10'!$S$22)),1,0)+IF(ISNUMBER(SEARCH(MAP_TNHN!D23&amp;" (2 tiết)",'PL10'!$S$23)),1,0)+IF(ISNUMBER(SEARCH(MAP_TNHN!D23&amp;" (2 tiết)",'PL10'!$S$24)),1,0)+IF(ISNUMBER(SEARCH(MAP_TNHN!D23&amp;" (2 tiết)",'PL10'!$S$25)),1,0))))</f>
        <v>0</v>
      </c>
    </row>
    <row r="23" spans="1:51" x14ac:dyDescent="0.35">
      <c r="A23" s="313"/>
      <c r="B23" s="11">
        <v>2</v>
      </c>
      <c r="C23" s="12" t="s">
        <v>76</v>
      </c>
      <c r="D23" s="21"/>
      <c r="E23" s="45">
        <v>3</v>
      </c>
      <c r="F23" s="45"/>
      <c r="G23" s="45"/>
      <c r="H23" s="45">
        <v>1</v>
      </c>
      <c r="I23" s="161"/>
      <c r="J23" s="45"/>
      <c r="K23" s="46"/>
      <c r="L23" s="46"/>
      <c r="M23" s="46"/>
      <c r="N23" s="164"/>
      <c r="O23" s="46"/>
      <c r="P23" s="47">
        <v>7</v>
      </c>
      <c r="Q23" s="47"/>
      <c r="R23" s="47"/>
      <c r="S23" s="165"/>
      <c r="T23" s="47"/>
      <c r="U23" s="11">
        <f>E23*('Phân tiết'!$M$18/4)+G23*('Phân tiết'!$M$21/3)+H23*'Phân tiết'!$L$26+AW23+J23*'Phân tiết'!$M$20+K23*('Phân tiết'!$I$18/4)+M23*('Phân tiết'!$I$21/3)+AX23+O23*'Phân tiết'!$I$20+P23*('Phân tiết'!$E$18/4)+R23*('Phân tiết'!$E$21/3)+AY23+T23*'Phân tiết'!$E$20</f>
        <v>22</v>
      </c>
      <c r="V23" s="8">
        <f>F23*4+L23*4+Q23*4</f>
        <v>0</v>
      </c>
      <c r="W23" s="6"/>
      <c r="X23" s="6" t="s">
        <v>54</v>
      </c>
      <c r="Y23" s="11">
        <v>1</v>
      </c>
      <c r="Z23" s="43">
        <f>SUM(U23:Y23)</f>
        <v>23</v>
      </c>
      <c r="AA23" s="34">
        <f>Z23-17</f>
        <v>6</v>
      </c>
      <c r="AB23" s="8"/>
      <c r="AC23" s="8"/>
      <c r="AD23" s="6">
        <f t="shared" si="3"/>
        <v>0</v>
      </c>
      <c r="AE23" s="8"/>
      <c r="AF23" s="8"/>
      <c r="AG23" s="6">
        <f t="shared" si="5"/>
        <v>0</v>
      </c>
      <c r="AH23" s="8"/>
      <c r="AI23" s="8"/>
      <c r="AJ23" s="6">
        <f>AH23*AI23</f>
        <v>0</v>
      </c>
      <c r="AK23" s="6">
        <f t="shared" si="6"/>
        <v>198</v>
      </c>
      <c r="AL23" s="11"/>
      <c r="AM23" s="11"/>
      <c r="AN23" s="11"/>
      <c r="AO23" s="11"/>
      <c r="AP23" s="11"/>
      <c r="AQ23" s="12" t="s">
        <v>74</v>
      </c>
      <c r="AR23" s="11" t="s">
        <v>74</v>
      </c>
      <c r="AS23" s="11"/>
      <c r="AT23" s="11" t="s">
        <v>74</v>
      </c>
      <c r="AU23" s="11"/>
      <c r="AV23" s="8"/>
      <c r="AW23">
        <f>IF(I23="",0,IF(MAP_TNHN!B24="",I23*3,I23*3-2*(IF(ISNUMBER(SEARCH(MAP_TNHN!B24&amp;" (1 tiết)",'PL12'!$S$5)),1,0)+IF(ISNUMBER(SEARCH(MAP_TNHN!B24&amp;" (1 tiết)",'PL12'!$S$6)),1,0)+IF(ISNUMBER(SEARCH(MAP_TNHN!B24&amp;" (1 tiết)",'PL12'!$S$7)),1,0)+IF(ISNUMBER(SEARCH(MAP_TNHN!B24&amp;" (1 tiết)",'PL12'!$S$8)),1,0)+IF(ISNUMBER(SEARCH(MAP_TNHN!B24&amp;" (1 tiết)",'PL12'!$S$9)),1,0)+IF(ISNUMBER(SEARCH(MAP_TNHN!B24&amp;" (1 tiết)",'PL12'!$S$10)),1,0)+IF(ISNUMBER(SEARCH(MAP_TNHN!B24&amp;" (1 tiết)",'PL12'!$S$11)),1,0)+IF(ISNUMBER(SEARCH(MAP_TNHN!B24&amp;" (1 tiết)",'PL12'!$S$12)),1,0)+IF(ISNUMBER(SEARCH(MAP_TNHN!B24&amp;" (1 tiết)",'PL12'!$S$13)),1,0)+IF(ISNUMBER(SEARCH(MAP_TNHN!B24&amp;" (1 tiết)",'PL12'!$S$14)),1,0)+IF(ISNUMBER(SEARCH(MAP_TNHN!B24&amp;" (1 tiết)",'PL12'!$S$15)),1,0)+IF(ISNUMBER(SEARCH(MAP_TNHN!B24&amp;" (1 tiết)",'PL12'!$S$16)),1,0)+IF(ISNUMBER(SEARCH(MAP_TNHN!B24&amp;" (1 tiết)",'PL12'!$S$17)),1,0)+IF(ISNUMBER(SEARCH(MAP_TNHN!B24&amp;" (1 tiết)",'PL12'!$S$18)),1,0)+IF(ISNUMBER(SEARCH(MAP_TNHN!B24&amp;" (1 tiết)",'PL12'!$S$19)),1,0))-(IF(ISNUMBER(SEARCH(MAP_TNHN!B24&amp;" (2 tiết)",'PL12'!$S$5)),1,0)+IF(ISNUMBER(SEARCH(MAP_TNHN!B24&amp;" (2 tiết)",'PL12'!$S$6)),1,0)+IF(ISNUMBER(SEARCH(MAP_TNHN!B24&amp;" (2 tiết)",'PL12'!$S$7)),1,0)+IF(ISNUMBER(SEARCH(MAP_TNHN!B24&amp;" (2 tiết)",'PL12'!$S$8)),1,0)+IF(ISNUMBER(SEARCH(MAP_TNHN!B24&amp;" (2 tiết)",'PL12'!$S$9)),1,0)+IF(ISNUMBER(SEARCH(MAP_TNHN!B24&amp;" (2 tiết)",'PL12'!$S$10)),1,0)+IF(ISNUMBER(SEARCH(MAP_TNHN!B24&amp;" (2 tiết)",'PL12'!$S$11)),1,0)+IF(ISNUMBER(SEARCH(MAP_TNHN!B24&amp;" (2 tiết)",'PL12'!$S$12)),1,0)+IF(ISNUMBER(SEARCH(MAP_TNHN!B24&amp;" (2 tiết)",'PL12'!$S$13)),1,0)+IF(ISNUMBER(SEARCH(MAP_TNHN!B24&amp;" (2 tiết)",'PL12'!$S$14)),1,0)+IF(ISNUMBER(SEARCH(MAP_TNHN!B24&amp;" (2 tiết)",'PL12'!$S$15)),1,0)+IF(ISNUMBER(SEARCH(MAP_TNHN!B24&amp;" (2 tiết)",'PL12'!$S$16)),1,0)+IF(ISNUMBER(SEARCH(MAP_TNHN!B24&amp;" (2 tiết)",'PL12'!$S$17)),1,0)+IF(ISNUMBER(SEARCH(MAP_TNHN!B24&amp;" (2 tiết)",'PL12'!$S$18)),1,0)+IF(ISNUMBER(SEARCH(MAP_TNHN!B24&amp;" (2 tiết)",'PL12'!$S$19)),1,0))))</f>
        <v>0</v>
      </c>
      <c r="AX23">
        <f>IF(N23="",0,IF(MAP_TNHN!C24="",N23*3,N23*3-2*(IF(ISNUMBER(SEARCH(MAP_TNHN!C24&amp;" (1 tiết)",'PL11'!$S$5)),1,0)+IF(ISNUMBER(SEARCH(MAP_TNHN!C24&amp;" (1 tiết)",'PL11'!$S$6)),1,0)+IF(ISNUMBER(SEARCH(MAP_TNHN!C24&amp;" (1 tiết)",'PL11'!$S$7)),1,0)+IF(ISNUMBER(SEARCH(MAP_TNHN!C24&amp;" (1 tiết)",'PL11'!$S$8)),1,0)+IF(ISNUMBER(SEARCH(MAP_TNHN!C24&amp;" (1 tiết)",'PL11'!$S$9)),1,0)+IF(ISNUMBER(SEARCH(MAP_TNHN!C24&amp;" (1 tiết)",'PL11'!$S$10)),1,0)+IF(ISNUMBER(SEARCH(MAP_TNHN!C24&amp;" (1 tiết)",'PL11'!$S$11)),1,0)+IF(ISNUMBER(SEARCH(MAP_TNHN!C24&amp;" (1 tiết)",'PL11'!$S$12)),1,0)+IF(ISNUMBER(SEARCH(MAP_TNHN!C24&amp;" (1 tiết)",'PL11'!$S$13)),1,0)+IF(ISNUMBER(SEARCH(MAP_TNHN!C24&amp;" (1 tiết)",'PL11'!$S$14)),1,0)+IF(ISNUMBER(SEARCH(MAP_TNHN!C24&amp;" (1 tiết)",'PL11'!$S$15)),1,0)+IF(ISNUMBER(SEARCH(MAP_TNHN!C24&amp;" (1 tiết)",'PL11'!$S$16)),1,0)+IF(ISNUMBER(SEARCH(MAP_TNHN!C24&amp;" (1 tiết)",'PL11'!$S$17)),1,0)+IF(ISNUMBER(SEARCH(MAP_TNHN!C24&amp;" (1 tiết)",'PL11'!$S$18)),1,0))-(IF(ISNUMBER(SEARCH(MAP_TNHN!C24&amp;" (2 tiết)",'PL11'!$S$5)),1,0)+IF(ISNUMBER(SEARCH(MAP_TNHN!C24&amp;" (2 tiết)",'PL11'!$S$6)),1,0)+IF(ISNUMBER(SEARCH(MAP_TNHN!C24&amp;" (2 tiết)",'PL11'!$S$7)),1,0)+IF(ISNUMBER(SEARCH(MAP_TNHN!C24&amp;" (2 tiết)",'PL11'!$S$8)),1,0)+IF(ISNUMBER(SEARCH(MAP_TNHN!C24&amp;" (2 tiết)",'PL11'!$S$9)),1,0)+IF(ISNUMBER(SEARCH(MAP_TNHN!C24&amp;" (2 tiết)",'PL11'!$S$10)),1,0)+IF(ISNUMBER(SEARCH(MAP_TNHN!C24&amp;" (2 tiết)",'PL11'!$S$11)),1,0)+IF(ISNUMBER(SEARCH(MAP_TNHN!C24&amp;" (2 tiết)",'PL11'!$S$12)),1,0)+IF(ISNUMBER(SEARCH(MAP_TNHN!C24&amp;" (2 tiết)",'PL11'!$S$13)),1,0)+IF(ISNUMBER(SEARCH(MAP_TNHN!C24&amp;" (2 tiết)",'PL11'!$S$14)),1,0)+IF(ISNUMBER(SEARCH(MAP_TNHN!C24&amp;" (2 tiết)",'PL11'!$S$15)),1,0)+IF(ISNUMBER(SEARCH(MAP_TNHN!C24&amp;" (2 tiết)",'PL11'!$S$16)),1,0)+IF(ISNUMBER(SEARCH(MAP_TNHN!C24&amp;" (2 tiết)",'PL11'!$S$17)),1,0)+IF(ISNUMBER(SEARCH(MAP_TNHN!C24&amp;" (2 tiết)",'PL11'!$S$18)),1,0))))</f>
        <v>0</v>
      </c>
      <c r="AY23">
        <f>IF(S23="",0,IF(MAP_TNHN!D24="",S23*3,S23*3-2*(IF(ISNUMBER(SEARCH(MAP_TNHN!D24&amp;" (1 tiết)",'PL10'!$S$5)),1,0)+IF(ISNUMBER(SEARCH(MAP_TNHN!D24&amp;" (1 tiết)",'PL10'!$S$6)),1,0)+IF(ISNUMBER(SEARCH(MAP_TNHN!D24&amp;" (1 tiết)",'PL10'!$S$7)),1,0)+IF(ISNUMBER(SEARCH(MAP_TNHN!D24&amp;" (1 tiết)",'PL10'!$S$8)),1,0)+IF(ISNUMBER(SEARCH(MAP_TNHN!D24&amp;" (1 tiết)",'PL10'!$S$9)),1,0)+IF(ISNUMBER(SEARCH(MAP_TNHN!D24&amp;" (1 tiết)",'PL10'!$S$10)),1,0)+IF(ISNUMBER(SEARCH(MAP_TNHN!D24&amp;" (1 tiết)",'PL10'!$S$11)),1,0)+IF(ISNUMBER(SEARCH(MAP_TNHN!D24&amp;" (1 tiết)",'PL10'!$S$12)),1,0)+IF(ISNUMBER(SEARCH(MAP_TNHN!D24&amp;" (1 tiết)",'PL10'!$S$13)),1,0)+IF(ISNUMBER(SEARCH(MAP_TNHN!D24&amp;" (1 tiết)",'PL10'!$S$14)),1,0)+IF(ISNUMBER(SEARCH(MAP_TNHN!D24&amp;" (1 tiết)",'PL10'!$S$15)),1,0)+IF(ISNUMBER(SEARCH(MAP_TNHN!D24&amp;" (1 tiết)",'PL10'!$S$16)),1,0)+IF(ISNUMBER(SEARCH(MAP_TNHN!D24&amp;" (1 tiết)",'PL10'!$S$17)),1,0)+IF(ISNUMBER(SEARCH(MAP_TNHN!D24&amp;" (1 tiết)",'PL10'!$S$18)),1,0)+IF(ISNUMBER(SEARCH(MAP_TNHN!D24&amp;" (1 tiết)",'PL10'!$S$19)),1,0)+IF(ISNUMBER(SEARCH(MAP_TNHN!D24&amp;" (1 tiết)",'PL10'!$S$20)),1,0)+IF(ISNUMBER(SEARCH(MAP_TNHN!D24&amp;" (1 tiết)",'PL10'!$S$21)),1,0)+IF(ISNUMBER(SEARCH(MAP_TNHN!D24&amp;" (1 tiết)",'PL10'!$S$22)),1,0)+IF(ISNUMBER(SEARCH(MAP_TNHN!D24&amp;" (1 tiết)",'PL10'!$S$23)),1,0)+IF(ISNUMBER(SEARCH(MAP_TNHN!D24&amp;" (1 tiết)",'PL10'!$S$24)),1,0)+IF(ISNUMBER(SEARCH(MAP_TNHN!D24&amp;" (1 tiết)",'PL10'!$S$25)),1,0))-(IF(ISNUMBER(SEARCH(MAP_TNHN!D24&amp;" (2 tiết)",'PL10'!$S$5)),1,0)+IF(ISNUMBER(SEARCH(MAP_TNHN!D24&amp;" (2 tiết)",'PL10'!$S$6)),1,0)+IF(ISNUMBER(SEARCH(MAP_TNHN!D24&amp;" (2 tiết)",'PL10'!$S$7)),1,0)+IF(ISNUMBER(SEARCH(MAP_TNHN!D24&amp;" (2 tiết)",'PL10'!$S$8)),1,0)+IF(ISNUMBER(SEARCH(MAP_TNHN!D24&amp;" (2 tiết)",'PL10'!$S$9)),1,0)+IF(ISNUMBER(SEARCH(MAP_TNHN!D24&amp;" (2 tiết)",'PL10'!$S$10)),1,0)+IF(ISNUMBER(SEARCH(MAP_TNHN!D24&amp;" (2 tiết)",'PL10'!$S$11)),1,0)+IF(ISNUMBER(SEARCH(MAP_TNHN!D24&amp;" (2 tiết)",'PL10'!$S$12)),1,0)+IF(ISNUMBER(SEARCH(MAP_TNHN!D24&amp;" (2 tiết)",'PL10'!$S$13)),1,0)+IF(ISNUMBER(SEARCH(MAP_TNHN!D24&amp;" (2 tiết)",'PL10'!$S$14)),1,0)+IF(ISNUMBER(SEARCH(MAP_TNHN!D24&amp;" (2 tiết)",'PL10'!$S$15)),1,0)+IF(ISNUMBER(SEARCH(MAP_TNHN!D24&amp;" (2 tiết)",'PL10'!$S$16)),1,0)+IF(ISNUMBER(SEARCH(MAP_TNHN!D24&amp;" (2 tiết)",'PL10'!$S$17)),1,0)+IF(ISNUMBER(SEARCH(MAP_TNHN!D24&amp;" (2 tiết)",'PL10'!$S$18)),1,0)+IF(ISNUMBER(SEARCH(MAP_TNHN!D24&amp;" (2 tiết)",'PL10'!$S$19)),1,0)+IF(ISNUMBER(SEARCH(MAP_TNHN!D24&amp;" (2 tiết)",'PL10'!$S$20)),1,0)+IF(ISNUMBER(SEARCH(MAP_TNHN!D24&amp;" (2 tiết)",'PL10'!$S$21)),1,0)+IF(ISNUMBER(SEARCH(MAP_TNHN!D24&amp;" (2 tiết)",'PL10'!$S$22)),1,0)+IF(ISNUMBER(SEARCH(MAP_TNHN!D24&amp;" (2 tiết)",'PL10'!$S$23)),1,0)+IF(ISNUMBER(SEARCH(MAP_TNHN!D24&amp;" (2 tiết)",'PL10'!$S$24)),1,0)+IF(ISNUMBER(SEARCH(MAP_TNHN!D24&amp;" (2 tiết)",'PL10'!$S$25)),1,0))))</f>
        <v>0</v>
      </c>
    </row>
    <row r="24" spans="1:51" x14ac:dyDescent="0.35">
      <c r="A24" s="313"/>
      <c r="B24" s="11">
        <v>3</v>
      </c>
      <c r="C24" s="12" t="s">
        <v>77</v>
      </c>
      <c r="D24" s="21">
        <v>10</v>
      </c>
      <c r="E24" s="45">
        <v>4</v>
      </c>
      <c r="F24" s="45"/>
      <c r="G24" s="45"/>
      <c r="H24" s="45"/>
      <c r="I24" s="161"/>
      <c r="J24" s="45"/>
      <c r="K24" s="46"/>
      <c r="L24" s="46"/>
      <c r="M24" s="46"/>
      <c r="N24" s="164"/>
      <c r="O24" s="46"/>
      <c r="P24" s="47">
        <v>5</v>
      </c>
      <c r="Q24" s="47">
        <v>1</v>
      </c>
      <c r="R24" s="47"/>
      <c r="S24" s="167">
        <v>1</v>
      </c>
      <c r="T24" s="47"/>
      <c r="U24" s="11">
        <f>E24*('Phân tiết'!$M$18/4)+G24*('Phân tiết'!$M$21/3)+H24*'Phân tiết'!$L$26+AW24+J24*'Phân tiết'!$M$20+K24*('Phân tiết'!$I$18/4)+M24*('Phân tiết'!$I$21/3)+AX24+O24*'Phân tiết'!$I$20+P24*('Phân tiết'!$E$18/4)+R24*('Phân tiết'!$E$21/3)+AY24+T24*'Phân tiết'!$E$20</f>
        <v>19</v>
      </c>
      <c r="V24" s="8">
        <f>F24*4+L24*4+Q24*4</f>
        <v>4</v>
      </c>
      <c r="W24" s="6"/>
      <c r="X24" s="6"/>
      <c r="Y24" s="11"/>
      <c r="Z24" s="43">
        <f>SUM(U24:Y24)</f>
        <v>23</v>
      </c>
      <c r="AA24" s="34">
        <f>Z24-17</f>
        <v>6</v>
      </c>
      <c r="AB24" s="8"/>
      <c r="AC24" s="8"/>
      <c r="AD24" s="6">
        <f t="shared" si="3"/>
        <v>0</v>
      </c>
      <c r="AE24" s="8"/>
      <c r="AF24" s="8"/>
      <c r="AG24" s="6">
        <f t="shared" si="5"/>
        <v>0</v>
      </c>
      <c r="AH24" s="8"/>
      <c r="AI24" s="8"/>
      <c r="AJ24" s="6">
        <f>AH24*AI24</f>
        <v>0</v>
      </c>
      <c r="AK24" s="6">
        <f t="shared" si="6"/>
        <v>198</v>
      </c>
      <c r="AL24" s="11"/>
      <c r="AM24" s="11"/>
      <c r="AN24" s="11" t="s">
        <v>74</v>
      </c>
      <c r="AO24" s="11">
        <v>10</v>
      </c>
      <c r="AP24" s="11">
        <v>10</v>
      </c>
      <c r="AQ24" s="11" t="s">
        <v>74</v>
      </c>
      <c r="AR24" s="11" t="s">
        <v>74</v>
      </c>
      <c r="AS24" s="11"/>
      <c r="AT24" s="11" t="s">
        <v>74</v>
      </c>
      <c r="AU24" s="11"/>
      <c r="AV24" s="8"/>
      <c r="AW24">
        <f>IF(I24="",0,IF(MAP_TNHN!B25="",I24*3,I24*3-2*(IF(ISNUMBER(SEARCH(MAP_TNHN!B25&amp;" (1 tiết)",'PL12'!$S$5)),1,0)+IF(ISNUMBER(SEARCH(MAP_TNHN!B25&amp;" (1 tiết)",'PL12'!$S$6)),1,0)+IF(ISNUMBER(SEARCH(MAP_TNHN!B25&amp;" (1 tiết)",'PL12'!$S$7)),1,0)+IF(ISNUMBER(SEARCH(MAP_TNHN!B25&amp;" (1 tiết)",'PL12'!$S$8)),1,0)+IF(ISNUMBER(SEARCH(MAP_TNHN!B25&amp;" (1 tiết)",'PL12'!$S$9)),1,0)+IF(ISNUMBER(SEARCH(MAP_TNHN!B25&amp;" (1 tiết)",'PL12'!$S$10)),1,0)+IF(ISNUMBER(SEARCH(MAP_TNHN!B25&amp;" (1 tiết)",'PL12'!$S$11)),1,0)+IF(ISNUMBER(SEARCH(MAP_TNHN!B25&amp;" (1 tiết)",'PL12'!$S$12)),1,0)+IF(ISNUMBER(SEARCH(MAP_TNHN!B25&amp;" (1 tiết)",'PL12'!$S$13)),1,0)+IF(ISNUMBER(SEARCH(MAP_TNHN!B25&amp;" (1 tiết)",'PL12'!$S$14)),1,0)+IF(ISNUMBER(SEARCH(MAP_TNHN!B25&amp;" (1 tiết)",'PL12'!$S$15)),1,0)+IF(ISNUMBER(SEARCH(MAP_TNHN!B25&amp;" (1 tiết)",'PL12'!$S$16)),1,0)+IF(ISNUMBER(SEARCH(MAP_TNHN!B25&amp;" (1 tiết)",'PL12'!$S$17)),1,0)+IF(ISNUMBER(SEARCH(MAP_TNHN!B25&amp;" (1 tiết)",'PL12'!$S$18)),1,0)+IF(ISNUMBER(SEARCH(MAP_TNHN!B25&amp;" (1 tiết)",'PL12'!$S$19)),1,0))-(IF(ISNUMBER(SEARCH(MAP_TNHN!B25&amp;" (2 tiết)",'PL12'!$S$5)),1,0)+IF(ISNUMBER(SEARCH(MAP_TNHN!B25&amp;" (2 tiết)",'PL12'!$S$6)),1,0)+IF(ISNUMBER(SEARCH(MAP_TNHN!B25&amp;" (2 tiết)",'PL12'!$S$7)),1,0)+IF(ISNUMBER(SEARCH(MAP_TNHN!B25&amp;" (2 tiết)",'PL12'!$S$8)),1,0)+IF(ISNUMBER(SEARCH(MAP_TNHN!B25&amp;" (2 tiết)",'PL12'!$S$9)),1,0)+IF(ISNUMBER(SEARCH(MAP_TNHN!B25&amp;" (2 tiết)",'PL12'!$S$10)),1,0)+IF(ISNUMBER(SEARCH(MAP_TNHN!B25&amp;" (2 tiết)",'PL12'!$S$11)),1,0)+IF(ISNUMBER(SEARCH(MAP_TNHN!B25&amp;" (2 tiết)",'PL12'!$S$12)),1,0)+IF(ISNUMBER(SEARCH(MAP_TNHN!B25&amp;" (2 tiết)",'PL12'!$S$13)),1,0)+IF(ISNUMBER(SEARCH(MAP_TNHN!B25&amp;" (2 tiết)",'PL12'!$S$14)),1,0)+IF(ISNUMBER(SEARCH(MAP_TNHN!B25&amp;" (2 tiết)",'PL12'!$S$15)),1,0)+IF(ISNUMBER(SEARCH(MAP_TNHN!B25&amp;" (2 tiết)",'PL12'!$S$16)),1,0)+IF(ISNUMBER(SEARCH(MAP_TNHN!B25&amp;" (2 tiết)",'PL12'!$S$17)),1,0)+IF(ISNUMBER(SEARCH(MAP_TNHN!B25&amp;" (2 tiết)",'PL12'!$S$18)),1,0)+IF(ISNUMBER(SEARCH(MAP_TNHN!B25&amp;" (2 tiết)",'PL12'!$S$19)),1,0))))</f>
        <v>0</v>
      </c>
      <c r="AX24">
        <f>IF(N24="",0,IF(MAP_TNHN!C25="",N24*3,N24*3-2*(IF(ISNUMBER(SEARCH(MAP_TNHN!C25&amp;" (1 tiết)",'PL11'!$S$5)),1,0)+IF(ISNUMBER(SEARCH(MAP_TNHN!C25&amp;" (1 tiết)",'PL11'!$S$6)),1,0)+IF(ISNUMBER(SEARCH(MAP_TNHN!C25&amp;" (1 tiết)",'PL11'!$S$7)),1,0)+IF(ISNUMBER(SEARCH(MAP_TNHN!C25&amp;" (1 tiết)",'PL11'!$S$8)),1,0)+IF(ISNUMBER(SEARCH(MAP_TNHN!C25&amp;" (1 tiết)",'PL11'!$S$9)),1,0)+IF(ISNUMBER(SEARCH(MAP_TNHN!C25&amp;" (1 tiết)",'PL11'!$S$10)),1,0)+IF(ISNUMBER(SEARCH(MAP_TNHN!C25&amp;" (1 tiết)",'PL11'!$S$11)),1,0)+IF(ISNUMBER(SEARCH(MAP_TNHN!C25&amp;" (1 tiết)",'PL11'!$S$12)),1,0)+IF(ISNUMBER(SEARCH(MAP_TNHN!C25&amp;" (1 tiết)",'PL11'!$S$13)),1,0)+IF(ISNUMBER(SEARCH(MAP_TNHN!C25&amp;" (1 tiết)",'PL11'!$S$14)),1,0)+IF(ISNUMBER(SEARCH(MAP_TNHN!C25&amp;" (1 tiết)",'PL11'!$S$15)),1,0)+IF(ISNUMBER(SEARCH(MAP_TNHN!C25&amp;" (1 tiết)",'PL11'!$S$16)),1,0)+IF(ISNUMBER(SEARCH(MAP_TNHN!C25&amp;" (1 tiết)",'PL11'!$S$17)),1,0)+IF(ISNUMBER(SEARCH(MAP_TNHN!C25&amp;" (1 tiết)",'PL11'!$S$18)),1,0))-(IF(ISNUMBER(SEARCH(MAP_TNHN!C25&amp;" (2 tiết)",'PL11'!$S$5)),1,0)+IF(ISNUMBER(SEARCH(MAP_TNHN!C25&amp;" (2 tiết)",'PL11'!$S$6)),1,0)+IF(ISNUMBER(SEARCH(MAP_TNHN!C25&amp;" (2 tiết)",'PL11'!$S$7)),1,0)+IF(ISNUMBER(SEARCH(MAP_TNHN!C25&amp;" (2 tiết)",'PL11'!$S$8)),1,0)+IF(ISNUMBER(SEARCH(MAP_TNHN!C25&amp;" (2 tiết)",'PL11'!$S$9)),1,0)+IF(ISNUMBER(SEARCH(MAP_TNHN!C25&amp;" (2 tiết)",'PL11'!$S$10)),1,0)+IF(ISNUMBER(SEARCH(MAP_TNHN!C25&amp;" (2 tiết)",'PL11'!$S$11)),1,0)+IF(ISNUMBER(SEARCH(MAP_TNHN!C25&amp;" (2 tiết)",'PL11'!$S$12)),1,0)+IF(ISNUMBER(SEARCH(MAP_TNHN!C25&amp;" (2 tiết)",'PL11'!$S$13)),1,0)+IF(ISNUMBER(SEARCH(MAP_TNHN!C25&amp;" (2 tiết)",'PL11'!$S$14)),1,0)+IF(ISNUMBER(SEARCH(MAP_TNHN!C25&amp;" (2 tiết)",'PL11'!$S$15)),1,0)+IF(ISNUMBER(SEARCH(MAP_TNHN!C25&amp;" (2 tiết)",'PL11'!$S$16)),1,0)+IF(ISNUMBER(SEARCH(MAP_TNHN!C25&amp;" (2 tiết)",'PL11'!$S$17)),1,0)+IF(ISNUMBER(SEARCH(MAP_TNHN!C25&amp;" (2 tiết)",'PL11'!$S$18)),1,0))))</f>
        <v>0</v>
      </c>
      <c r="AY24">
        <f>IF(S24="",0,IF(MAP_TNHN!D25="",S24*3,S24*3-2*(IF(ISNUMBER(SEARCH(MAP_TNHN!D25&amp;" (1 tiết)",'PL10'!$S$5)),1,0)+IF(ISNUMBER(SEARCH(MAP_TNHN!D25&amp;" (1 tiết)",'PL10'!$S$6)),1,0)+IF(ISNUMBER(SEARCH(MAP_TNHN!D25&amp;" (1 tiết)",'PL10'!$S$7)),1,0)+IF(ISNUMBER(SEARCH(MAP_TNHN!D25&amp;" (1 tiết)",'PL10'!$S$8)),1,0)+IF(ISNUMBER(SEARCH(MAP_TNHN!D25&amp;" (1 tiết)",'PL10'!$S$9)),1,0)+IF(ISNUMBER(SEARCH(MAP_TNHN!D25&amp;" (1 tiết)",'PL10'!$S$10)),1,0)+IF(ISNUMBER(SEARCH(MAP_TNHN!D25&amp;" (1 tiết)",'PL10'!$S$11)),1,0)+IF(ISNUMBER(SEARCH(MAP_TNHN!D25&amp;" (1 tiết)",'PL10'!$S$12)),1,0)+IF(ISNUMBER(SEARCH(MAP_TNHN!D25&amp;" (1 tiết)",'PL10'!$S$13)),1,0)+IF(ISNUMBER(SEARCH(MAP_TNHN!D25&amp;" (1 tiết)",'PL10'!$S$14)),1,0)+IF(ISNUMBER(SEARCH(MAP_TNHN!D25&amp;" (1 tiết)",'PL10'!$S$15)),1,0)+IF(ISNUMBER(SEARCH(MAP_TNHN!D25&amp;" (1 tiết)",'PL10'!$S$16)),1,0)+IF(ISNUMBER(SEARCH(MAP_TNHN!D25&amp;" (1 tiết)",'PL10'!$S$17)),1,0)+IF(ISNUMBER(SEARCH(MAP_TNHN!D25&amp;" (1 tiết)",'PL10'!$S$18)),1,0)+IF(ISNUMBER(SEARCH(MAP_TNHN!D25&amp;" (1 tiết)",'PL10'!$S$19)),1,0)+IF(ISNUMBER(SEARCH(MAP_TNHN!D25&amp;" (1 tiết)",'PL10'!$S$20)),1,0)+IF(ISNUMBER(SEARCH(MAP_TNHN!D25&amp;" (1 tiết)",'PL10'!$S$21)),1,0)+IF(ISNUMBER(SEARCH(MAP_TNHN!D25&amp;" (1 tiết)",'PL10'!$S$22)),1,0)+IF(ISNUMBER(SEARCH(MAP_TNHN!D25&amp;" (1 tiết)",'PL10'!$S$23)),1,0)+IF(ISNUMBER(SEARCH(MAP_TNHN!D25&amp;" (1 tiết)",'PL10'!$S$24)),1,0)+IF(ISNUMBER(SEARCH(MAP_TNHN!D25&amp;" (1 tiết)",'PL10'!$S$25)),1,0))-(IF(ISNUMBER(SEARCH(MAP_TNHN!D25&amp;" (2 tiết)",'PL10'!$S$5)),1,0)+IF(ISNUMBER(SEARCH(MAP_TNHN!D25&amp;" (2 tiết)",'PL10'!$S$6)),1,0)+IF(ISNUMBER(SEARCH(MAP_TNHN!D25&amp;" (2 tiết)",'PL10'!$S$7)),1,0)+IF(ISNUMBER(SEARCH(MAP_TNHN!D25&amp;" (2 tiết)",'PL10'!$S$8)),1,0)+IF(ISNUMBER(SEARCH(MAP_TNHN!D25&amp;" (2 tiết)",'PL10'!$S$9)),1,0)+IF(ISNUMBER(SEARCH(MAP_TNHN!D25&amp;" (2 tiết)",'PL10'!$S$10)),1,0)+IF(ISNUMBER(SEARCH(MAP_TNHN!D25&amp;" (2 tiết)",'PL10'!$S$11)),1,0)+IF(ISNUMBER(SEARCH(MAP_TNHN!D25&amp;" (2 tiết)",'PL10'!$S$12)),1,0)+IF(ISNUMBER(SEARCH(MAP_TNHN!D25&amp;" (2 tiết)",'PL10'!$S$13)),1,0)+IF(ISNUMBER(SEARCH(MAP_TNHN!D25&amp;" (2 tiết)",'PL10'!$S$14)),1,0)+IF(ISNUMBER(SEARCH(MAP_TNHN!D25&amp;" (2 tiết)",'PL10'!$S$15)),1,0)+IF(ISNUMBER(SEARCH(MAP_TNHN!D25&amp;" (2 tiết)",'PL10'!$S$16)),1,0)+IF(ISNUMBER(SEARCH(MAP_TNHN!D25&amp;" (2 tiết)",'PL10'!$S$17)),1,0)+IF(ISNUMBER(SEARCH(MAP_TNHN!D25&amp;" (2 tiết)",'PL10'!$S$18)),1,0)+IF(ISNUMBER(SEARCH(MAP_TNHN!D25&amp;" (2 tiết)",'PL10'!$S$19)),1,0)+IF(ISNUMBER(SEARCH(MAP_TNHN!D25&amp;" (2 tiết)",'PL10'!$S$20)),1,0)+IF(ISNUMBER(SEARCH(MAP_TNHN!D25&amp;" (2 tiết)",'PL10'!$S$21)),1,0)+IF(ISNUMBER(SEARCH(MAP_TNHN!D25&amp;" (2 tiết)",'PL10'!$S$22)),1,0)+IF(ISNUMBER(SEARCH(MAP_TNHN!D25&amp;" (2 tiết)",'PL10'!$S$23)),1,0)+IF(ISNUMBER(SEARCH(MAP_TNHN!D25&amp;" (2 tiết)",'PL10'!$S$24)),1,0)+IF(ISNUMBER(SEARCH(MAP_TNHN!D25&amp;" (2 tiết)",'PL10'!$S$25)),1,0))))</f>
        <v>1</v>
      </c>
    </row>
    <row r="25" spans="1:51" x14ac:dyDescent="0.35">
      <c r="A25" s="313"/>
      <c r="B25" s="11">
        <v>4</v>
      </c>
      <c r="C25" s="12" t="s">
        <v>78</v>
      </c>
      <c r="D25" s="21">
        <v>11</v>
      </c>
      <c r="E25" s="45"/>
      <c r="F25" s="45"/>
      <c r="G25" s="45"/>
      <c r="H25" s="45"/>
      <c r="I25" s="161"/>
      <c r="J25" s="45"/>
      <c r="K25" s="46">
        <v>6</v>
      </c>
      <c r="L25" s="46">
        <v>1</v>
      </c>
      <c r="M25" s="46"/>
      <c r="N25" s="168">
        <v>1</v>
      </c>
      <c r="O25" s="46"/>
      <c r="P25" s="47">
        <v>3</v>
      </c>
      <c r="Q25" s="47"/>
      <c r="R25" s="47"/>
      <c r="S25" s="165"/>
      <c r="T25" s="47"/>
      <c r="U25" s="11">
        <f>E25*('Phân tiết'!$M$18/4)+G25*('Phân tiết'!$M$21/3)+H25*'Phân tiết'!$L$26+AW25+J25*'Phân tiết'!$M$20+K25*('Phân tiết'!$I$18/4)+M25*('Phân tiết'!$I$21/3)+AX25+O25*'Phân tiết'!$I$20+P25*('Phân tiết'!$E$18/4)+R25*('Phân tiết'!$E$21/3)+AY25+T25*'Phân tiết'!$E$20</f>
        <v>19</v>
      </c>
      <c r="V25" s="8">
        <f>F25*4+L25*4+Q25*4</f>
        <v>4</v>
      </c>
      <c r="W25" s="6"/>
      <c r="X25" s="6"/>
      <c r="Y25" s="11"/>
      <c r="Z25" s="43">
        <f>SUM(U25:Y25)</f>
        <v>23</v>
      </c>
      <c r="AA25" s="34">
        <f>Z25-17</f>
        <v>6</v>
      </c>
      <c r="AB25" s="8">
        <v>2</v>
      </c>
      <c r="AC25" s="8">
        <v>15</v>
      </c>
      <c r="AD25" s="6">
        <f t="shared" si="3"/>
        <v>45</v>
      </c>
      <c r="AE25" s="8"/>
      <c r="AF25" s="8"/>
      <c r="AG25" s="6">
        <f t="shared" si="5"/>
        <v>0</v>
      </c>
      <c r="AH25" s="8"/>
      <c r="AI25" s="8"/>
      <c r="AJ25" s="6">
        <f>AH25*AI25</f>
        <v>0</v>
      </c>
      <c r="AK25" s="6">
        <f t="shared" si="6"/>
        <v>243</v>
      </c>
      <c r="AL25" s="11" t="s">
        <v>48</v>
      </c>
      <c r="AM25" s="11"/>
      <c r="AN25" s="11" t="s">
        <v>74</v>
      </c>
      <c r="AO25" s="11">
        <v>11</v>
      </c>
      <c r="AP25" s="11">
        <v>11</v>
      </c>
      <c r="AQ25" s="11" t="s">
        <v>74</v>
      </c>
      <c r="AR25" s="11" t="s">
        <v>74</v>
      </c>
      <c r="AS25" s="11"/>
      <c r="AT25" s="11" t="s">
        <v>74</v>
      </c>
      <c r="AU25" s="11"/>
      <c r="AV25" s="8"/>
      <c r="AW25">
        <f>IF(I25="",0,IF(MAP_TNHN!B26="",I25*3,I25*3-2*(IF(ISNUMBER(SEARCH(MAP_TNHN!B26&amp;" (1 tiết)",'PL12'!$S$5)),1,0)+IF(ISNUMBER(SEARCH(MAP_TNHN!B26&amp;" (1 tiết)",'PL12'!$S$6)),1,0)+IF(ISNUMBER(SEARCH(MAP_TNHN!B26&amp;" (1 tiết)",'PL12'!$S$7)),1,0)+IF(ISNUMBER(SEARCH(MAP_TNHN!B26&amp;" (1 tiết)",'PL12'!$S$8)),1,0)+IF(ISNUMBER(SEARCH(MAP_TNHN!B26&amp;" (1 tiết)",'PL12'!$S$9)),1,0)+IF(ISNUMBER(SEARCH(MAP_TNHN!B26&amp;" (1 tiết)",'PL12'!$S$10)),1,0)+IF(ISNUMBER(SEARCH(MAP_TNHN!B26&amp;" (1 tiết)",'PL12'!$S$11)),1,0)+IF(ISNUMBER(SEARCH(MAP_TNHN!B26&amp;" (1 tiết)",'PL12'!$S$12)),1,0)+IF(ISNUMBER(SEARCH(MAP_TNHN!B26&amp;" (1 tiết)",'PL12'!$S$13)),1,0)+IF(ISNUMBER(SEARCH(MAP_TNHN!B26&amp;" (1 tiết)",'PL12'!$S$14)),1,0)+IF(ISNUMBER(SEARCH(MAP_TNHN!B26&amp;" (1 tiết)",'PL12'!$S$15)),1,0)+IF(ISNUMBER(SEARCH(MAP_TNHN!B26&amp;" (1 tiết)",'PL12'!$S$16)),1,0)+IF(ISNUMBER(SEARCH(MAP_TNHN!B26&amp;" (1 tiết)",'PL12'!$S$17)),1,0)+IF(ISNUMBER(SEARCH(MAP_TNHN!B26&amp;" (1 tiết)",'PL12'!$S$18)),1,0)+IF(ISNUMBER(SEARCH(MAP_TNHN!B26&amp;" (1 tiết)",'PL12'!$S$19)),1,0))-(IF(ISNUMBER(SEARCH(MAP_TNHN!B26&amp;" (2 tiết)",'PL12'!$S$5)),1,0)+IF(ISNUMBER(SEARCH(MAP_TNHN!B26&amp;" (2 tiết)",'PL12'!$S$6)),1,0)+IF(ISNUMBER(SEARCH(MAP_TNHN!B26&amp;" (2 tiết)",'PL12'!$S$7)),1,0)+IF(ISNUMBER(SEARCH(MAP_TNHN!B26&amp;" (2 tiết)",'PL12'!$S$8)),1,0)+IF(ISNUMBER(SEARCH(MAP_TNHN!B26&amp;" (2 tiết)",'PL12'!$S$9)),1,0)+IF(ISNUMBER(SEARCH(MAP_TNHN!B26&amp;" (2 tiết)",'PL12'!$S$10)),1,0)+IF(ISNUMBER(SEARCH(MAP_TNHN!B26&amp;" (2 tiết)",'PL12'!$S$11)),1,0)+IF(ISNUMBER(SEARCH(MAP_TNHN!B26&amp;" (2 tiết)",'PL12'!$S$12)),1,0)+IF(ISNUMBER(SEARCH(MAP_TNHN!B26&amp;" (2 tiết)",'PL12'!$S$13)),1,0)+IF(ISNUMBER(SEARCH(MAP_TNHN!B26&amp;" (2 tiết)",'PL12'!$S$14)),1,0)+IF(ISNUMBER(SEARCH(MAP_TNHN!B26&amp;" (2 tiết)",'PL12'!$S$15)),1,0)+IF(ISNUMBER(SEARCH(MAP_TNHN!B26&amp;" (2 tiết)",'PL12'!$S$16)),1,0)+IF(ISNUMBER(SEARCH(MAP_TNHN!B26&amp;" (2 tiết)",'PL12'!$S$17)),1,0)+IF(ISNUMBER(SEARCH(MAP_TNHN!B26&amp;" (2 tiết)",'PL12'!$S$18)),1,0)+IF(ISNUMBER(SEARCH(MAP_TNHN!B26&amp;" (2 tiết)",'PL12'!$S$19)),1,0))))</f>
        <v>0</v>
      </c>
      <c r="AX25">
        <f>IF(N25="",0,IF(MAP_TNHN!C26="",N25*3,N25*3-2*(IF(ISNUMBER(SEARCH(MAP_TNHN!C26&amp;" (1 tiết)",'PL11'!$S$5)),1,0)+IF(ISNUMBER(SEARCH(MAP_TNHN!C26&amp;" (1 tiết)",'PL11'!$S$6)),1,0)+IF(ISNUMBER(SEARCH(MAP_TNHN!C26&amp;" (1 tiết)",'PL11'!$S$7)),1,0)+IF(ISNUMBER(SEARCH(MAP_TNHN!C26&amp;" (1 tiết)",'PL11'!$S$8)),1,0)+IF(ISNUMBER(SEARCH(MAP_TNHN!C26&amp;" (1 tiết)",'PL11'!$S$9)),1,0)+IF(ISNUMBER(SEARCH(MAP_TNHN!C26&amp;" (1 tiết)",'PL11'!$S$10)),1,0)+IF(ISNUMBER(SEARCH(MAP_TNHN!C26&amp;" (1 tiết)",'PL11'!$S$11)),1,0)+IF(ISNUMBER(SEARCH(MAP_TNHN!C26&amp;" (1 tiết)",'PL11'!$S$12)),1,0)+IF(ISNUMBER(SEARCH(MAP_TNHN!C26&amp;" (1 tiết)",'PL11'!$S$13)),1,0)+IF(ISNUMBER(SEARCH(MAP_TNHN!C26&amp;" (1 tiết)",'PL11'!$S$14)),1,0)+IF(ISNUMBER(SEARCH(MAP_TNHN!C26&amp;" (1 tiết)",'PL11'!$S$15)),1,0)+IF(ISNUMBER(SEARCH(MAP_TNHN!C26&amp;" (1 tiết)",'PL11'!$S$16)),1,0)+IF(ISNUMBER(SEARCH(MAP_TNHN!C26&amp;" (1 tiết)",'PL11'!$S$17)),1,0)+IF(ISNUMBER(SEARCH(MAP_TNHN!C26&amp;" (1 tiết)",'PL11'!$S$18)),1,0))-(IF(ISNUMBER(SEARCH(MAP_TNHN!C26&amp;" (2 tiết)",'PL11'!$S$5)),1,0)+IF(ISNUMBER(SEARCH(MAP_TNHN!C26&amp;" (2 tiết)",'PL11'!$S$6)),1,0)+IF(ISNUMBER(SEARCH(MAP_TNHN!C26&amp;" (2 tiết)",'PL11'!$S$7)),1,0)+IF(ISNUMBER(SEARCH(MAP_TNHN!C26&amp;" (2 tiết)",'PL11'!$S$8)),1,0)+IF(ISNUMBER(SEARCH(MAP_TNHN!C26&amp;" (2 tiết)",'PL11'!$S$9)),1,0)+IF(ISNUMBER(SEARCH(MAP_TNHN!C26&amp;" (2 tiết)",'PL11'!$S$10)),1,0)+IF(ISNUMBER(SEARCH(MAP_TNHN!C26&amp;" (2 tiết)",'PL11'!$S$11)),1,0)+IF(ISNUMBER(SEARCH(MAP_TNHN!C26&amp;" (2 tiết)",'PL11'!$S$12)),1,0)+IF(ISNUMBER(SEARCH(MAP_TNHN!C26&amp;" (2 tiết)",'PL11'!$S$13)),1,0)+IF(ISNUMBER(SEARCH(MAP_TNHN!C26&amp;" (2 tiết)",'PL11'!$S$14)),1,0)+IF(ISNUMBER(SEARCH(MAP_TNHN!C26&amp;" (2 tiết)",'PL11'!$S$15)),1,0)+IF(ISNUMBER(SEARCH(MAP_TNHN!C26&amp;" (2 tiết)",'PL11'!$S$16)),1,0)+IF(ISNUMBER(SEARCH(MAP_TNHN!C26&amp;" (2 tiết)",'PL11'!$S$17)),1,0)+IF(ISNUMBER(SEARCH(MAP_TNHN!C26&amp;" (2 tiết)",'PL11'!$S$18)),1,0))))</f>
        <v>1</v>
      </c>
      <c r="AY25">
        <f>IF(S25="",0,IF(MAP_TNHN!D26="",S25*3,S25*3-2*(IF(ISNUMBER(SEARCH(MAP_TNHN!D26&amp;" (1 tiết)",'PL10'!$S$5)),1,0)+IF(ISNUMBER(SEARCH(MAP_TNHN!D26&amp;" (1 tiết)",'PL10'!$S$6)),1,0)+IF(ISNUMBER(SEARCH(MAP_TNHN!D26&amp;" (1 tiết)",'PL10'!$S$7)),1,0)+IF(ISNUMBER(SEARCH(MAP_TNHN!D26&amp;" (1 tiết)",'PL10'!$S$8)),1,0)+IF(ISNUMBER(SEARCH(MAP_TNHN!D26&amp;" (1 tiết)",'PL10'!$S$9)),1,0)+IF(ISNUMBER(SEARCH(MAP_TNHN!D26&amp;" (1 tiết)",'PL10'!$S$10)),1,0)+IF(ISNUMBER(SEARCH(MAP_TNHN!D26&amp;" (1 tiết)",'PL10'!$S$11)),1,0)+IF(ISNUMBER(SEARCH(MAP_TNHN!D26&amp;" (1 tiết)",'PL10'!$S$12)),1,0)+IF(ISNUMBER(SEARCH(MAP_TNHN!D26&amp;" (1 tiết)",'PL10'!$S$13)),1,0)+IF(ISNUMBER(SEARCH(MAP_TNHN!D26&amp;" (1 tiết)",'PL10'!$S$14)),1,0)+IF(ISNUMBER(SEARCH(MAP_TNHN!D26&amp;" (1 tiết)",'PL10'!$S$15)),1,0)+IF(ISNUMBER(SEARCH(MAP_TNHN!D26&amp;" (1 tiết)",'PL10'!$S$16)),1,0)+IF(ISNUMBER(SEARCH(MAP_TNHN!D26&amp;" (1 tiết)",'PL10'!$S$17)),1,0)+IF(ISNUMBER(SEARCH(MAP_TNHN!D26&amp;" (1 tiết)",'PL10'!$S$18)),1,0)+IF(ISNUMBER(SEARCH(MAP_TNHN!D26&amp;" (1 tiết)",'PL10'!$S$19)),1,0)+IF(ISNUMBER(SEARCH(MAP_TNHN!D26&amp;" (1 tiết)",'PL10'!$S$20)),1,0)+IF(ISNUMBER(SEARCH(MAP_TNHN!D26&amp;" (1 tiết)",'PL10'!$S$21)),1,0)+IF(ISNUMBER(SEARCH(MAP_TNHN!D26&amp;" (1 tiết)",'PL10'!$S$22)),1,0)+IF(ISNUMBER(SEARCH(MAP_TNHN!D26&amp;" (1 tiết)",'PL10'!$S$23)),1,0)+IF(ISNUMBER(SEARCH(MAP_TNHN!D26&amp;" (1 tiết)",'PL10'!$S$24)),1,0)+IF(ISNUMBER(SEARCH(MAP_TNHN!D26&amp;" (1 tiết)",'PL10'!$S$25)),1,0))-(IF(ISNUMBER(SEARCH(MAP_TNHN!D26&amp;" (2 tiết)",'PL10'!$S$5)),1,0)+IF(ISNUMBER(SEARCH(MAP_TNHN!D26&amp;" (2 tiết)",'PL10'!$S$6)),1,0)+IF(ISNUMBER(SEARCH(MAP_TNHN!D26&amp;" (2 tiết)",'PL10'!$S$7)),1,0)+IF(ISNUMBER(SEARCH(MAP_TNHN!D26&amp;" (2 tiết)",'PL10'!$S$8)),1,0)+IF(ISNUMBER(SEARCH(MAP_TNHN!D26&amp;" (2 tiết)",'PL10'!$S$9)),1,0)+IF(ISNUMBER(SEARCH(MAP_TNHN!D26&amp;" (2 tiết)",'PL10'!$S$10)),1,0)+IF(ISNUMBER(SEARCH(MAP_TNHN!D26&amp;" (2 tiết)",'PL10'!$S$11)),1,0)+IF(ISNUMBER(SEARCH(MAP_TNHN!D26&amp;" (2 tiết)",'PL10'!$S$12)),1,0)+IF(ISNUMBER(SEARCH(MAP_TNHN!D26&amp;" (2 tiết)",'PL10'!$S$13)),1,0)+IF(ISNUMBER(SEARCH(MAP_TNHN!D26&amp;" (2 tiết)",'PL10'!$S$14)),1,0)+IF(ISNUMBER(SEARCH(MAP_TNHN!D26&amp;" (2 tiết)",'PL10'!$S$15)),1,0)+IF(ISNUMBER(SEARCH(MAP_TNHN!D26&amp;" (2 tiết)",'PL10'!$S$16)),1,0)+IF(ISNUMBER(SEARCH(MAP_TNHN!D26&amp;" (2 tiết)",'PL10'!$S$17)),1,0)+IF(ISNUMBER(SEARCH(MAP_TNHN!D26&amp;" (2 tiết)",'PL10'!$S$18)),1,0)+IF(ISNUMBER(SEARCH(MAP_TNHN!D26&amp;" (2 tiết)",'PL10'!$S$19)),1,0)+IF(ISNUMBER(SEARCH(MAP_TNHN!D26&amp;" (2 tiết)",'PL10'!$S$20)),1,0)+IF(ISNUMBER(SEARCH(MAP_TNHN!D26&amp;" (2 tiết)",'PL10'!$S$21)),1,0)+IF(ISNUMBER(SEARCH(MAP_TNHN!D26&amp;" (2 tiết)",'PL10'!$S$22)),1,0)+IF(ISNUMBER(SEARCH(MAP_TNHN!D26&amp;" (2 tiết)",'PL10'!$S$23)),1,0)+IF(ISNUMBER(SEARCH(MAP_TNHN!D26&amp;" (2 tiết)",'PL10'!$S$24)),1,0)+IF(ISNUMBER(SEARCH(MAP_TNHN!D26&amp;" (2 tiết)",'PL10'!$S$25)),1,0))))</f>
        <v>0</v>
      </c>
    </row>
    <row r="26" spans="1:51" s="89" customFormat="1" x14ac:dyDescent="0.35">
      <c r="A26" s="90"/>
      <c r="B26" s="87"/>
      <c r="C26" s="86" t="s">
        <v>65</v>
      </c>
      <c r="D26" s="87"/>
      <c r="E26" s="87">
        <f>SUM(E22:E25)</f>
        <v>12</v>
      </c>
      <c r="F26" s="87"/>
      <c r="G26" s="87">
        <f>SUM(G22:G25)</f>
        <v>1</v>
      </c>
      <c r="H26" s="87">
        <f>SUM(H22:H25)</f>
        <v>2</v>
      </c>
      <c r="I26" s="162"/>
      <c r="J26" s="87"/>
      <c r="K26" s="87">
        <f>SUM(K22:K25)</f>
        <v>9</v>
      </c>
      <c r="L26" s="87"/>
      <c r="M26" s="87">
        <f>SUM(M22:M25)</f>
        <v>0</v>
      </c>
      <c r="N26" s="162"/>
      <c r="O26" s="87"/>
      <c r="P26" s="87">
        <f>SUM(P22:P25)</f>
        <v>15</v>
      </c>
      <c r="Q26" s="87"/>
      <c r="R26" s="87">
        <f>SUM(R22:R25)</f>
        <v>0</v>
      </c>
      <c r="S26" s="162"/>
      <c r="T26" s="87"/>
      <c r="U26" s="87"/>
      <c r="V26" s="85"/>
      <c r="W26" s="85"/>
      <c r="X26" s="85"/>
      <c r="Y26" s="87"/>
      <c r="Z26" s="88"/>
      <c r="AA26" s="88"/>
      <c r="AB26" s="85"/>
      <c r="AC26" s="85"/>
      <c r="AD26" s="85">
        <f t="shared" si="3"/>
        <v>0</v>
      </c>
      <c r="AE26" s="85"/>
      <c r="AF26" s="85"/>
      <c r="AG26" s="85">
        <f t="shared" si="5"/>
        <v>0</v>
      </c>
      <c r="AH26" s="85"/>
      <c r="AI26" s="85"/>
      <c r="AJ26" s="85"/>
      <c r="AK26" s="85">
        <f t="shared" si="6"/>
        <v>0</v>
      </c>
      <c r="AL26" s="87"/>
      <c r="AM26" s="87"/>
      <c r="AN26" s="87"/>
      <c r="AO26" s="87"/>
      <c r="AP26" s="87"/>
      <c r="AQ26" s="87"/>
      <c r="AR26" s="87"/>
      <c r="AS26" s="87"/>
      <c r="AT26" s="87"/>
      <c r="AU26" s="87"/>
      <c r="AV26" s="85"/>
      <c r="AW26"/>
      <c r="AX26"/>
      <c r="AY26"/>
    </row>
    <row r="27" spans="1:51" ht="15.5" x14ac:dyDescent="0.35">
      <c r="A27" s="309" t="s">
        <v>79</v>
      </c>
      <c r="B27" s="8">
        <v>1</v>
      </c>
      <c r="C27" s="13" t="s">
        <v>80</v>
      </c>
      <c r="D27" s="20"/>
      <c r="E27" s="48">
        <v>7</v>
      </c>
      <c r="F27" s="10"/>
      <c r="G27" s="10"/>
      <c r="H27" s="10"/>
      <c r="I27" s="159"/>
      <c r="J27" s="10"/>
      <c r="K27" s="49">
        <v>3</v>
      </c>
      <c r="L27" s="6"/>
      <c r="M27" s="6"/>
      <c r="N27" s="139">
        <v>1</v>
      </c>
      <c r="O27" s="6"/>
      <c r="P27" s="50">
        <v>4</v>
      </c>
      <c r="Q27" s="42"/>
      <c r="R27" s="42"/>
      <c r="S27" s="138"/>
      <c r="T27" s="42">
        <v>1</v>
      </c>
      <c r="U27" s="11">
        <f>E27*'Phân tiết'!$M$10+G27*('Phân tiết'!$M$21/3)+H27*'Phân tiết'!$L$26+AW27+J27*'Phân tiết'!$M$20+K27*'Phân tiết'!$I$10+M27*('Phân tiết'!$I$21/3)+AX27+O27*'Phân tiết'!$I$20+P27*'Phân tiết'!$E$10+R27*('Phân tiết'!$E$21/3)+AY27+T27*'Phân tiết'!$E$20</f>
        <v>17</v>
      </c>
      <c r="V27" s="8">
        <f>F27*4+L27*4+Q27*4</f>
        <v>0</v>
      </c>
      <c r="W27" s="6" t="s">
        <v>45</v>
      </c>
      <c r="X27" s="6" t="s">
        <v>81</v>
      </c>
      <c r="Y27" s="8">
        <v>6</v>
      </c>
      <c r="Z27" s="43">
        <f>SUM(U27:Y27)</f>
        <v>23</v>
      </c>
      <c r="AA27" s="34">
        <f>Z27-17</f>
        <v>6</v>
      </c>
      <c r="AB27" s="8"/>
      <c r="AC27" s="8"/>
      <c r="AD27" s="6">
        <f t="shared" si="3"/>
        <v>0</v>
      </c>
      <c r="AE27" s="8"/>
      <c r="AF27" s="8"/>
      <c r="AG27" s="6">
        <f t="shared" si="5"/>
        <v>0</v>
      </c>
      <c r="AH27" s="8"/>
      <c r="AI27" s="8"/>
      <c r="AJ27" s="6">
        <f>AH27*AI27</f>
        <v>0</v>
      </c>
      <c r="AK27" s="6">
        <f t="shared" si="6"/>
        <v>198</v>
      </c>
      <c r="AL27" s="8" t="s">
        <v>82</v>
      </c>
      <c r="AM27" s="8"/>
      <c r="AN27" s="8" t="s">
        <v>83</v>
      </c>
      <c r="AO27" s="8" t="s">
        <v>46</v>
      </c>
      <c r="AP27" s="8" t="s">
        <v>46</v>
      </c>
      <c r="AQ27" s="8" t="s">
        <v>46</v>
      </c>
      <c r="AR27" s="8" t="s">
        <v>46</v>
      </c>
      <c r="AS27" s="8"/>
      <c r="AT27" s="8" t="s">
        <v>46</v>
      </c>
      <c r="AU27" s="8" t="s">
        <v>84</v>
      </c>
      <c r="AV27" s="8"/>
      <c r="AW27">
        <f>IF(I27="",0,IF(MAP_TNHN!B28="",I27*3,I27*3-2*(IF(ISNUMBER(SEARCH(MAP_TNHN!B28&amp;" (1 tiết)",'PL12'!$S$5)),1,0)+IF(ISNUMBER(SEARCH(MAP_TNHN!B28&amp;" (1 tiết)",'PL12'!$S$6)),1,0)+IF(ISNUMBER(SEARCH(MAP_TNHN!B28&amp;" (1 tiết)",'PL12'!$S$7)),1,0)+IF(ISNUMBER(SEARCH(MAP_TNHN!B28&amp;" (1 tiết)",'PL12'!$S$8)),1,0)+IF(ISNUMBER(SEARCH(MAP_TNHN!B28&amp;" (1 tiết)",'PL12'!$S$9)),1,0)+IF(ISNUMBER(SEARCH(MAP_TNHN!B28&amp;" (1 tiết)",'PL12'!$S$10)),1,0)+IF(ISNUMBER(SEARCH(MAP_TNHN!B28&amp;" (1 tiết)",'PL12'!$S$11)),1,0)+IF(ISNUMBER(SEARCH(MAP_TNHN!B28&amp;" (1 tiết)",'PL12'!$S$12)),1,0)+IF(ISNUMBER(SEARCH(MAP_TNHN!B28&amp;" (1 tiết)",'PL12'!$S$13)),1,0)+IF(ISNUMBER(SEARCH(MAP_TNHN!B28&amp;" (1 tiết)",'PL12'!$S$14)),1,0)+IF(ISNUMBER(SEARCH(MAP_TNHN!B28&amp;" (1 tiết)",'PL12'!$S$15)),1,0)+IF(ISNUMBER(SEARCH(MAP_TNHN!B28&amp;" (1 tiết)",'PL12'!$S$16)),1,0)+IF(ISNUMBER(SEARCH(MAP_TNHN!B28&amp;" (1 tiết)",'PL12'!$S$17)),1,0)+IF(ISNUMBER(SEARCH(MAP_TNHN!B28&amp;" (1 tiết)",'PL12'!$S$18)),1,0)+IF(ISNUMBER(SEARCH(MAP_TNHN!B28&amp;" (1 tiết)",'PL12'!$S$19)),1,0))-(IF(ISNUMBER(SEARCH(MAP_TNHN!B28&amp;" (2 tiết)",'PL12'!$S$5)),1,0)+IF(ISNUMBER(SEARCH(MAP_TNHN!B28&amp;" (2 tiết)",'PL12'!$S$6)),1,0)+IF(ISNUMBER(SEARCH(MAP_TNHN!B28&amp;" (2 tiết)",'PL12'!$S$7)),1,0)+IF(ISNUMBER(SEARCH(MAP_TNHN!B28&amp;" (2 tiết)",'PL12'!$S$8)),1,0)+IF(ISNUMBER(SEARCH(MAP_TNHN!B28&amp;" (2 tiết)",'PL12'!$S$9)),1,0)+IF(ISNUMBER(SEARCH(MAP_TNHN!B28&amp;" (2 tiết)",'PL12'!$S$10)),1,0)+IF(ISNUMBER(SEARCH(MAP_TNHN!B28&amp;" (2 tiết)",'PL12'!$S$11)),1,0)+IF(ISNUMBER(SEARCH(MAP_TNHN!B28&amp;" (2 tiết)",'PL12'!$S$12)),1,0)+IF(ISNUMBER(SEARCH(MAP_TNHN!B28&amp;" (2 tiết)",'PL12'!$S$13)),1,0)+IF(ISNUMBER(SEARCH(MAP_TNHN!B28&amp;" (2 tiết)",'PL12'!$S$14)),1,0)+IF(ISNUMBER(SEARCH(MAP_TNHN!B28&amp;" (2 tiết)",'PL12'!$S$15)),1,0)+IF(ISNUMBER(SEARCH(MAP_TNHN!B28&amp;" (2 tiết)",'PL12'!$S$16)),1,0)+IF(ISNUMBER(SEARCH(MAP_TNHN!B28&amp;" (2 tiết)",'PL12'!$S$17)),1,0)+IF(ISNUMBER(SEARCH(MAP_TNHN!B28&amp;" (2 tiết)",'PL12'!$S$18)),1,0)+IF(ISNUMBER(SEARCH(MAP_TNHN!B28&amp;" (2 tiết)",'PL12'!$S$19)),1,0))))</f>
        <v>0</v>
      </c>
      <c r="AX27">
        <f>IF(N27="",0,IF(MAP_TNHN!C28="",N27*3,N27*3-2*(IF(ISNUMBER(SEARCH(MAP_TNHN!C28&amp;" (1 tiết)",'PL11'!$S$5)),1,0)+IF(ISNUMBER(SEARCH(MAP_TNHN!C28&amp;" (1 tiết)",'PL11'!$S$6)),1,0)+IF(ISNUMBER(SEARCH(MAP_TNHN!C28&amp;" (1 tiết)",'PL11'!$S$7)),1,0)+IF(ISNUMBER(SEARCH(MAP_TNHN!C28&amp;" (1 tiết)",'PL11'!$S$8)),1,0)+IF(ISNUMBER(SEARCH(MAP_TNHN!C28&amp;" (1 tiết)",'PL11'!$S$9)),1,0)+IF(ISNUMBER(SEARCH(MAP_TNHN!C28&amp;" (1 tiết)",'PL11'!$S$10)),1,0)+IF(ISNUMBER(SEARCH(MAP_TNHN!C28&amp;" (1 tiết)",'PL11'!$S$11)),1,0)+IF(ISNUMBER(SEARCH(MAP_TNHN!C28&amp;" (1 tiết)",'PL11'!$S$12)),1,0)+IF(ISNUMBER(SEARCH(MAP_TNHN!C28&amp;" (1 tiết)",'PL11'!$S$13)),1,0)+IF(ISNUMBER(SEARCH(MAP_TNHN!C28&amp;" (1 tiết)",'PL11'!$S$14)),1,0)+IF(ISNUMBER(SEARCH(MAP_TNHN!C28&amp;" (1 tiết)",'PL11'!$S$15)),1,0)+IF(ISNUMBER(SEARCH(MAP_TNHN!C28&amp;" (1 tiết)",'PL11'!$S$16)),1,0)+IF(ISNUMBER(SEARCH(MAP_TNHN!C28&amp;" (1 tiết)",'PL11'!$S$17)),1,0)+IF(ISNUMBER(SEARCH(MAP_TNHN!C28&amp;" (1 tiết)",'PL11'!$S$18)),1,0))-(IF(ISNUMBER(SEARCH(MAP_TNHN!C28&amp;" (2 tiết)",'PL11'!$S$5)),1,0)+IF(ISNUMBER(SEARCH(MAP_TNHN!C28&amp;" (2 tiết)",'PL11'!$S$6)),1,0)+IF(ISNUMBER(SEARCH(MAP_TNHN!C28&amp;" (2 tiết)",'PL11'!$S$7)),1,0)+IF(ISNUMBER(SEARCH(MAP_TNHN!C28&amp;" (2 tiết)",'PL11'!$S$8)),1,0)+IF(ISNUMBER(SEARCH(MAP_TNHN!C28&amp;" (2 tiết)",'PL11'!$S$9)),1,0)+IF(ISNUMBER(SEARCH(MAP_TNHN!C28&amp;" (2 tiết)",'PL11'!$S$10)),1,0)+IF(ISNUMBER(SEARCH(MAP_TNHN!C28&amp;" (2 tiết)",'PL11'!$S$11)),1,0)+IF(ISNUMBER(SEARCH(MAP_TNHN!C28&amp;" (2 tiết)",'PL11'!$S$12)),1,0)+IF(ISNUMBER(SEARCH(MAP_TNHN!C28&amp;" (2 tiết)",'PL11'!$S$13)),1,0)+IF(ISNUMBER(SEARCH(MAP_TNHN!C28&amp;" (2 tiết)",'PL11'!$S$14)),1,0)+IF(ISNUMBER(SEARCH(MAP_TNHN!C28&amp;" (2 tiết)",'PL11'!$S$15)),1,0)+IF(ISNUMBER(SEARCH(MAP_TNHN!C28&amp;" (2 tiết)",'PL11'!$S$16)),1,0)+IF(ISNUMBER(SEARCH(MAP_TNHN!C28&amp;" (2 tiết)",'PL11'!$S$17)),1,0)+IF(ISNUMBER(SEARCH(MAP_TNHN!C28&amp;" (2 tiết)",'PL11'!$S$18)),1,0))))</f>
        <v>2</v>
      </c>
      <c r="AY27">
        <f>IF(S27="",0,IF(MAP_TNHN!D28="",S27*3,S27*3-2*(IF(ISNUMBER(SEARCH(MAP_TNHN!D28&amp;" (1 tiết)",'PL10'!$S$5)),1,0)+IF(ISNUMBER(SEARCH(MAP_TNHN!D28&amp;" (1 tiết)",'PL10'!$S$6)),1,0)+IF(ISNUMBER(SEARCH(MAP_TNHN!D28&amp;" (1 tiết)",'PL10'!$S$7)),1,0)+IF(ISNUMBER(SEARCH(MAP_TNHN!D28&amp;" (1 tiết)",'PL10'!$S$8)),1,0)+IF(ISNUMBER(SEARCH(MAP_TNHN!D28&amp;" (1 tiết)",'PL10'!$S$9)),1,0)+IF(ISNUMBER(SEARCH(MAP_TNHN!D28&amp;" (1 tiết)",'PL10'!$S$10)),1,0)+IF(ISNUMBER(SEARCH(MAP_TNHN!D28&amp;" (1 tiết)",'PL10'!$S$11)),1,0)+IF(ISNUMBER(SEARCH(MAP_TNHN!D28&amp;" (1 tiết)",'PL10'!$S$12)),1,0)+IF(ISNUMBER(SEARCH(MAP_TNHN!D28&amp;" (1 tiết)",'PL10'!$S$13)),1,0)+IF(ISNUMBER(SEARCH(MAP_TNHN!D28&amp;" (1 tiết)",'PL10'!$S$14)),1,0)+IF(ISNUMBER(SEARCH(MAP_TNHN!D28&amp;" (1 tiết)",'PL10'!$S$15)),1,0)+IF(ISNUMBER(SEARCH(MAP_TNHN!D28&amp;" (1 tiết)",'PL10'!$S$16)),1,0)+IF(ISNUMBER(SEARCH(MAP_TNHN!D28&amp;" (1 tiết)",'PL10'!$S$17)),1,0)+IF(ISNUMBER(SEARCH(MAP_TNHN!D28&amp;" (1 tiết)",'PL10'!$S$18)),1,0)+IF(ISNUMBER(SEARCH(MAP_TNHN!D28&amp;" (1 tiết)",'PL10'!$S$19)),1,0)+IF(ISNUMBER(SEARCH(MAP_TNHN!D28&amp;" (1 tiết)",'PL10'!$S$20)),1,0)+IF(ISNUMBER(SEARCH(MAP_TNHN!D28&amp;" (1 tiết)",'PL10'!$S$21)),1,0)+IF(ISNUMBER(SEARCH(MAP_TNHN!D28&amp;" (1 tiết)",'PL10'!$S$22)),1,0)+IF(ISNUMBER(SEARCH(MAP_TNHN!D28&amp;" (1 tiết)",'PL10'!$S$23)),1,0)+IF(ISNUMBER(SEARCH(MAP_TNHN!D28&amp;" (1 tiết)",'PL10'!$S$24)),1,0)+IF(ISNUMBER(SEARCH(MAP_TNHN!D28&amp;" (1 tiết)",'PL10'!$S$25)),1,0))-(IF(ISNUMBER(SEARCH(MAP_TNHN!D28&amp;" (2 tiết)",'PL10'!$S$5)),1,0)+IF(ISNUMBER(SEARCH(MAP_TNHN!D28&amp;" (2 tiết)",'PL10'!$S$6)),1,0)+IF(ISNUMBER(SEARCH(MAP_TNHN!D28&amp;" (2 tiết)",'PL10'!$S$7)),1,0)+IF(ISNUMBER(SEARCH(MAP_TNHN!D28&amp;" (2 tiết)",'PL10'!$S$8)),1,0)+IF(ISNUMBER(SEARCH(MAP_TNHN!D28&amp;" (2 tiết)",'PL10'!$S$9)),1,0)+IF(ISNUMBER(SEARCH(MAP_TNHN!D28&amp;" (2 tiết)",'PL10'!$S$10)),1,0)+IF(ISNUMBER(SEARCH(MAP_TNHN!D28&amp;" (2 tiết)",'PL10'!$S$11)),1,0)+IF(ISNUMBER(SEARCH(MAP_TNHN!D28&amp;" (2 tiết)",'PL10'!$S$12)),1,0)+IF(ISNUMBER(SEARCH(MAP_TNHN!D28&amp;" (2 tiết)",'PL10'!$S$13)),1,0)+IF(ISNUMBER(SEARCH(MAP_TNHN!D28&amp;" (2 tiết)",'PL10'!$S$14)),1,0)+IF(ISNUMBER(SEARCH(MAP_TNHN!D28&amp;" (2 tiết)",'PL10'!$S$15)),1,0)+IF(ISNUMBER(SEARCH(MAP_TNHN!D28&amp;" (2 tiết)",'PL10'!$S$16)),1,0)+IF(ISNUMBER(SEARCH(MAP_TNHN!D28&amp;" (2 tiết)",'PL10'!$S$17)),1,0)+IF(ISNUMBER(SEARCH(MAP_TNHN!D28&amp;" (2 tiết)",'PL10'!$S$18)),1,0)+IF(ISNUMBER(SEARCH(MAP_TNHN!D28&amp;" (2 tiết)",'PL10'!$S$19)),1,0)+IF(ISNUMBER(SEARCH(MAP_TNHN!D28&amp;" (2 tiết)",'PL10'!$S$20)),1,0)+IF(ISNUMBER(SEARCH(MAP_TNHN!D28&amp;" (2 tiết)",'PL10'!$S$21)),1,0)+IF(ISNUMBER(SEARCH(MAP_TNHN!D28&amp;" (2 tiết)",'PL10'!$S$22)),1,0)+IF(ISNUMBER(SEARCH(MAP_TNHN!D28&amp;" (2 tiết)",'PL10'!$S$23)),1,0)+IF(ISNUMBER(SEARCH(MAP_TNHN!D28&amp;" (2 tiết)",'PL10'!$S$24)),1,0)+IF(ISNUMBER(SEARCH(MAP_TNHN!D28&amp;" (2 tiết)",'PL10'!$S$25)),1,0))))</f>
        <v>0</v>
      </c>
    </row>
    <row r="28" spans="1:51" ht="15.5" x14ac:dyDescent="0.35">
      <c r="A28" s="311"/>
      <c r="B28" s="8">
        <v>2</v>
      </c>
      <c r="C28" s="13" t="s">
        <v>85</v>
      </c>
      <c r="D28" s="20"/>
      <c r="E28" s="48">
        <v>8</v>
      </c>
      <c r="F28" s="10"/>
      <c r="G28" s="10"/>
      <c r="H28" s="10"/>
      <c r="I28" s="159"/>
      <c r="J28" s="10"/>
      <c r="K28" s="49">
        <v>3</v>
      </c>
      <c r="L28" s="6"/>
      <c r="M28" s="6"/>
      <c r="N28" s="139"/>
      <c r="O28" s="6"/>
      <c r="P28" s="50">
        <v>9</v>
      </c>
      <c r="Q28" s="42"/>
      <c r="R28" s="42"/>
      <c r="S28" s="138"/>
      <c r="T28" s="42"/>
      <c r="U28" s="11">
        <f>E28*'Phân tiết'!$M$10+G28*('Phân tiết'!$M$21/3)+H28*'Phân tiết'!$L$26+AW28+J28*'Phân tiết'!$M$20+K28*'Phân tiết'!$I$10+M28*('Phân tiết'!$I$21/3)+AX28+O28*'Phân tiết'!$I$20+P28*'Phân tiết'!$E$10+R28*('Phân tiết'!$E$21/3)+AY28+T28*'Phân tiết'!$E$20</f>
        <v>20</v>
      </c>
      <c r="V28" s="8">
        <f>F28*4+L28*4+Q28*4</f>
        <v>0</v>
      </c>
      <c r="W28" s="6" t="s">
        <v>86</v>
      </c>
      <c r="X28" s="6"/>
      <c r="Y28" s="8">
        <v>3</v>
      </c>
      <c r="Z28" s="43">
        <f>SUM(U28:Y28)</f>
        <v>23</v>
      </c>
      <c r="AA28" s="34">
        <f>Z28-17</f>
        <v>6</v>
      </c>
      <c r="AB28" s="8"/>
      <c r="AC28" s="8"/>
      <c r="AD28" s="6">
        <f t="shared" si="3"/>
        <v>0</v>
      </c>
      <c r="AE28" s="8"/>
      <c r="AF28" s="8"/>
      <c r="AG28" s="6">
        <f t="shared" si="5"/>
        <v>0</v>
      </c>
      <c r="AH28" s="8"/>
      <c r="AI28" s="8"/>
      <c r="AJ28" s="6">
        <f>AH28*AI28</f>
        <v>0</v>
      </c>
      <c r="AK28" s="6">
        <f t="shared" si="6"/>
        <v>198</v>
      </c>
      <c r="AL28" s="8" t="s">
        <v>87</v>
      </c>
      <c r="AM28" s="8"/>
      <c r="AN28" s="8"/>
      <c r="AO28" s="8"/>
      <c r="AP28" s="8"/>
      <c r="AQ28" s="8" t="s">
        <v>46</v>
      </c>
      <c r="AR28" s="8"/>
      <c r="AS28" s="8"/>
      <c r="AT28" s="8" t="s">
        <v>46</v>
      </c>
      <c r="AU28" s="8" t="s">
        <v>88</v>
      </c>
      <c r="AV28" s="8"/>
      <c r="AW28">
        <f>IF(I28="",0,IF(MAP_TNHN!B29="",I28*3,I28*3-2*(IF(ISNUMBER(SEARCH(MAP_TNHN!B29&amp;" (1 tiết)",'PL12'!$S$5)),1,0)+IF(ISNUMBER(SEARCH(MAP_TNHN!B29&amp;" (1 tiết)",'PL12'!$S$6)),1,0)+IF(ISNUMBER(SEARCH(MAP_TNHN!B29&amp;" (1 tiết)",'PL12'!$S$7)),1,0)+IF(ISNUMBER(SEARCH(MAP_TNHN!B29&amp;" (1 tiết)",'PL12'!$S$8)),1,0)+IF(ISNUMBER(SEARCH(MAP_TNHN!B29&amp;" (1 tiết)",'PL12'!$S$9)),1,0)+IF(ISNUMBER(SEARCH(MAP_TNHN!B29&amp;" (1 tiết)",'PL12'!$S$10)),1,0)+IF(ISNUMBER(SEARCH(MAP_TNHN!B29&amp;" (1 tiết)",'PL12'!$S$11)),1,0)+IF(ISNUMBER(SEARCH(MAP_TNHN!B29&amp;" (1 tiết)",'PL12'!$S$12)),1,0)+IF(ISNUMBER(SEARCH(MAP_TNHN!B29&amp;" (1 tiết)",'PL12'!$S$13)),1,0)+IF(ISNUMBER(SEARCH(MAP_TNHN!B29&amp;" (1 tiết)",'PL12'!$S$14)),1,0)+IF(ISNUMBER(SEARCH(MAP_TNHN!B29&amp;" (1 tiết)",'PL12'!$S$15)),1,0)+IF(ISNUMBER(SEARCH(MAP_TNHN!B29&amp;" (1 tiết)",'PL12'!$S$16)),1,0)+IF(ISNUMBER(SEARCH(MAP_TNHN!B29&amp;" (1 tiết)",'PL12'!$S$17)),1,0)+IF(ISNUMBER(SEARCH(MAP_TNHN!B29&amp;" (1 tiết)",'PL12'!$S$18)),1,0)+IF(ISNUMBER(SEARCH(MAP_TNHN!B29&amp;" (1 tiết)",'PL12'!$S$19)),1,0))-(IF(ISNUMBER(SEARCH(MAP_TNHN!B29&amp;" (2 tiết)",'PL12'!$S$5)),1,0)+IF(ISNUMBER(SEARCH(MAP_TNHN!B29&amp;" (2 tiết)",'PL12'!$S$6)),1,0)+IF(ISNUMBER(SEARCH(MAP_TNHN!B29&amp;" (2 tiết)",'PL12'!$S$7)),1,0)+IF(ISNUMBER(SEARCH(MAP_TNHN!B29&amp;" (2 tiết)",'PL12'!$S$8)),1,0)+IF(ISNUMBER(SEARCH(MAP_TNHN!B29&amp;" (2 tiết)",'PL12'!$S$9)),1,0)+IF(ISNUMBER(SEARCH(MAP_TNHN!B29&amp;" (2 tiết)",'PL12'!$S$10)),1,0)+IF(ISNUMBER(SEARCH(MAP_TNHN!B29&amp;" (2 tiết)",'PL12'!$S$11)),1,0)+IF(ISNUMBER(SEARCH(MAP_TNHN!B29&amp;" (2 tiết)",'PL12'!$S$12)),1,0)+IF(ISNUMBER(SEARCH(MAP_TNHN!B29&amp;" (2 tiết)",'PL12'!$S$13)),1,0)+IF(ISNUMBER(SEARCH(MAP_TNHN!B29&amp;" (2 tiết)",'PL12'!$S$14)),1,0)+IF(ISNUMBER(SEARCH(MAP_TNHN!B29&amp;" (2 tiết)",'PL12'!$S$15)),1,0)+IF(ISNUMBER(SEARCH(MAP_TNHN!B29&amp;" (2 tiết)",'PL12'!$S$16)),1,0)+IF(ISNUMBER(SEARCH(MAP_TNHN!B29&amp;" (2 tiết)",'PL12'!$S$17)),1,0)+IF(ISNUMBER(SEARCH(MAP_TNHN!B29&amp;" (2 tiết)",'PL12'!$S$18)),1,0)+IF(ISNUMBER(SEARCH(MAP_TNHN!B29&amp;" (2 tiết)",'PL12'!$S$19)),1,0))))</f>
        <v>0</v>
      </c>
      <c r="AX28">
        <f>IF(N28="",0,IF(MAP_TNHN!C29="",N28*3,N28*3-2*(IF(ISNUMBER(SEARCH(MAP_TNHN!C29&amp;" (1 tiết)",'PL11'!$S$5)),1,0)+IF(ISNUMBER(SEARCH(MAP_TNHN!C29&amp;" (1 tiết)",'PL11'!$S$6)),1,0)+IF(ISNUMBER(SEARCH(MAP_TNHN!C29&amp;" (1 tiết)",'PL11'!$S$7)),1,0)+IF(ISNUMBER(SEARCH(MAP_TNHN!C29&amp;" (1 tiết)",'PL11'!$S$8)),1,0)+IF(ISNUMBER(SEARCH(MAP_TNHN!C29&amp;" (1 tiết)",'PL11'!$S$9)),1,0)+IF(ISNUMBER(SEARCH(MAP_TNHN!C29&amp;" (1 tiết)",'PL11'!$S$10)),1,0)+IF(ISNUMBER(SEARCH(MAP_TNHN!C29&amp;" (1 tiết)",'PL11'!$S$11)),1,0)+IF(ISNUMBER(SEARCH(MAP_TNHN!C29&amp;" (1 tiết)",'PL11'!$S$12)),1,0)+IF(ISNUMBER(SEARCH(MAP_TNHN!C29&amp;" (1 tiết)",'PL11'!$S$13)),1,0)+IF(ISNUMBER(SEARCH(MAP_TNHN!C29&amp;" (1 tiết)",'PL11'!$S$14)),1,0)+IF(ISNUMBER(SEARCH(MAP_TNHN!C29&amp;" (1 tiết)",'PL11'!$S$15)),1,0)+IF(ISNUMBER(SEARCH(MAP_TNHN!C29&amp;" (1 tiết)",'PL11'!$S$16)),1,0)+IF(ISNUMBER(SEARCH(MAP_TNHN!C29&amp;" (1 tiết)",'PL11'!$S$17)),1,0)+IF(ISNUMBER(SEARCH(MAP_TNHN!C29&amp;" (1 tiết)",'PL11'!$S$18)),1,0))-(IF(ISNUMBER(SEARCH(MAP_TNHN!C29&amp;" (2 tiết)",'PL11'!$S$5)),1,0)+IF(ISNUMBER(SEARCH(MAP_TNHN!C29&amp;" (2 tiết)",'PL11'!$S$6)),1,0)+IF(ISNUMBER(SEARCH(MAP_TNHN!C29&amp;" (2 tiết)",'PL11'!$S$7)),1,0)+IF(ISNUMBER(SEARCH(MAP_TNHN!C29&amp;" (2 tiết)",'PL11'!$S$8)),1,0)+IF(ISNUMBER(SEARCH(MAP_TNHN!C29&amp;" (2 tiết)",'PL11'!$S$9)),1,0)+IF(ISNUMBER(SEARCH(MAP_TNHN!C29&amp;" (2 tiết)",'PL11'!$S$10)),1,0)+IF(ISNUMBER(SEARCH(MAP_TNHN!C29&amp;" (2 tiết)",'PL11'!$S$11)),1,0)+IF(ISNUMBER(SEARCH(MAP_TNHN!C29&amp;" (2 tiết)",'PL11'!$S$12)),1,0)+IF(ISNUMBER(SEARCH(MAP_TNHN!C29&amp;" (2 tiết)",'PL11'!$S$13)),1,0)+IF(ISNUMBER(SEARCH(MAP_TNHN!C29&amp;" (2 tiết)",'PL11'!$S$14)),1,0)+IF(ISNUMBER(SEARCH(MAP_TNHN!C29&amp;" (2 tiết)",'PL11'!$S$15)),1,0)+IF(ISNUMBER(SEARCH(MAP_TNHN!C29&amp;" (2 tiết)",'PL11'!$S$16)),1,0)+IF(ISNUMBER(SEARCH(MAP_TNHN!C29&amp;" (2 tiết)",'PL11'!$S$17)),1,0)+IF(ISNUMBER(SEARCH(MAP_TNHN!C29&amp;" (2 tiết)",'PL11'!$S$18)),1,0))))</f>
        <v>0</v>
      </c>
      <c r="AY28">
        <f>IF(S28="",0,IF(MAP_TNHN!D29="",S28*3,S28*3-2*(IF(ISNUMBER(SEARCH(MAP_TNHN!D29&amp;" (1 tiết)",'PL10'!$S$5)),1,0)+IF(ISNUMBER(SEARCH(MAP_TNHN!D29&amp;" (1 tiết)",'PL10'!$S$6)),1,0)+IF(ISNUMBER(SEARCH(MAP_TNHN!D29&amp;" (1 tiết)",'PL10'!$S$7)),1,0)+IF(ISNUMBER(SEARCH(MAP_TNHN!D29&amp;" (1 tiết)",'PL10'!$S$8)),1,0)+IF(ISNUMBER(SEARCH(MAP_TNHN!D29&amp;" (1 tiết)",'PL10'!$S$9)),1,0)+IF(ISNUMBER(SEARCH(MAP_TNHN!D29&amp;" (1 tiết)",'PL10'!$S$10)),1,0)+IF(ISNUMBER(SEARCH(MAP_TNHN!D29&amp;" (1 tiết)",'PL10'!$S$11)),1,0)+IF(ISNUMBER(SEARCH(MAP_TNHN!D29&amp;" (1 tiết)",'PL10'!$S$12)),1,0)+IF(ISNUMBER(SEARCH(MAP_TNHN!D29&amp;" (1 tiết)",'PL10'!$S$13)),1,0)+IF(ISNUMBER(SEARCH(MAP_TNHN!D29&amp;" (1 tiết)",'PL10'!$S$14)),1,0)+IF(ISNUMBER(SEARCH(MAP_TNHN!D29&amp;" (1 tiết)",'PL10'!$S$15)),1,0)+IF(ISNUMBER(SEARCH(MAP_TNHN!D29&amp;" (1 tiết)",'PL10'!$S$16)),1,0)+IF(ISNUMBER(SEARCH(MAP_TNHN!D29&amp;" (1 tiết)",'PL10'!$S$17)),1,0)+IF(ISNUMBER(SEARCH(MAP_TNHN!D29&amp;" (1 tiết)",'PL10'!$S$18)),1,0)+IF(ISNUMBER(SEARCH(MAP_TNHN!D29&amp;" (1 tiết)",'PL10'!$S$19)),1,0)+IF(ISNUMBER(SEARCH(MAP_TNHN!D29&amp;" (1 tiết)",'PL10'!$S$20)),1,0)+IF(ISNUMBER(SEARCH(MAP_TNHN!D29&amp;" (1 tiết)",'PL10'!$S$21)),1,0)+IF(ISNUMBER(SEARCH(MAP_TNHN!D29&amp;" (1 tiết)",'PL10'!$S$22)),1,0)+IF(ISNUMBER(SEARCH(MAP_TNHN!D29&amp;" (1 tiết)",'PL10'!$S$23)),1,0)+IF(ISNUMBER(SEARCH(MAP_TNHN!D29&amp;" (1 tiết)",'PL10'!$S$24)),1,0)+IF(ISNUMBER(SEARCH(MAP_TNHN!D29&amp;" (1 tiết)",'PL10'!$S$25)),1,0))-(IF(ISNUMBER(SEARCH(MAP_TNHN!D29&amp;" (2 tiết)",'PL10'!$S$5)),1,0)+IF(ISNUMBER(SEARCH(MAP_TNHN!D29&amp;" (2 tiết)",'PL10'!$S$6)),1,0)+IF(ISNUMBER(SEARCH(MAP_TNHN!D29&amp;" (2 tiết)",'PL10'!$S$7)),1,0)+IF(ISNUMBER(SEARCH(MAP_TNHN!D29&amp;" (2 tiết)",'PL10'!$S$8)),1,0)+IF(ISNUMBER(SEARCH(MAP_TNHN!D29&amp;" (2 tiết)",'PL10'!$S$9)),1,0)+IF(ISNUMBER(SEARCH(MAP_TNHN!D29&amp;" (2 tiết)",'PL10'!$S$10)),1,0)+IF(ISNUMBER(SEARCH(MAP_TNHN!D29&amp;" (2 tiết)",'PL10'!$S$11)),1,0)+IF(ISNUMBER(SEARCH(MAP_TNHN!D29&amp;" (2 tiết)",'PL10'!$S$12)),1,0)+IF(ISNUMBER(SEARCH(MAP_TNHN!D29&amp;" (2 tiết)",'PL10'!$S$13)),1,0)+IF(ISNUMBER(SEARCH(MAP_TNHN!D29&amp;" (2 tiết)",'PL10'!$S$14)),1,0)+IF(ISNUMBER(SEARCH(MAP_TNHN!D29&amp;" (2 tiết)",'PL10'!$S$15)),1,0)+IF(ISNUMBER(SEARCH(MAP_TNHN!D29&amp;" (2 tiết)",'PL10'!$S$16)),1,0)+IF(ISNUMBER(SEARCH(MAP_TNHN!D29&amp;" (2 tiết)",'PL10'!$S$17)),1,0)+IF(ISNUMBER(SEARCH(MAP_TNHN!D29&amp;" (2 tiết)",'PL10'!$S$18)),1,0)+IF(ISNUMBER(SEARCH(MAP_TNHN!D29&amp;" (2 tiết)",'PL10'!$S$19)),1,0)+IF(ISNUMBER(SEARCH(MAP_TNHN!D29&amp;" (2 tiết)",'PL10'!$S$20)),1,0)+IF(ISNUMBER(SEARCH(MAP_TNHN!D29&amp;" (2 tiết)",'PL10'!$S$21)),1,0)+IF(ISNUMBER(SEARCH(MAP_TNHN!D29&amp;" (2 tiết)",'PL10'!$S$22)),1,0)+IF(ISNUMBER(SEARCH(MAP_TNHN!D29&amp;" (2 tiết)",'PL10'!$S$23)),1,0)+IF(ISNUMBER(SEARCH(MAP_TNHN!D29&amp;" (2 tiết)",'PL10'!$S$24)),1,0)+IF(ISNUMBER(SEARCH(MAP_TNHN!D29&amp;" (2 tiết)",'PL10'!$S$25)),1,0))))</f>
        <v>0</v>
      </c>
    </row>
    <row r="29" spans="1:51" ht="30" x14ac:dyDescent="0.35">
      <c r="A29" s="310"/>
      <c r="B29" s="8">
        <v>3</v>
      </c>
      <c r="C29" s="13" t="s">
        <v>89</v>
      </c>
      <c r="D29" s="20">
        <v>10</v>
      </c>
      <c r="E29" s="48">
        <v>0</v>
      </c>
      <c r="F29" s="10"/>
      <c r="G29" s="10"/>
      <c r="H29" s="10"/>
      <c r="I29" s="159"/>
      <c r="J29" s="10"/>
      <c r="K29" s="49">
        <v>8</v>
      </c>
      <c r="L29" s="6"/>
      <c r="M29" s="6"/>
      <c r="N29" s="139"/>
      <c r="O29" s="6">
        <v>1</v>
      </c>
      <c r="P29" s="50">
        <v>8</v>
      </c>
      <c r="Q29" s="42">
        <v>1</v>
      </c>
      <c r="R29" s="42"/>
      <c r="S29" s="166">
        <v>1</v>
      </c>
      <c r="T29" s="42"/>
      <c r="U29" s="11">
        <f>E29*'Phân tiết'!$M$10+G29*('Phân tiết'!$M$21/3)+H29*'Phân tiết'!$L$26+AW29+J29*'Phân tiết'!$M$20+K29*'Phân tiết'!$I$10+M29*('Phân tiết'!$I$21/3)+AX29+O29*'Phân tiết'!$I$20+P29*'Phân tiết'!$E$10+R29*('Phân tiết'!$E$21/3)+AY29+T29*'Phân tiết'!$E$20</f>
        <v>18</v>
      </c>
      <c r="V29" s="8">
        <f>F29*4+L29*4+Q29*4</f>
        <v>4</v>
      </c>
      <c r="W29" s="6"/>
      <c r="X29" s="6" t="s">
        <v>54</v>
      </c>
      <c r="Y29" s="8">
        <v>1</v>
      </c>
      <c r="Z29" s="43">
        <f>SUM(U29:Y29)</f>
        <v>23</v>
      </c>
      <c r="AA29" s="34">
        <f>Z29-17</f>
        <v>6</v>
      </c>
      <c r="AB29" s="8"/>
      <c r="AC29" s="8"/>
      <c r="AD29" s="6">
        <f t="shared" si="3"/>
        <v>0</v>
      </c>
      <c r="AE29" s="8"/>
      <c r="AF29" s="8"/>
      <c r="AG29" s="6">
        <f t="shared" si="5"/>
        <v>0</v>
      </c>
      <c r="AH29" s="8"/>
      <c r="AI29" s="8"/>
      <c r="AJ29" s="6">
        <f>AH29*AI29</f>
        <v>0</v>
      </c>
      <c r="AK29" s="6">
        <f t="shared" si="6"/>
        <v>198</v>
      </c>
      <c r="AL29" s="8" t="s">
        <v>90</v>
      </c>
      <c r="AM29" s="8"/>
      <c r="AN29" s="8" t="s">
        <v>91</v>
      </c>
      <c r="AO29" s="8"/>
      <c r="AP29" s="8"/>
      <c r="AQ29" s="8" t="s">
        <v>46</v>
      </c>
      <c r="AR29" s="8"/>
      <c r="AS29" s="8"/>
      <c r="AT29" s="8" t="s">
        <v>46</v>
      </c>
      <c r="AU29" s="8" t="s">
        <v>88</v>
      </c>
      <c r="AV29" s="8" t="s">
        <v>92</v>
      </c>
      <c r="AW29">
        <f>IF(I29="",0,IF(MAP_TNHN!B30="",I29*3,I29*3-2*(IF(ISNUMBER(SEARCH(MAP_TNHN!B30&amp;" (1 tiết)",'PL12'!$S$5)),1,0)+IF(ISNUMBER(SEARCH(MAP_TNHN!B30&amp;" (1 tiết)",'PL12'!$S$6)),1,0)+IF(ISNUMBER(SEARCH(MAP_TNHN!B30&amp;" (1 tiết)",'PL12'!$S$7)),1,0)+IF(ISNUMBER(SEARCH(MAP_TNHN!B30&amp;" (1 tiết)",'PL12'!$S$8)),1,0)+IF(ISNUMBER(SEARCH(MAP_TNHN!B30&amp;" (1 tiết)",'PL12'!$S$9)),1,0)+IF(ISNUMBER(SEARCH(MAP_TNHN!B30&amp;" (1 tiết)",'PL12'!$S$10)),1,0)+IF(ISNUMBER(SEARCH(MAP_TNHN!B30&amp;" (1 tiết)",'PL12'!$S$11)),1,0)+IF(ISNUMBER(SEARCH(MAP_TNHN!B30&amp;" (1 tiết)",'PL12'!$S$12)),1,0)+IF(ISNUMBER(SEARCH(MAP_TNHN!B30&amp;" (1 tiết)",'PL12'!$S$13)),1,0)+IF(ISNUMBER(SEARCH(MAP_TNHN!B30&amp;" (1 tiết)",'PL12'!$S$14)),1,0)+IF(ISNUMBER(SEARCH(MAP_TNHN!B30&amp;" (1 tiết)",'PL12'!$S$15)),1,0)+IF(ISNUMBER(SEARCH(MAP_TNHN!B30&amp;" (1 tiết)",'PL12'!$S$16)),1,0)+IF(ISNUMBER(SEARCH(MAP_TNHN!B30&amp;" (1 tiết)",'PL12'!$S$17)),1,0)+IF(ISNUMBER(SEARCH(MAP_TNHN!B30&amp;" (1 tiết)",'PL12'!$S$18)),1,0)+IF(ISNUMBER(SEARCH(MAP_TNHN!B30&amp;" (1 tiết)",'PL12'!$S$19)),1,0))-(IF(ISNUMBER(SEARCH(MAP_TNHN!B30&amp;" (2 tiết)",'PL12'!$S$5)),1,0)+IF(ISNUMBER(SEARCH(MAP_TNHN!B30&amp;" (2 tiết)",'PL12'!$S$6)),1,0)+IF(ISNUMBER(SEARCH(MAP_TNHN!B30&amp;" (2 tiết)",'PL12'!$S$7)),1,0)+IF(ISNUMBER(SEARCH(MAP_TNHN!B30&amp;" (2 tiết)",'PL12'!$S$8)),1,0)+IF(ISNUMBER(SEARCH(MAP_TNHN!B30&amp;" (2 tiết)",'PL12'!$S$9)),1,0)+IF(ISNUMBER(SEARCH(MAP_TNHN!B30&amp;" (2 tiết)",'PL12'!$S$10)),1,0)+IF(ISNUMBER(SEARCH(MAP_TNHN!B30&amp;" (2 tiết)",'PL12'!$S$11)),1,0)+IF(ISNUMBER(SEARCH(MAP_TNHN!B30&amp;" (2 tiết)",'PL12'!$S$12)),1,0)+IF(ISNUMBER(SEARCH(MAP_TNHN!B30&amp;" (2 tiết)",'PL12'!$S$13)),1,0)+IF(ISNUMBER(SEARCH(MAP_TNHN!B30&amp;" (2 tiết)",'PL12'!$S$14)),1,0)+IF(ISNUMBER(SEARCH(MAP_TNHN!B30&amp;" (2 tiết)",'PL12'!$S$15)),1,0)+IF(ISNUMBER(SEARCH(MAP_TNHN!B30&amp;" (2 tiết)",'PL12'!$S$16)),1,0)+IF(ISNUMBER(SEARCH(MAP_TNHN!B30&amp;" (2 tiết)",'PL12'!$S$17)),1,0)+IF(ISNUMBER(SEARCH(MAP_TNHN!B30&amp;" (2 tiết)",'PL12'!$S$18)),1,0)+IF(ISNUMBER(SEARCH(MAP_TNHN!B30&amp;" (2 tiết)",'PL12'!$S$19)),1,0))))</f>
        <v>0</v>
      </c>
      <c r="AX29">
        <f>IF(N29="",0,IF(MAP_TNHN!C30="",N29*3,N29*3-2*(IF(ISNUMBER(SEARCH(MAP_TNHN!C30&amp;" (1 tiết)",'PL11'!$S$5)),1,0)+IF(ISNUMBER(SEARCH(MAP_TNHN!C30&amp;" (1 tiết)",'PL11'!$S$6)),1,0)+IF(ISNUMBER(SEARCH(MAP_TNHN!C30&amp;" (1 tiết)",'PL11'!$S$7)),1,0)+IF(ISNUMBER(SEARCH(MAP_TNHN!C30&amp;" (1 tiết)",'PL11'!$S$8)),1,0)+IF(ISNUMBER(SEARCH(MAP_TNHN!C30&amp;" (1 tiết)",'PL11'!$S$9)),1,0)+IF(ISNUMBER(SEARCH(MAP_TNHN!C30&amp;" (1 tiết)",'PL11'!$S$10)),1,0)+IF(ISNUMBER(SEARCH(MAP_TNHN!C30&amp;" (1 tiết)",'PL11'!$S$11)),1,0)+IF(ISNUMBER(SEARCH(MAP_TNHN!C30&amp;" (1 tiết)",'PL11'!$S$12)),1,0)+IF(ISNUMBER(SEARCH(MAP_TNHN!C30&amp;" (1 tiết)",'PL11'!$S$13)),1,0)+IF(ISNUMBER(SEARCH(MAP_TNHN!C30&amp;" (1 tiết)",'PL11'!$S$14)),1,0)+IF(ISNUMBER(SEARCH(MAP_TNHN!C30&amp;" (1 tiết)",'PL11'!$S$15)),1,0)+IF(ISNUMBER(SEARCH(MAP_TNHN!C30&amp;" (1 tiết)",'PL11'!$S$16)),1,0)+IF(ISNUMBER(SEARCH(MAP_TNHN!C30&amp;" (1 tiết)",'PL11'!$S$17)),1,0)+IF(ISNUMBER(SEARCH(MAP_TNHN!C30&amp;" (1 tiết)",'PL11'!$S$18)),1,0))-(IF(ISNUMBER(SEARCH(MAP_TNHN!C30&amp;" (2 tiết)",'PL11'!$S$5)),1,0)+IF(ISNUMBER(SEARCH(MAP_TNHN!C30&amp;" (2 tiết)",'PL11'!$S$6)),1,0)+IF(ISNUMBER(SEARCH(MAP_TNHN!C30&amp;" (2 tiết)",'PL11'!$S$7)),1,0)+IF(ISNUMBER(SEARCH(MAP_TNHN!C30&amp;" (2 tiết)",'PL11'!$S$8)),1,0)+IF(ISNUMBER(SEARCH(MAP_TNHN!C30&amp;" (2 tiết)",'PL11'!$S$9)),1,0)+IF(ISNUMBER(SEARCH(MAP_TNHN!C30&amp;" (2 tiết)",'PL11'!$S$10)),1,0)+IF(ISNUMBER(SEARCH(MAP_TNHN!C30&amp;" (2 tiết)",'PL11'!$S$11)),1,0)+IF(ISNUMBER(SEARCH(MAP_TNHN!C30&amp;" (2 tiết)",'PL11'!$S$12)),1,0)+IF(ISNUMBER(SEARCH(MAP_TNHN!C30&amp;" (2 tiết)",'PL11'!$S$13)),1,0)+IF(ISNUMBER(SEARCH(MAP_TNHN!C30&amp;" (2 tiết)",'PL11'!$S$14)),1,0)+IF(ISNUMBER(SEARCH(MAP_TNHN!C30&amp;" (2 tiết)",'PL11'!$S$15)),1,0)+IF(ISNUMBER(SEARCH(MAP_TNHN!C30&amp;" (2 tiết)",'PL11'!$S$16)),1,0)+IF(ISNUMBER(SEARCH(MAP_TNHN!C30&amp;" (2 tiết)",'PL11'!$S$17)),1,0)+IF(ISNUMBER(SEARCH(MAP_TNHN!C30&amp;" (2 tiết)",'PL11'!$S$18)),1,0))))</f>
        <v>0</v>
      </c>
      <c r="AY29">
        <f>IF(S29="",0,IF(MAP_TNHN!D30="",S29*3,S29*3-2*(IF(ISNUMBER(SEARCH(MAP_TNHN!D30&amp;" (1 tiết)",'PL10'!$S$5)),1,0)+IF(ISNUMBER(SEARCH(MAP_TNHN!D30&amp;" (1 tiết)",'PL10'!$S$6)),1,0)+IF(ISNUMBER(SEARCH(MAP_TNHN!D30&amp;" (1 tiết)",'PL10'!$S$7)),1,0)+IF(ISNUMBER(SEARCH(MAP_TNHN!D30&amp;" (1 tiết)",'PL10'!$S$8)),1,0)+IF(ISNUMBER(SEARCH(MAP_TNHN!D30&amp;" (1 tiết)",'PL10'!$S$9)),1,0)+IF(ISNUMBER(SEARCH(MAP_TNHN!D30&amp;" (1 tiết)",'PL10'!$S$10)),1,0)+IF(ISNUMBER(SEARCH(MAP_TNHN!D30&amp;" (1 tiết)",'PL10'!$S$11)),1,0)+IF(ISNUMBER(SEARCH(MAP_TNHN!D30&amp;" (1 tiết)",'PL10'!$S$12)),1,0)+IF(ISNUMBER(SEARCH(MAP_TNHN!D30&amp;" (1 tiết)",'PL10'!$S$13)),1,0)+IF(ISNUMBER(SEARCH(MAP_TNHN!D30&amp;" (1 tiết)",'PL10'!$S$14)),1,0)+IF(ISNUMBER(SEARCH(MAP_TNHN!D30&amp;" (1 tiết)",'PL10'!$S$15)),1,0)+IF(ISNUMBER(SEARCH(MAP_TNHN!D30&amp;" (1 tiết)",'PL10'!$S$16)),1,0)+IF(ISNUMBER(SEARCH(MAP_TNHN!D30&amp;" (1 tiết)",'PL10'!$S$17)),1,0)+IF(ISNUMBER(SEARCH(MAP_TNHN!D30&amp;" (1 tiết)",'PL10'!$S$18)),1,0)+IF(ISNUMBER(SEARCH(MAP_TNHN!D30&amp;" (1 tiết)",'PL10'!$S$19)),1,0)+IF(ISNUMBER(SEARCH(MAP_TNHN!D30&amp;" (1 tiết)",'PL10'!$S$20)),1,0)+IF(ISNUMBER(SEARCH(MAP_TNHN!D30&amp;" (1 tiết)",'PL10'!$S$21)),1,0)+IF(ISNUMBER(SEARCH(MAP_TNHN!D30&amp;" (1 tiết)",'PL10'!$S$22)),1,0)+IF(ISNUMBER(SEARCH(MAP_TNHN!D30&amp;" (1 tiết)",'PL10'!$S$23)),1,0)+IF(ISNUMBER(SEARCH(MAP_TNHN!D30&amp;" (1 tiết)",'PL10'!$S$24)),1,0)+IF(ISNUMBER(SEARCH(MAP_TNHN!D30&amp;" (1 tiết)",'PL10'!$S$25)),1,0))-(IF(ISNUMBER(SEARCH(MAP_TNHN!D30&amp;" (2 tiết)",'PL10'!$S$5)),1,0)+IF(ISNUMBER(SEARCH(MAP_TNHN!D30&amp;" (2 tiết)",'PL10'!$S$6)),1,0)+IF(ISNUMBER(SEARCH(MAP_TNHN!D30&amp;" (2 tiết)",'PL10'!$S$7)),1,0)+IF(ISNUMBER(SEARCH(MAP_TNHN!D30&amp;" (2 tiết)",'PL10'!$S$8)),1,0)+IF(ISNUMBER(SEARCH(MAP_TNHN!D30&amp;" (2 tiết)",'PL10'!$S$9)),1,0)+IF(ISNUMBER(SEARCH(MAP_TNHN!D30&amp;" (2 tiết)",'PL10'!$S$10)),1,0)+IF(ISNUMBER(SEARCH(MAP_TNHN!D30&amp;" (2 tiết)",'PL10'!$S$11)),1,0)+IF(ISNUMBER(SEARCH(MAP_TNHN!D30&amp;" (2 tiết)",'PL10'!$S$12)),1,0)+IF(ISNUMBER(SEARCH(MAP_TNHN!D30&amp;" (2 tiết)",'PL10'!$S$13)),1,0)+IF(ISNUMBER(SEARCH(MAP_TNHN!D30&amp;" (2 tiết)",'PL10'!$S$14)),1,0)+IF(ISNUMBER(SEARCH(MAP_TNHN!D30&amp;" (2 tiết)",'PL10'!$S$15)),1,0)+IF(ISNUMBER(SEARCH(MAP_TNHN!D30&amp;" (2 tiết)",'PL10'!$S$16)),1,0)+IF(ISNUMBER(SEARCH(MAP_TNHN!D30&amp;" (2 tiết)",'PL10'!$S$17)),1,0)+IF(ISNUMBER(SEARCH(MAP_TNHN!D30&amp;" (2 tiết)",'PL10'!$S$18)),1,0)+IF(ISNUMBER(SEARCH(MAP_TNHN!D30&amp;" (2 tiết)",'PL10'!$S$19)),1,0)+IF(ISNUMBER(SEARCH(MAP_TNHN!D30&amp;" (2 tiết)",'PL10'!$S$20)),1,0)+IF(ISNUMBER(SEARCH(MAP_TNHN!D30&amp;" (2 tiết)",'PL10'!$S$21)),1,0)+IF(ISNUMBER(SEARCH(MAP_TNHN!D30&amp;" (2 tiết)",'PL10'!$S$22)),1,0)+IF(ISNUMBER(SEARCH(MAP_TNHN!D30&amp;" (2 tiết)",'PL10'!$S$23)),1,0)+IF(ISNUMBER(SEARCH(MAP_TNHN!D30&amp;" (2 tiết)",'PL10'!$S$24)),1,0)+IF(ISNUMBER(SEARCH(MAP_TNHN!D30&amp;" (2 tiết)",'PL10'!$S$25)),1,0))))</f>
        <v>1</v>
      </c>
    </row>
    <row r="30" spans="1:51" s="89" customFormat="1" ht="15.5" x14ac:dyDescent="0.35">
      <c r="A30" s="91"/>
      <c r="B30" s="85"/>
      <c r="C30" s="86" t="s">
        <v>65</v>
      </c>
      <c r="D30" s="85"/>
      <c r="E30" s="92">
        <f>SUM(E27:E29)</f>
        <v>15</v>
      </c>
      <c r="F30" s="92"/>
      <c r="G30" s="92">
        <f>SUM(G27:G29)</f>
        <v>0</v>
      </c>
      <c r="H30" s="92"/>
      <c r="I30" s="163"/>
      <c r="J30" s="92"/>
      <c r="K30" s="92">
        <f>SUM(K27:K29)</f>
        <v>14</v>
      </c>
      <c r="L30" s="92"/>
      <c r="M30" s="92">
        <f>SUM(M27:M29)</f>
        <v>0</v>
      </c>
      <c r="N30" s="163"/>
      <c r="O30" s="92"/>
      <c r="P30" s="92">
        <f>SUM(P27:P29)</f>
        <v>21</v>
      </c>
      <c r="Q30" s="92"/>
      <c r="R30" s="92">
        <f>SUM(R27:R29)</f>
        <v>0</v>
      </c>
      <c r="S30" s="163"/>
      <c r="T30" s="92"/>
      <c r="U30" s="87"/>
      <c r="V30" s="85"/>
      <c r="W30" s="85"/>
      <c r="X30" s="85"/>
      <c r="Y30" s="85"/>
      <c r="Z30" s="88"/>
      <c r="AA30" s="88"/>
      <c r="AB30" s="85"/>
      <c r="AC30" s="85"/>
      <c r="AD30" s="85">
        <f t="shared" si="3"/>
        <v>0</v>
      </c>
      <c r="AE30" s="85"/>
      <c r="AF30" s="85"/>
      <c r="AG30" s="85">
        <f t="shared" si="5"/>
        <v>0</v>
      </c>
      <c r="AH30" s="85"/>
      <c r="AI30" s="85"/>
      <c r="AJ30" s="85"/>
      <c r="AK30" s="85">
        <f t="shared" si="6"/>
        <v>0</v>
      </c>
      <c r="AL30" s="85"/>
      <c r="AM30" s="85"/>
      <c r="AN30" s="85"/>
      <c r="AO30" s="85"/>
      <c r="AP30" s="85"/>
      <c r="AQ30" s="85"/>
      <c r="AR30" s="85"/>
      <c r="AS30" s="85"/>
      <c r="AT30" s="85"/>
      <c r="AU30" s="85"/>
      <c r="AV30" s="85"/>
      <c r="AW30"/>
      <c r="AX30"/>
      <c r="AY30"/>
    </row>
    <row r="31" spans="1:51" ht="15.5" x14ac:dyDescent="0.35">
      <c r="A31" s="313" t="s">
        <v>93</v>
      </c>
      <c r="B31" s="8">
        <v>1</v>
      </c>
      <c r="C31" s="13" t="s">
        <v>94</v>
      </c>
      <c r="D31" s="20"/>
      <c r="E31" s="224">
        <v>1</v>
      </c>
      <c r="F31" s="10"/>
      <c r="G31" s="10"/>
      <c r="H31" s="10"/>
      <c r="I31" s="159"/>
      <c r="J31" s="10"/>
      <c r="K31" s="224"/>
      <c r="L31" s="6"/>
      <c r="M31" s="6"/>
      <c r="N31" s="139"/>
      <c r="O31" s="6"/>
      <c r="P31" s="224">
        <v>7</v>
      </c>
      <c r="Q31" s="42"/>
      <c r="R31" s="42"/>
      <c r="S31" s="138"/>
      <c r="T31" s="42"/>
      <c r="U31" s="11">
        <f>E31*'Phân tiết'!$M$9+G31*('Phân tiết'!$M$21/3)+H31*'Phân tiết'!$L$26+AW31+J31*'Phân tiết'!$M$20+K31*'Phân tiết'!$I$9+M31*('Phân tiết'!$I$21/3)+AX31+O31*'Phân tiết'!$I$20+P31*'Phân tiết'!$E$9+R31*('Phân tiết'!$E$21/3)+AY31+T31*'Phân tiết'!$E$20</f>
        <v>16</v>
      </c>
      <c r="V31" s="8">
        <f t="shared" ref="V31:V36" si="7">F31*4+L31*4+Q31*4</f>
        <v>0</v>
      </c>
      <c r="W31" s="6" t="s">
        <v>45</v>
      </c>
      <c r="X31" s="6"/>
      <c r="Y31" s="8">
        <v>3</v>
      </c>
      <c r="Z31" s="43">
        <f t="shared" ref="Z31:Z36" si="8">SUM(U31:Y31)</f>
        <v>19</v>
      </c>
      <c r="AA31" s="34">
        <f t="shared" ref="AA31:AA36" si="9">Z31-17</f>
        <v>2</v>
      </c>
      <c r="AB31" s="8"/>
      <c r="AC31" s="8"/>
      <c r="AD31" s="6">
        <f t="shared" si="3"/>
        <v>0</v>
      </c>
      <c r="AE31" s="8"/>
      <c r="AF31" s="8"/>
      <c r="AG31" s="6">
        <f t="shared" si="5"/>
        <v>0</v>
      </c>
      <c r="AH31" s="8"/>
      <c r="AI31" s="8"/>
      <c r="AJ31" s="6">
        <f t="shared" ref="AJ31:AJ36" si="10">AH31*AI31</f>
        <v>0</v>
      </c>
      <c r="AK31" s="6">
        <f t="shared" si="6"/>
        <v>66</v>
      </c>
      <c r="AL31" s="8">
        <v>1</v>
      </c>
      <c r="AM31" s="8"/>
      <c r="AN31" s="8">
        <v>2</v>
      </c>
      <c r="AO31" s="8">
        <v>1</v>
      </c>
      <c r="AP31" s="8"/>
      <c r="AQ31" s="8">
        <v>1</v>
      </c>
      <c r="AR31" s="8">
        <v>1</v>
      </c>
      <c r="AS31" s="8">
        <v>2</v>
      </c>
      <c r="AT31" s="8">
        <v>2</v>
      </c>
      <c r="AU31" s="8"/>
      <c r="AV31" s="8"/>
      <c r="AW31">
        <f>IF(I31="",0,IF(MAP_TNHN!B32="",I31*3,I31*3-2*(IF(ISNUMBER(SEARCH(MAP_TNHN!B32&amp;" (1 tiết)",'PL12'!$S$5)),1,0)+IF(ISNUMBER(SEARCH(MAP_TNHN!B32&amp;" (1 tiết)",'PL12'!$S$6)),1,0)+IF(ISNUMBER(SEARCH(MAP_TNHN!B32&amp;" (1 tiết)",'PL12'!$S$7)),1,0)+IF(ISNUMBER(SEARCH(MAP_TNHN!B32&amp;" (1 tiết)",'PL12'!$S$8)),1,0)+IF(ISNUMBER(SEARCH(MAP_TNHN!B32&amp;" (1 tiết)",'PL12'!$S$9)),1,0)+IF(ISNUMBER(SEARCH(MAP_TNHN!B32&amp;" (1 tiết)",'PL12'!$S$10)),1,0)+IF(ISNUMBER(SEARCH(MAP_TNHN!B32&amp;" (1 tiết)",'PL12'!$S$11)),1,0)+IF(ISNUMBER(SEARCH(MAP_TNHN!B32&amp;" (1 tiết)",'PL12'!$S$12)),1,0)+IF(ISNUMBER(SEARCH(MAP_TNHN!B32&amp;" (1 tiết)",'PL12'!$S$13)),1,0)+IF(ISNUMBER(SEARCH(MAP_TNHN!B32&amp;" (1 tiết)",'PL12'!$S$14)),1,0)+IF(ISNUMBER(SEARCH(MAP_TNHN!B32&amp;" (1 tiết)",'PL12'!$S$15)),1,0)+IF(ISNUMBER(SEARCH(MAP_TNHN!B32&amp;" (1 tiết)",'PL12'!$S$16)),1,0)+IF(ISNUMBER(SEARCH(MAP_TNHN!B32&amp;" (1 tiết)",'PL12'!$S$17)),1,0)+IF(ISNUMBER(SEARCH(MAP_TNHN!B32&amp;" (1 tiết)",'PL12'!$S$18)),1,0)+IF(ISNUMBER(SEARCH(MAP_TNHN!B32&amp;" (1 tiết)",'PL12'!$S$19)),1,0))-(IF(ISNUMBER(SEARCH(MAP_TNHN!B32&amp;" (2 tiết)",'PL12'!$S$5)),1,0)+IF(ISNUMBER(SEARCH(MAP_TNHN!B32&amp;" (2 tiết)",'PL12'!$S$6)),1,0)+IF(ISNUMBER(SEARCH(MAP_TNHN!B32&amp;" (2 tiết)",'PL12'!$S$7)),1,0)+IF(ISNUMBER(SEARCH(MAP_TNHN!B32&amp;" (2 tiết)",'PL12'!$S$8)),1,0)+IF(ISNUMBER(SEARCH(MAP_TNHN!B32&amp;" (2 tiết)",'PL12'!$S$9)),1,0)+IF(ISNUMBER(SEARCH(MAP_TNHN!B32&amp;" (2 tiết)",'PL12'!$S$10)),1,0)+IF(ISNUMBER(SEARCH(MAP_TNHN!B32&amp;" (2 tiết)",'PL12'!$S$11)),1,0)+IF(ISNUMBER(SEARCH(MAP_TNHN!B32&amp;" (2 tiết)",'PL12'!$S$12)),1,0)+IF(ISNUMBER(SEARCH(MAP_TNHN!B32&amp;" (2 tiết)",'PL12'!$S$13)),1,0)+IF(ISNUMBER(SEARCH(MAP_TNHN!B32&amp;" (2 tiết)",'PL12'!$S$14)),1,0)+IF(ISNUMBER(SEARCH(MAP_TNHN!B32&amp;" (2 tiết)",'PL12'!$S$15)),1,0)+IF(ISNUMBER(SEARCH(MAP_TNHN!B32&amp;" (2 tiết)",'PL12'!$S$16)),1,0)+IF(ISNUMBER(SEARCH(MAP_TNHN!B32&amp;" (2 tiết)",'PL12'!$S$17)),1,0)+IF(ISNUMBER(SEARCH(MAP_TNHN!B32&amp;" (2 tiết)",'PL12'!$S$18)),1,0)+IF(ISNUMBER(SEARCH(MAP_TNHN!B32&amp;" (2 tiết)",'PL12'!$S$19)),1,0))))</f>
        <v>0</v>
      </c>
      <c r="AX31">
        <f>IF(N31="",0,IF(MAP_TNHN!C32="",N31*3,N31*3-2*(IF(ISNUMBER(SEARCH(MAP_TNHN!C32&amp;" (1 tiết)",'PL11'!$S$5)),1,0)+IF(ISNUMBER(SEARCH(MAP_TNHN!C32&amp;" (1 tiết)",'PL11'!$S$6)),1,0)+IF(ISNUMBER(SEARCH(MAP_TNHN!C32&amp;" (1 tiết)",'PL11'!$S$7)),1,0)+IF(ISNUMBER(SEARCH(MAP_TNHN!C32&amp;" (1 tiết)",'PL11'!$S$8)),1,0)+IF(ISNUMBER(SEARCH(MAP_TNHN!C32&amp;" (1 tiết)",'PL11'!$S$9)),1,0)+IF(ISNUMBER(SEARCH(MAP_TNHN!C32&amp;" (1 tiết)",'PL11'!$S$10)),1,0)+IF(ISNUMBER(SEARCH(MAP_TNHN!C32&amp;" (1 tiết)",'PL11'!$S$11)),1,0)+IF(ISNUMBER(SEARCH(MAP_TNHN!C32&amp;" (1 tiết)",'PL11'!$S$12)),1,0)+IF(ISNUMBER(SEARCH(MAP_TNHN!C32&amp;" (1 tiết)",'PL11'!$S$13)),1,0)+IF(ISNUMBER(SEARCH(MAP_TNHN!C32&amp;" (1 tiết)",'PL11'!$S$14)),1,0)+IF(ISNUMBER(SEARCH(MAP_TNHN!C32&amp;" (1 tiết)",'PL11'!$S$15)),1,0)+IF(ISNUMBER(SEARCH(MAP_TNHN!C32&amp;" (1 tiết)",'PL11'!$S$16)),1,0)+IF(ISNUMBER(SEARCH(MAP_TNHN!C32&amp;" (1 tiết)",'PL11'!$S$17)),1,0)+IF(ISNUMBER(SEARCH(MAP_TNHN!C32&amp;" (1 tiết)",'PL11'!$S$18)),1,0))-(IF(ISNUMBER(SEARCH(MAP_TNHN!C32&amp;" (2 tiết)",'PL11'!$S$5)),1,0)+IF(ISNUMBER(SEARCH(MAP_TNHN!C32&amp;" (2 tiết)",'PL11'!$S$6)),1,0)+IF(ISNUMBER(SEARCH(MAP_TNHN!C32&amp;" (2 tiết)",'PL11'!$S$7)),1,0)+IF(ISNUMBER(SEARCH(MAP_TNHN!C32&amp;" (2 tiết)",'PL11'!$S$8)),1,0)+IF(ISNUMBER(SEARCH(MAP_TNHN!C32&amp;" (2 tiết)",'PL11'!$S$9)),1,0)+IF(ISNUMBER(SEARCH(MAP_TNHN!C32&amp;" (2 tiết)",'PL11'!$S$10)),1,0)+IF(ISNUMBER(SEARCH(MAP_TNHN!C32&amp;" (2 tiết)",'PL11'!$S$11)),1,0)+IF(ISNUMBER(SEARCH(MAP_TNHN!C32&amp;" (2 tiết)",'PL11'!$S$12)),1,0)+IF(ISNUMBER(SEARCH(MAP_TNHN!C32&amp;" (2 tiết)",'PL11'!$S$13)),1,0)+IF(ISNUMBER(SEARCH(MAP_TNHN!C32&amp;" (2 tiết)",'PL11'!$S$14)),1,0)+IF(ISNUMBER(SEARCH(MAP_TNHN!C32&amp;" (2 tiết)",'PL11'!$S$15)),1,0)+IF(ISNUMBER(SEARCH(MAP_TNHN!C32&amp;" (2 tiết)",'PL11'!$S$16)),1,0)+IF(ISNUMBER(SEARCH(MAP_TNHN!C32&amp;" (2 tiết)",'PL11'!$S$17)),1,0)+IF(ISNUMBER(SEARCH(MAP_TNHN!C32&amp;" (2 tiết)",'PL11'!$S$18)),1,0))))</f>
        <v>0</v>
      </c>
      <c r="AY31">
        <f>IF(S31="",0,IF(MAP_TNHN!D32="",S31*3,S31*3-2*(IF(ISNUMBER(SEARCH(MAP_TNHN!D32&amp;" (1 tiết)",'PL10'!$S$5)),1,0)+IF(ISNUMBER(SEARCH(MAP_TNHN!D32&amp;" (1 tiết)",'PL10'!$S$6)),1,0)+IF(ISNUMBER(SEARCH(MAP_TNHN!D32&amp;" (1 tiết)",'PL10'!$S$7)),1,0)+IF(ISNUMBER(SEARCH(MAP_TNHN!D32&amp;" (1 tiết)",'PL10'!$S$8)),1,0)+IF(ISNUMBER(SEARCH(MAP_TNHN!D32&amp;" (1 tiết)",'PL10'!$S$9)),1,0)+IF(ISNUMBER(SEARCH(MAP_TNHN!D32&amp;" (1 tiết)",'PL10'!$S$10)),1,0)+IF(ISNUMBER(SEARCH(MAP_TNHN!D32&amp;" (1 tiết)",'PL10'!$S$11)),1,0)+IF(ISNUMBER(SEARCH(MAP_TNHN!D32&amp;" (1 tiết)",'PL10'!$S$12)),1,0)+IF(ISNUMBER(SEARCH(MAP_TNHN!D32&amp;" (1 tiết)",'PL10'!$S$13)),1,0)+IF(ISNUMBER(SEARCH(MAP_TNHN!D32&amp;" (1 tiết)",'PL10'!$S$14)),1,0)+IF(ISNUMBER(SEARCH(MAP_TNHN!D32&amp;" (1 tiết)",'PL10'!$S$15)),1,0)+IF(ISNUMBER(SEARCH(MAP_TNHN!D32&amp;" (1 tiết)",'PL10'!$S$16)),1,0)+IF(ISNUMBER(SEARCH(MAP_TNHN!D32&amp;" (1 tiết)",'PL10'!$S$17)),1,0)+IF(ISNUMBER(SEARCH(MAP_TNHN!D32&amp;" (1 tiết)",'PL10'!$S$18)),1,0)+IF(ISNUMBER(SEARCH(MAP_TNHN!D32&amp;" (1 tiết)",'PL10'!$S$19)),1,0)+IF(ISNUMBER(SEARCH(MAP_TNHN!D32&amp;" (1 tiết)",'PL10'!$S$20)),1,0)+IF(ISNUMBER(SEARCH(MAP_TNHN!D32&amp;" (1 tiết)",'PL10'!$S$21)),1,0)+IF(ISNUMBER(SEARCH(MAP_TNHN!D32&amp;" (1 tiết)",'PL10'!$S$22)),1,0)+IF(ISNUMBER(SEARCH(MAP_TNHN!D32&amp;" (1 tiết)",'PL10'!$S$23)),1,0)+IF(ISNUMBER(SEARCH(MAP_TNHN!D32&amp;" (1 tiết)",'PL10'!$S$24)),1,0)+IF(ISNUMBER(SEARCH(MAP_TNHN!D32&amp;" (1 tiết)",'PL10'!$S$25)),1,0))-(IF(ISNUMBER(SEARCH(MAP_TNHN!D32&amp;" (2 tiết)",'PL10'!$S$5)),1,0)+IF(ISNUMBER(SEARCH(MAP_TNHN!D32&amp;" (2 tiết)",'PL10'!$S$6)),1,0)+IF(ISNUMBER(SEARCH(MAP_TNHN!D32&amp;" (2 tiết)",'PL10'!$S$7)),1,0)+IF(ISNUMBER(SEARCH(MAP_TNHN!D32&amp;" (2 tiết)",'PL10'!$S$8)),1,0)+IF(ISNUMBER(SEARCH(MAP_TNHN!D32&amp;" (2 tiết)",'PL10'!$S$9)),1,0)+IF(ISNUMBER(SEARCH(MAP_TNHN!D32&amp;" (2 tiết)",'PL10'!$S$10)),1,0)+IF(ISNUMBER(SEARCH(MAP_TNHN!D32&amp;" (2 tiết)",'PL10'!$S$11)),1,0)+IF(ISNUMBER(SEARCH(MAP_TNHN!D32&amp;" (2 tiết)",'PL10'!$S$12)),1,0)+IF(ISNUMBER(SEARCH(MAP_TNHN!D32&amp;" (2 tiết)",'PL10'!$S$13)),1,0)+IF(ISNUMBER(SEARCH(MAP_TNHN!D32&amp;" (2 tiết)",'PL10'!$S$14)),1,0)+IF(ISNUMBER(SEARCH(MAP_TNHN!D32&amp;" (2 tiết)",'PL10'!$S$15)),1,0)+IF(ISNUMBER(SEARCH(MAP_TNHN!D32&amp;" (2 tiết)",'PL10'!$S$16)),1,0)+IF(ISNUMBER(SEARCH(MAP_TNHN!D32&amp;" (2 tiết)",'PL10'!$S$17)),1,0)+IF(ISNUMBER(SEARCH(MAP_TNHN!D32&amp;" (2 tiết)",'PL10'!$S$18)),1,0)+IF(ISNUMBER(SEARCH(MAP_TNHN!D32&amp;" (2 tiết)",'PL10'!$S$19)),1,0)+IF(ISNUMBER(SEARCH(MAP_TNHN!D32&amp;" (2 tiết)",'PL10'!$S$20)),1,0)+IF(ISNUMBER(SEARCH(MAP_TNHN!D32&amp;" (2 tiết)",'PL10'!$S$21)),1,0)+IF(ISNUMBER(SEARCH(MAP_TNHN!D32&amp;" (2 tiết)",'PL10'!$S$22)),1,0)+IF(ISNUMBER(SEARCH(MAP_TNHN!D32&amp;" (2 tiết)",'PL10'!$S$23)),1,0)+IF(ISNUMBER(SEARCH(MAP_TNHN!D32&amp;" (2 tiết)",'PL10'!$S$24)),1,0)+IF(ISNUMBER(SEARCH(MAP_TNHN!D32&amp;" (2 tiết)",'PL10'!$S$25)),1,0))))</f>
        <v>0</v>
      </c>
    </row>
    <row r="32" spans="1:51" ht="15.5" x14ac:dyDescent="0.35">
      <c r="A32" s="313"/>
      <c r="B32" s="8">
        <v>2</v>
      </c>
      <c r="C32" s="13" t="s">
        <v>95</v>
      </c>
      <c r="D32" s="20"/>
      <c r="E32" s="224">
        <v>3</v>
      </c>
      <c r="F32" s="10"/>
      <c r="G32" s="10"/>
      <c r="H32" s="10"/>
      <c r="I32" s="159"/>
      <c r="J32" s="10"/>
      <c r="K32" s="224">
        <v>2</v>
      </c>
      <c r="L32" s="6"/>
      <c r="M32" s="6"/>
      <c r="N32" s="139"/>
      <c r="O32" s="6"/>
      <c r="P32" s="224">
        <v>3</v>
      </c>
      <c r="Q32" s="42"/>
      <c r="R32" s="42"/>
      <c r="S32" s="138"/>
      <c r="T32" s="42"/>
      <c r="U32" s="11">
        <f>E32*'Phân tiết'!$M$9+G32*('Phân tiết'!$M$21/3)+H32*'Phân tiết'!$L$26+AW32+J32*'Phân tiết'!$M$20+K32*'Phân tiết'!$I$9+M32*('Phân tiết'!$I$21/3)+AX32+O32*'Phân tiết'!$I$20+P32*'Phân tiết'!$E$9+R32*('Phân tiết'!$E$21/3)+AY32+T32*'Phân tiết'!$E$20</f>
        <v>16</v>
      </c>
      <c r="V32" s="8">
        <f t="shared" si="7"/>
        <v>0</v>
      </c>
      <c r="W32" s="6"/>
      <c r="X32" s="6"/>
      <c r="Y32" s="8"/>
      <c r="Z32" s="43">
        <f t="shared" si="8"/>
        <v>16</v>
      </c>
      <c r="AA32" s="34">
        <f t="shared" si="9"/>
        <v>-1</v>
      </c>
      <c r="AB32" s="8"/>
      <c r="AC32" s="8"/>
      <c r="AD32" s="6">
        <f t="shared" si="3"/>
        <v>0</v>
      </c>
      <c r="AE32" s="8"/>
      <c r="AF32" s="8"/>
      <c r="AG32" s="6">
        <f t="shared" si="5"/>
        <v>0</v>
      </c>
      <c r="AH32" s="8"/>
      <c r="AI32" s="8"/>
      <c r="AJ32" s="6">
        <f t="shared" si="10"/>
        <v>0</v>
      </c>
      <c r="AK32" s="6">
        <f t="shared" si="6"/>
        <v>-33</v>
      </c>
      <c r="AL32" s="8">
        <v>1</v>
      </c>
      <c r="AM32" s="8"/>
      <c r="AN32" s="8">
        <v>2</v>
      </c>
      <c r="AO32" s="8">
        <v>1</v>
      </c>
      <c r="AP32" s="8"/>
      <c r="AQ32" s="8">
        <v>1</v>
      </c>
      <c r="AR32" s="8">
        <v>1</v>
      </c>
      <c r="AS32" s="8">
        <v>2</v>
      </c>
      <c r="AT32" s="8">
        <v>2</v>
      </c>
      <c r="AU32" s="8"/>
      <c r="AV32" s="8"/>
      <c r="AW32">
        <f>IF(I32="",0,IF(MAP_TNHN!B33="",I32*3,I32*3-2*(IF(ISNUMBER(SEARCH(MAP_TNHN!B33&amp;" (1 tiết)",'PL12'!$S$5)),1,0)+IF(ISNUMBER(SEARCH(MAP_TNHN!B33&amp;" (1 tiết)",'PL12'!$S$6)),1,0)+IF(ISNUMBER(SEARCH(MAP_TNHN!B33&amp;" (1 tiết)",'PL12'!$S$7)),1,0)+IF(ISNUMBER(SEARCH(MAP_TNHN!B33&amp;" (1 tiết)",'PL12'!$S$8)),1,0)+IF(ISNUMBER(SEARCH(MAP_TNHN!B33&amp;" (1 tiết)",'PL12'!$S$9)),1,0)+IF(ISNUMBER(SEARCH(MAP_TNHN!B33&amp;" (1 tiết)",'PL12'!$S$10)),1,0)+IF(ISNUMBER(SEARCH(MAP_TNHN!B33&amp;" (1 tiết)",'PL12'!$S$11)),1,0)+IF(ISNUMBER(SEARCH(MAP_TNHN!B33&amp;" (1 tiết)",'PL12'!$S$12)),1,0)+IF(ISNUMBER(SEARCH(MAP_TNHN!B33&amp;" (1 tiết)",'PL12'!$S$13)),1,0)+IF(ISNUMBER(SEARCH(MAP_TNHN!B33&amp;" (1 tiết)",'PL12'!$S$14)),1,0)+IF(ISNUMBER(SEARCH(MAP_TNHN!B33&amp;" (1 tiết)",'PL12'!$S$15)),1,0)+IF(ISNUMBER(SEARCH(MAP_TNHN!B33&amp;" (1 tiết)",'PL12'!$S$16)),1,0)+IF(ISNUMBER(SEARCH(MAP_TNHN!B33&amp;" (1 tiết)",'PL12'!$S$17)),1,0)+IF(ISNUMBER(SEARCH(MAP_TNHN!B33&amp;" (1 tiết)",'PL12'!$S$18)),1,0)+IF(ISNUMBER(SEARCH(MAP_TNHN!B33&amp;" (1 tiết)",'PL12'!$S$19)),1,0))-(IF(ISNUMBER(SEARCH(MAP_TNHN!B33&amp;" (2 tiết)",'PL12'!$S$5)),1,0)+IF(ISNUMBER(SEARCH(MAP_TNHN!B33&amp;" (2 tiết)",'PL12'!$S$6)),1,0)+IF(ISNUMBER(SEARCH(MAP_TNHN!B33&amp;" (2 tiết)",'PL12'!$S$7)),1,0)+IF(ISNUMBER(SEARCH(MAP_TNHN!B33&amp;" (2 tiết)",'PL12'!$S$8)),1,0)+IF(ISNUMBER(SEARCH(MAP_TNHN!B33&amp;" (2 tiết)",'PL12'!$S$9)),1,0)+IF(ISNUMBER(SEARCH(MAP_TNHN!B33&amp;" (2 tiết)",'PL12'!$S$10)),1,0)+IF(ISNUMBER(SEARCH(MAP_TNHN!B33&amp;" (2 tiết)",'PL12'!$S$11)),1,0)+IF(ISNUMBER(SEARCH(MAP_TNHN!B33&amp;" (2 tiết)",'PL12'!$S$12)),1,0)+IF(ISNUMBER(SEARCH(MAP_TNHN!B33&amp;" (2 tiết)",'PL12'!$S$13)),1,0)+IF(ISNUMBER(SEARCH(MAP_TNHN!B33&amp;" (2 tiết)",'PL12'!$S$14)),1,0)+IF(ISNUMBER(SEARCH(MAP_TNHN!B33&amp;" (2 tiết)",'PL12'!$S$15)),1,0)+IF(ISNUMBER(SEARCH(MAP_TNHN!B33&amp;" (2 tiết)",'PL12'!$S$16)),1,0)+IF(ISNUMBER(SEARCH(MAP_TNHN!B33&amp;" (2 tiết)",'PL12'!$S$17)),1,0)+IF(ISNUMBER(SEARCH(MAP_TNHN!B33&amp;" (2 tiết)",'PL12'!$S$18)),1,0)+IF(ISNUMBER(SEARCH(MAP_TNHN!B33&amp;" (2 tiết)",'PL12'!$S$19)),1,0))))</f>
        <v>0</v>
      </c>
      <c r="AX32">
        <f>IF(N32="",0,IF(MAP_TNHN!C33="",N32*3,N32*3-2*(IF(ISNUMBER(SEARCH(MAP_TNHN!C33&amp;" (1 tiết)",'PL11'!$S$5)),1,0)+IF(ISNUMBER(SEARCH(MAP_TNHN!C33&amp;" (1 tiết)",'PL11'!$S$6)),1,0)+IF(ISNUMBER(SEARCH(MAP_TNHN!C33&amp;" (1 tiết)",'PL11'!$S$7)),1,0)+IF(ISNUMBER(SEARCH(MAP_TNHN!C33&amp;" (1 tiết)",'PL11'!$S$8)),1,0)+IF(ISNUMBER(SEARCH(MAP_TNHN!C33&amp;" (1 tiết)",'PL11'!$S$9)),1,0)+IF(ISNUMBER(SEARCH(MAP_TNHN!C33&amp;" (1 tiết)",'PL11'!$S$10)),1,0)+IF(ISNUMBER(SEARCH(MAP_TNHN!C33&amp;" (1 tiết)",'PL11'!$S$11)),1,0)+IF(ISNUMBER(SEARCH(MAP_TNHN!C33&amp;" (1 tiết)",'PL11'!$S$12)),1,0)+IF(ISNUMBER(SEARCH(MAP_TNHN!C33&amp;" (1 tiết)",'PL11'!$S$13)),1,0)+IF(ISNUMBER(SEARCH(MAP_TNHN!C33&amp;" (1 tiết)",'PL11'!$S$14)),1,0)+IF(ISNUMBER(SEARCH(MAP_TNHN!C33&amp;" (1 tiết)",'PL11'!$S$15)),1,0)+IF(ISNUMBER(SEARCH(MAP_TNHN!C33&amp;" (1 tiết)",'PL11'!$S$16)),1,0)+IF(ISNUMBER(SEARCH(MAP_TNHN!C33&amp;" (1 tiết)",'PL11'!$S$17)),1,0)+IF(ISNUMBER(SEARCH(MAP_TNHN!C33&amp;" (1 tiết)",'PL11'!$S$18)),1,0))-(IF(ISNUMBER(SEARCH(MAP_TNHN!C33&amp;" (2 tiết)",'PL11'!$S$5)),1,0)+IF(ISNUMBER(SEARCH(MAP_TNHN!C33&amp;" (2 tiết)",'PL11'!$S$6)),1,0)+IF(ISNUMBER(SEARCH(MAP_TNHN!C33&amp;" (2 tiết)",'PL11'!$S$7)),1,0)+IF(ISNUMBER(SEARCH(MAP_TNHN!C33&amp;" (2 tiết)",'PL11'!$S$8)),1,0)+IF(ISNUMBER(SEARCH(MAP_TNHN!C33&amp;" (2 tiết)",'PL11'!$S$9)),1,0)+IF(ISNUMBER(SEARCH(MAP_TNHN!C33&amp;" (2 tiết)",'PL11'!$S$10)),1,0)+IF(ISNUMBER(SEARCH(MAP_TNHN!C33&amp;" (2 tiết)",'PL11'!$S$11)),1,0)+IF(ISNUMBER(SEARCH(MAP_TNHN!C33&amp;" (2 tiết)",'PL11'!$S$12)),1,0)+IF(ISNUMBER(SEARCH(MAP_TNHN!C33&amp;" (2 tiết)",'PL11'!$S$13)),1,0)+IF(ISNUMBER(SEARCH(MAP_TNHN!C33&amp;" (2 tiết)",'PL11'!$S$14)),1,0)+IF(ISNUMBER(SEARCH(MAP_TNHN!C33&amp;" (2 tiết)",'PL11'!$S$15)),1,0)+IF(ISNUMBER(SEARCH(MAP_TNHN!C33&amp;" (2 tiết)",'PL11'!$S$16)),1,0)+IF(ISNUMBER(SEARCH(MAP_TNHN!C33&amp;" (2 tiết)",'PL11'!$S$17)),1,0)+IF(ISNUMBER(SEARCH(MAP_TNHN!C33&amp;" (2 tiết)",'PL11'!$S$18)),1,0))))</f>
        <v>0</v>
      </c>
      <c r="AY32">
        <f>IF(S32="",0,IF(MAP_TNHN!D33="",S32*3,S32*3-2*(IF(ISNUMBER(SEARCH(MAP_TNHN!D33&amp;" (1 tiết)",'PL10'!$S$5)),1,0)+IF(ISNUMBER(SEARCH(MAP_TNHN!D33&amp;" (1 tiết)",'PL10'!$S$6)),1,0)+IF(ISNUMBER(SEARCH(MAP_TNHN!D33&amp;" (1 tiết)",'PL10'!$S$7)),1,0)+IF(ISNUMBER(SEARCH(MAP_TNHN!D33&amp;" (1 tiết)",'PL10'!$S$8)),1,0)+IF(ISNUMBER(SEARCH(MAP_TNHN!D33&amp;" (1 tiết)",'PL10'!$S$9)),1,0)+IF(ISNUMBER(SEARCH(MAP_TNHN!D33&amp;" (1 tiết)",'PL10'!$S$10)),1,0)+IF(ISNUMBER(SEARCH(MAP_TNHN!D33&amp;" (1 tiết)",'PL10'!$S$11)),1,0)+IF(ISNUMBER(SEARCH(MAP_TNHN!D33&amp;" (1 tiết)",'PL10'!$S$12)),1,0)+IF(ISNUMBER(SEARCH(MAP_TNHN!D33&amp;" (1 tiết)",'PL10'!$S$13)),1,0)+IF(ISNUMBER(SEARCH(MAP_TNHN!D33&amp;" (1 tiết)",'PL10'!$S$14)),1,0)+IF(ISNUMBER(SEARCH(MAP_TNHN!D33&amp;" (1 tiết)",'PL10'!$S$15)),1,0)+IF(ISNUMBER(SEARCH(MAP_TNHN!D33&amp;" (1 tiết)",'PL10'!$S$16)),1,0)+IF(ISNUMBER(SEARCH(MAP_TNHN!D33&amp;" (1 tiết)",'PL10'!$S$17)),1,0)+IF(ISNUMBER(SEARCH(MAP_TNHN!D33&amp;" (1 tiết)",'PL10'!$S$18)),1,0)+IF(ISNUMBER(SEARCH(MAP_TNHN!D33&amp;" (1 tiết)",'PL10'!$S$19)),1,0)+IF(ISNUMBER(SEARCH(MAP_TNHN!D33&amp;" (1 tiết)",'PL10'!$S$20)),1,0)+IF(ISNUMBER(SEARCH(MAP_TNHN!D33&amp;" (1 tiết)",'PL10'!$S$21)),1,0)+IF(ISNUMBER(SEARCH(MAP_TNHN!D33&amp;" (1 tiết)",'PL10'!$S$22)),1,0)+IF(ISNUMBER(SEARCH(MAP_TNHN!D33&amp;" (1 tiết)",'PL10'!$S$23)),1,0)+IF(ISNUMBER(SEARCH(MAP_TNHN!D33&amp;" (1 tiết)",'PL10'!$S$24)),1,0)+IF(ISNUMBER(SEARCH(MAP_TNHN!D33&amp;" (1 tiết)",'PL10'!$S$25)),1,0))-(IF(ISNUMBER(SEARCH(MAP_TNHN!D33&amp;" (2 tiết)",'PL10'!$S$5)),1,0)+IF(ISNUMBER(SEARCH(MAP_TNHN!D33&amp;" (2 tiết)",'PL10'!$S$6)),1,0)+IF(ISNUMBER(SEARCH(MAP_TNHN!D33&amp;" (2 tiết)",'PL10'!$S$7)),1,0)+IF(ISNUMBER(SEARCH(MAP_TNHN!D33&amp;" (2 tiết)",'PL10'!$S$8)),1,0)+IF(ISNUMBER(SEARCH(MAP_TNHN!D33&amp;" (2 tiết)",'PL10'!$S$9)),1,0)+IF(ISNUMBER(SEARCH(MAP_TNHN!D33&amp;" (2 tiết)",'PL10'!$S$10)),1,0)+IF(ISNUMBER(SEARCH(MAP_TNHN!D33&amp;" (2 tiết)",'PL10'!$S$11)),1,0)+IF(ISNUMBER(SEARCH(MAP_TNHN!D33&amp;" (2 tiết)",'PL10'!$S$12)),1,0)+IF(ISNUMBER(SEARCH(MAP_TNHN!D33&amp;" (2 tiết)",'PL10'!$S$13)),1,0)+IF(ISNUMBER(SEARCH(MAP_TNHN!D33&amp;" (2 tiết)",'PL10'!$S$14)),1,0)+IF(ISNUMBER(SEARCH(MAP_TNHN!D33&amp;" (2 tiết)",'PL10'!$S$15)),1,0)+IF(ISNUMBER(SEARCH(MAP_TNHN!D33&amp;" (2 tiết)",'PL10'!$S$16)),1,0)+IF(ISNUMBER(SEARCH(MAP_TNHN!D33&amp;" (2 tiết)",'PL10'!$S$17)),1,0)+IF(ISNUMBER(SEARCH(MAP_TNHN!D33&amp;" (2 tiết)",'PL10'!$S$18)),1,0)+IF(ISNUMBER(SEARCH(MAP_TNHN!D33&amp;" (2 tiết)",'PL10'!$S$19)),1,0)+IF(ISNUMBER(SEARCH(MAP_TNHN!D33&amp;" (2 tiết)",'PL10'!$S$20)),1,0)+IF(ISNUMBER(SEARCH(MAP_TNHN!D33&amp;" (2 tiết)",'PL10'!$S$21)),1,0)+IF(ISNUMBER(SEARCH(MAP_TNHN!D33&amp;" (2 tiết)",'PL10'!$S$22)),1,0)+IF(ISNUMBER(SEARCH(MAP_TNHN!D33&amp;" (2 tiết)",'PL10'!$S$23)),1,0)+IF(ISNUMBER(SEARCH(MAP_TNHN!D33&amp;" (2 tiết)",'PL10'!$S$24)),1,0)+IF(ISNUMBER(SEARCH(MAP_TNHN!D33&amp;" (2 tiết)",'PL10'!$S$25)),1,0))))</f>
        <v>0</v>
      </c>
    </row>
    <row r="33" spans="1:51" ht="15.5" x14ac:dyDescent="0.35">
      <c r="A33" s="313"/>
      <c r="B33" s="8">
        <v>3</v>
      </c>
      <c r="C33" s="13" t="s">
        <v>96</v>
      </c>
      <c r="D33" s="20"/>
      <c r="E33" s="48">
        <v>3</v>
      </c>
      <c r="F33" s="10"/>
      <c r="G33" s="10"/>
      <c r="H33" s="10"/>
      <c r="I33" s="159"/>
      <c r="J33" s="10"/>
      <c r="K33" s="49">
        <v>3</v>
      </c>
      <c r="L33" s="6"/>
      <c r="M33" s="6"/>
      <c r="N33" s="139"/>
      <c r="O33" s="6"/>
      <c r="P33" s="50">
        <v>3</v>
      </c>
      <c r="Q33" s="42"/>
      <c r="R33" s="42"/>
      <c r="S33" s="138"/>
      <c r="T33" s="42"/>
      <c r="U33" s="11">
        <f>E33*'Phân tiết'!$M$9+G33*('Phân tiết'!$M$21/3)+H33*'Phân tiết'!$L$26+AW33+J33*'Phân tiết'!$M$20+K33*'Phân tiết'!$I$9+M33*('Phân tiết'!$I$21/3)+AX33+O33*'Phân tiết'!$I$20+P33*'Phân tiết'!$E$9+R33*('Phân tiết'!$E$21/3)+AY33+T33*'Phân tiết'!$E$20</f>
        <v>18</v>
      </c>
      <c r="V33" s="8">
        <f t="shared" si="7"/>
        <v>0</v>
      </c>
      <c r="W33" s="6"/>
      <c r="X33" s="6" t="s">
        <v>63</v>
      </c>
      <c r="Y33" s="8">
        <v>1</v>
      </c>
      <c r="Z33" s="43">
        <f t="shared" si="8"/>
        <v>19</v>
      </c>
      <c r="AA33" s="34">
        <f t="shared" si="9"/>
        <v>2</v>
      </c>
      <c r="AB33" s="8"/>
      <c r="AC33" s="8"/>
      <c r="AD33" s="6">
        <f t="shared" si="3"/>
        <v>0</v>
      </c>
      <c r="AE33" s="8"/>
      <c r="AF33" s="8"/>
      <c r="AG33" s="6">
        <f t="shared" si="5"/>
        <v>0</v>
      </c>
      <c r="AH33" s="8"/>
      <c r="AI33" s="8"/>
      <c r="AJ33" s="6">
        <f t="shared" si="10"/>
        <v>0</v>
      </c>
      <c r="AK33" s="6">
        <f t="shared" si="6"/>
        <v>66</v>
      </c>
      <c r="AL33" s="8">
        <v>1</v>
      </c>
      <c r="AM33" s="8"/>
      <c r="AN33" s="8">
        <v>2</v>
      </c>
      <c r="AO33" s="8">
        <v>1</v>
      </c>
      <c r="AP33" s="8">
        <v>1</v>
      </c>
      <c r="AQ33" s="8">
        <v>1</v>
      </c>
      <c r="AR33" s="8">
        <v>1</v>
      </c>
      <c r="AS33" s="8">
        <v>2</v>
      </c>
      <c r="AT33" s="8">
        <v>2</v>
      </c>
      <c r="AU33" s="8"/>
      <c r="AV33" s="8"/>
      <c r="AW33">
        <f>IF(I33="",0,IF(MAP_TNHN!B34="",I33*3,I33*3-2*(IF(ISNUMBER(SEARCH(MAP_TNHN!B34&amp;" (1 tiết)",'PL12'!$S$5)),1,0)+IF(ISNUMBER(SEARCH(MAP_TNHN!B34&amp;" (1 tiết)",'PL12'!$S$6)),1,0)+IF(ISNUMBER(SEARCH(MAP_TNHN!B34&amp;" (1 tiết)",'PL12'!$S$7)),1,0)+IF(ISNUMBER(SEARCH(MAP_TNHN!B34&amp;" (1 tiết)",'PL12'!$S$8)),1,0)+IF(ISNUMBER(SEARCH(MAP_TNHN!B34&amp;" (1 tiết)",'PL12'!$S$9)),1,0)+IF(ISNUMBER(SEARCH(MAP_TNHN!B34&amp;" (1 tiết)",'PL12'!$S$10)),1,0)+IF(ISNUMBER(SEARCH(MAP_TNHN!B34&amp;" (1 tiết)",'PL12'!$S$11)),1,0)+IF(ISNUMBER(SEARCH(MAP_TNHN!B34&amp;" (1 tiết)",'PL12'!$S$12)),1,0)+IF(ISNUMBER(SEARCH(MAP_TNHN!B34&amp;" (1 tiết)",'PL12'!$S$13)),1,0)+IF(ISNUMBER(SEARCH(MAP_TNHN!B34&amp;" (1 tiết)",'PL12'!$S$14)),1,0)+IF(ISNUMBER(SEARCH(MAP_TNHN!B34&amp;" (1 tiết)",'PL12'!$S$15)),1,0)+IF(ISNUMBER(SEARCH(MAP_TNHN!B34&amp;" (1 tiết)",'PL12'!$S$16)),1,0)+IF(ISNUMBER(SEARCH(MAP_TNHN!B34&amp;" (1 tiết)",'PL12'!$S$17)),1,0)+IF(ISNUMBER(SEARCH(MAP_TNHN!B34&amp;" (1 tiết)",'PL12'!$S$18)),1,0)+IF(ISNUMBER(SEARCH(MAP_TNHN!B34&amp;" (1 tiết)",'PL12'!$S$19)),1,0))-(IF(ISNUMBER(SEARCH(MAP_TNHN!B34&amp;" (2 tiết)",'PL12'!$S$5)),1,0)+IF(ISNUMBER(SEARCH(MAP_TNHN!B34&amp;" (2 tiết)",'PL12'!$S$6)),1,0)+IF(ISNUMBER(SEARCH(MAP_TNHN!B34&amp;" (2 tiết)",'PL12'!$S$7)),1,0)+IF(ISNUMBER(SEARCH(MAP_TNHN!B34&amp;" (2 tiết)",'PL12'!$S$8)),1,0)+IF(ISNUMBER(SEARCH(MAP_TNHN!B34&amp;" (2 tiết)",'PL12'!$S$9)),1,0)+IF(ISNUMBER(SEARCH(MAP_TNHN!B34&amp;" (2 tiết)",'PL12'!$S$10)),1,0)+IF(ISNUMBER(SEARCH(MAP_TNHN!B34&amp;" (2 tiết)",'PL12'!$S$11)),1,0)+IF(ISNUMBER(SEARCH(MAP_TNHN!B34&amp;" (2 tiết)",'PL12'!$S$12)),1,0)+IF(ISNUMBER(SEARCH(MAP_TNHN!B34&amp;" (2 tiết)",'PL12'!$S$13)),1,0)+IF(ISNUMBER(SEARCH(MAP_TNHN!B34&amp;" (2 tiết)",'PL12'!$S$14)),1,0)+IF(ISNUMBER(SEARCH(MAP_TNHN!B34&amp;" (2 tiết)",'PL12'!$S$15)),1,0)+IF(ISNUMBER(SEARCH(MAP_TNHN!B34&amp;" (2 tiết)",'PL12'!$S$16)),1,0)+IF(ISNUMBER(SEARCH(MAP_TNHN!B34&amp;" (2 tiết)",'PL12'!$S$17)),1,0)+IF(ISNUMBER(SEARCH(MAP_TNHN!B34&amp;" (2 tiết)",'PL12'!$S$18)),1,0)+IF(ISNUMBER(SEARCH(MAP_TNHN!B34&amp;" (2 tiết)",'PL12'!$S$19)),1,0))))</f>
        <v>0</v>
      </c>
      <c r="AX33">
        <f>IF(N33="",0,IF(MAP_TNHN!C34="",N33*3,N33*3-2*(IF(ISNUMBER(SEARCH(MAP_TNHN!C34&amp;" (1 tiết)",'PL11'!$S$5)),1,0)+IF(ISNUMBER(SEARCH(MAP_TNHN!C34&amp;" (1 tiết)",'PL11'!$S$6)),1,0)+IF(ISNUMBER(SEARCH(MAP_TNHN!C34&amp;" (1 tiết)",'PL11'!$S$7)),1,0)+IF(ISNUMBER(SEARCH(MAP_TNHN!C34&amp;" (1 tiết)",'PL11'!$S$8)),1,0)+IF(ISNUMBER(SEARCH(MAP_TNHN!C34&amp;" (1 tiết)",'PL11'!$S$9)),1,0)+IF(ISNUMBER(SEARCH(MAP_TNHN!C34&amp;" (1 tiết)",'PL11'!$S$10)),1,0)+IF(ISNUMBER(SEARCH(MAP_TNHN!C34&amp;" (1 tiết)",'PL11'!$S$11)),1,0)+IF(ISNUMBER(SEARCH(MAP_TNHN!C34&amp;" (1 tiết)",'PL11'!$S$12)),1,0)+IF(ISNUMBER(SEARCH(MAP_TNHN!C34&amp;" (1 tiết)",'PL11'!$S$13)),1,0)+IF(ISNUMBER(SEARCH(MAP_TNHN!C34&amp;" (1 tiết)",'PL11'!$S$14)),1,0)+IF(ISNUMBER(SEARCH(MAP_TNHN!C34&amp;" (1 tiết)",'PL11'!$S$15)),1,0)+IF(ISNUMBER(SEARCH(MAP_TNHN!C34&amp;" (1 tiết)",'PL11'!$S$16)),1,0)+IF(ISNUMBER(SEARCH(MAP_TNHN!C34&amp;" (1 tiết)",'PL11'!$S$17)),1,0)+IF(ISNUMBER(SEARCH(MAP_TNHN!C34&amp;" (1 tiết)",'PL11'!$S$18)),1,0))-(IF(ISNUMBER(SEARCH(MAP_TNHN!C34&amp;" (2 tiết)",'PL11'!$S$5)),1,0)+IF(ISNUMBER(SEARCH(MAP_TNHN!C34&amp;" (2 tiết)",'PL11'!$S$6)),1,0)+IF(ISNUMBER(SEARCH(MAP_TNHN!C34&amp;" (2 tiết)",'PL11'!$S$7)),1,0)+IF(ISNUMBER(SEARCH(MAP_TNHN!C34&amp;" (2 tiết)",'PL11'!$S$8)),1,0)+IF(ISNUMBER(SEARCH(MAP_TNHN!C34&amp;" (2 tiết)",'PL11'!$S$9)),1,0)+IF(ISNUMBER(SEARCH(MAP_TNHN!C34&amp;" (2 tiết)",'PL11'!$S$10)),1,0)+IF(ISNUMBER(SEARCH(MAP_TNHN!C34&amp;" (2 tiết)",'PL11'!$S$11)),1,0)+IF(ISNUMBER(SEARCH(MAP_TNHN!C34&amp;" (2 tiết)",'PL11'!$S$12)),1,0)+IF(ISNUMBER(SEARCH(MAP_TNHN!C34&amp;" (2 tiết)",'PL11'!$S$13)),1,0)+IF(ISNUMBER(SEARCH(MAP_TNHN!C34&amp;" (2 tiết)",'PL11'!$S$14)),1,0)+IF(ISNUMBER(SEARCH(MAP_TNHN!C34&amp;" (2 tiết)",'PL11'!$S$15)),1,0)+IF(ISNUMBER(SEARCH(MAP_TNHN!C34&amp;" (2 tiết)",'PL11'!$S$16)),1,0)+IF(ISNUMBER(SEARCH(MAP_TNHN!C34&amp;" (2 tiết)",'PL11'!$S$17)),1,0)+IF(ISNUMBER(SEARCH(MAP_TNHN!C34&amp;" (2 tiết)",'PL11'!$S$18)),1,0))))</f>
        <v>0</v>
      </c>
      <c r="AY33">
        <f>IF(S33="",0,IF(MAP_TNHN!D34="",S33*3,S33*3-2*(IF(ISNUMBER(SEARCH(MAP_TNHN!D34&amp;" (1 tiết)",'PL10'!$S$5)),1,0)+IF(ISNUMBER(SEARCH(MAP_TNHN!D34&amp;" (1 tiết)",'PL10'!$S$6)),1,0)+IF(ISNUMBER(SEARCH(MAP_TNHN!D34&amp;" (1 tiết)",'PL10'!$S$7)),1,0)+IF(ISNUMBER(SEARCH(MAP_TNHN!D34&amp;" (1 tiết)",'PL10'!$S$8)),1,0)+IF(ISNUMBER(SEARCH(MAP_TNHN!D34&amp;" (1 tiết)",'PL10'!$S$9)),1,0)+IF(ISNUMBER(SEARCH(MAP_TNHN!D34&amp;" (1 tiết)",'PL10'!$S$10)),1,0)+IF(ISNUMBER(SEARCH(MAP_TNHN!D34&amp;" (1 tiết)",'PL10'!$S$11)),1,0)+IF(ISNUMBER(SEARCH(MAP_TNHN!D34&amp;" (1 tiết)",'PL10'!$S$12)),1,0)+IF(ISNUMBER(SEARCH(MAP_TNHN!D34&amp;" (1 tiết)",'PL10'!$S$13)),1,0)+IF(ISNUMBER(SEARCH(MAP_TNHN!D34&amp;" (1 tiết)",'PL10'!$S$14)),1,0)+IF(ISNUMBER(SEARCH(MAP_TNHN!D34&amp;" (1 tiết)",'PL10'!$S$15)),1,0)+IF(ISNUMBER(SEARCH(MAP_TNHN!D34&amp;" (1 tiết)",'PL10'!$S$16)),1,0)+IF(ISNUMBER(SEARCH(MAP_TNHN!D34&amp;" (1 tiết)",'PL10'!$S$17)),1,0)+IF(ISNUMBER(SEARCH(MAP_TNHN!D34&amp;" (1 tiết)",'PL10'!$S$18)),1,0)+IF(ISNUMBER(SEARCH(MAP_TNHN!D34&amp;" (1 tiết)",'PL10'!$S$19)),1,0)+IF(ISNUMBER(SEARCH(MAP_TNHN!D34&amp;" (1 tiết)",'PL10'!$S$20)),1,0)+IF(ISNUMBER(SEARCH(MAP_TNHN!D34&amp;" (1 tiết)",'PL10'!$S$21)),1,0)+IF(ISNUMBER(SEARCH(MAP_TNHN!D34&amp;" (1 tiết)",'PL10'!$S$22)),1,0)+IF(ISNUMBER(SEARCH(MAP_TNHN!D34&amp;" (1 tiết)",'PL10'!$S$23)),1,0)+IF(ISNUMBER(SEARCH(MAP_TNHN!D34&amp;" (1 tiết)",'PL10'!$S$24)),1,0)+IF(ISNUMBER(SEARCH(MAP_TNHN!D34&amp;" (1 tiết)",'PL10'!$S$25)),1,0))-(IF(ISNUMBER(SEARCH(MAP_TNHN!D34&amp;" (2 tiết)",'PL10'!$S$5)),1,0)+IF(ISNUMBER(SEARCH(MAP_TNHN!D34&amp;" (2 tiết)",'PL10'!$S$6)),1,0)+IF(ISNUMBER(SEARCH(MAP_TNHN!D34&amp;" (2 tiết)",'PL10'!$S$7)),1,0)+IF(ISNUMBER(SEARCH(MAP_TNHN!D34&amp;" (2 tiết)",'PL10'!$S$8)),1,0)+IF(ISNUMBER(SEARCH(MAP_TNHN!D34&amp;" (2 tiết)",'PL10'!$S$9)),1,0)+IF(ISNUMBER(SEARCH(MAP_TNHN!D34&amp;" (2 tiết)",'PL10'!$S$10)),1,0)+IF(ISNUMBER(SEARCH(MAP_TNHN!D34&amp;" (2 tiết)",'PL10'!$S$11)),1,0)+IF(ISNUMBER(SEARCH(MAP_TNHN!D34&amp;" (2 tiết)",'PL10'!$S$12)),1,0)+IF(ISNUMBER(SEARCH(MAP_TNHN!D34&amp;" (2 tiết)",'PL10'!$S$13)),1,0)+IF(ISNUMBER(SEARCH(MAP_TNHN!D34&amp;" (2 tiết)",'PL10'!$S$14)),1,0)+IF(ISNUMBER(SEARCH(MAP_TNHN!D34&amp;" (2 tiết)",'PL10'!$S$15)),1,0)+IF(ISNUMBER(SEARCH(MAP_TNHN!D34&amp;" (2 tiết)",'PL10'!$S$16)),1,0)+IF(ISNUMBER(SEARCH(MAP_TNHN!D34&amp;" (2 tiết)",'PL10'!$S$17)),1,0)+IF(ISNUMBER(SEARCH(MAP_TNHN!D34&amp;" (2 tiết)",'PL10'!$S$18)),1,0)+IF(ISNUMBER(SEARCH(MAP_TNHN!D34&amp;" (2 tiết)",'PL10'!$S$19)),1,0)+IF(ISNUMBER(SEARCH(MAP_TNHN!D34&amp;" (2 tiết)",'PL10'!$S$20)),1,0)+IF(ISNUMBER(SEARCH(MAP_TNHN!D34&amp;" (2 tiết)",'PL10'!$S$21)),1,0)+IF(ISNUMBER(SEARCH(MAP_TNHN!D34&amp;" (2 tiết)",'PL10'!$S$22)),1,0)+IF(ISNUMBER(SEARCH(MAP_TNHN!D34&amp;" (2 tiết)",'PL10'!$S$23)),1,0)+IF(ISNUMBER(SEARCH(MAP_TNHN!D34&amp;" (2 tiết)",'PL10'!$S$24)),1,0)+IF(ISNUMBER(SEARCH(MAP_TNHN!D34&amp;" (2 tiết)",'PL10'!$S$25)),1,0))))</f>
        <v>0</v>
      </c>
    </row>
    <row r="34" spans="1:51" ht="15.5" x14ac:dyDescent="0.35">
      <c r="A34" s="313"/>
      <c r="B34" s="8">
        <v>4</v>
      </c>
      <c r="C34" s="13" t="s">
        <v>97</v>
      </c>
      <c r="D34" s="20"/>
      <c r="E34" s="224">
        <v>4</v>
      </c>
      <c r="F34" s="10"/>
      <c r="G34" s="10"/>
      <c r="H34" s="10"/>
      <c r="I34" s="159"/>
      <c r="J34" s="10"/>
      <c r="K34" s="49">
        <v>2</v>
      </c>
      <c r="L34" s="6"/>
      <c r="M34" s="6"/>
      <c r="N34" s="139"/>
      <c r="O34" s="6"/>
      <c r="P34" s="224">
        <v>2</v>
      </c>
      <c r="Q34" s="42"/>
      <c r="R34" s="42"/>
      <c r="S34" s="138"/>
      <c r="T34" s="42"/>
      <c r="U34" s="11">
        <f>E34*'Phân tiết'!$M$9+G34*('Phân tiết'!$M$21/3)+H34*'Phân tiết'!$L$26+AW34+J34*'Phân tiết'!$M$20+K34*'Phân tiết'!$I$9+M34*('Phân tiết'!$I$21/3)+AX34+O34*'Phân tiết'!$I$20+P34*'Phân tiết'!$E$9+R34*('Phân tiết'!$E$21/3)+AY34+T34*'Phân tiết'!$E$20</f>
        <v>16</v>
      </c>
      <c r="V34" s="8">
        <f t="shared" si="7"/>
        <v>0</v>
      </c>
      <c r="W34" s="6"/>
      <c r="X34" s="6" t="s">
        <v>54</v>
      </c>
      <c r="Y34" s="8">
        <v>1</v>
      </c>
      <c r="Z34" s="43">
        <f t="shared" si="8"/>
        <v>17</v>
      </c>
      <c r="AA34" s="34">
        <f t="shared" si="9"/>
        <v>0</v>
      </c>
      <c r="AB34" s="8"/>
      <c r="AC34" s="8"/>
      <c r="AD34" s="6">
        <f t="shared" si="3"/>
        <v>0</v>
      </c>
      <c r="AE34" s="8"/>
      <c r="AF34" s="8"/>
      <c r="AG34" s="6">
        <f t="shared" si="5"/>
        <v>0</v>
      </c>
      <c r="AH34" s="8"/>
      <c r="AI34" s="8"/>
      <c r="AJ34" s="6">
        <f t="shared" si="10"/>
        <v>0</v>
      </c>
      <c r="AK34" s="6">
        <f t="shared" si="6"/>
        <v>0</v>
      </c>
      <c r="AL34" s="8">
        <v>1</v>
      </c>
      <c r="AM34" s="8"/>
      <c r="AN34" s="8">
        <v>2</v>
      </c>
      <c r="AO34" s="8">
        <v>1</v>
      </c>
      <c r="AP34" s="8">
        <v>1</v>
      </c>
      <c r="AQ34" s="8">
        <v>1</v>
      </c>
      <c r="AR34" s="8">
        <v>1</v>
      </c>
      <c r="AS34" s="8">
        <v>2</v>
      </c>
      <c r="AT34" s="8">
        <v>2</v>
      </c>
      <c r="AU34" s="8"/>
      <c r="AV34" s="8"/>
      <c r="AW34">
        <f>IF(I34="",0,IF(MAP_TNHN!B35="",I34*3,I34*3-2*(IF(ISNUMBER(SEARCH(MAP_TNHN!B35&amp;" (1 tiết)",'PL12'!$S$5)),1,0)+IF(ISNUMBER(SEARCH(MAP_TNHN!B35&amp;" (1 tiết)",'PL12'!$S$6)),1,0)+IF(ISNUMBER(SEARCH(MAP_TNHN!B35&amp;" (1 tiết)",'PL12'!$S$7)),1,0)+IF(ISNUMBER(SEARCH(MAP_TNHN!B35&amp;" (1 tiết)",'PL12'!$S$8)),1,0)+IF(ISNUMBER(SEARCH(MAP_TNHN!B35&amp;" (1 tiết)",'PL12'!$S$9)),1,0)+IF(ISNUMBER(SEARCH(MAP_TNHN!B35&amp;" (1 tiết)",'PL12'!$S$10)),1,0)+IF(ISNUMBER(SEARCH(MAP_TNHN!B35&amp;" (1 tiết)",'PL12'!$S$11)),1,0)+IF(ISNUMBER(SEARCH(MAP_TNHN!B35&amp;" (1 tiết)",'PL12'!$S$12)),1,0)+IF(ISNUMBER(SEARCH(MAP_TNHN!B35&amp;" (1 tiết)",'PL12'!$S$13)),1,0)+IF(ISNUMBER(SEARCH(MAP_TNHN!B35&amp;" (1 tiết)",'PL12'!$S$14)),1,0)+IF(ISNUMBER(SEARCH(MAP_TNHN!B35&amp;" (1 tiết)",'PL12'!$S$15)),1,0)+IF(ISNUMBER(SEARCH(MAP_TNHN!B35&amp;" (1 tiết)",'PL12'!$S$16)),1,0)+IF(ISNUMBER(SEARCH(MAP_TNHN!B35&amp;" (1 tiết)",'PL12'!$S$17)),1,0)+IF(ISNUMBER(SEARCH(MAP_TNHN!B35&amp;" (1 tiết)",'PL12'!$S$18)),1,0)+IF(ISNUMBER(SEARCH(MAP_TNHN!B35&amp;" (1 tiết)",'PL12'!$S$19)),1,0))-(IF(ISNUMBER(SEARCH(MAP_TNHN!B35&amp;" (2 tiết)",'PL12'!$S$5)),1,0)+IF(ISNUMBER(SEARCH(MAP_TNHN!B35&amp;" (2 tiết)",'PL12'!$S$6)),1,0)+IF(ISNUMBER(SEARCH(MAP_TNHN!B35&amp;" (2 tiết)",'PL12'!$S$7)),1,0)+IF(ISNUMBER(SEARCH(MAP_TNHN!B35&amp;" (2 tiết)",'PL12'!$S$8)),1,0)+IF(ISNUMBER(SEARCH(MAP_TNHN!B35&amp;" (2 tiết)",'PL12'!$S$9)),1,0)+IF(ISNUMBER(SEARCH(MAP_TNHN!B35&amp;" (2 tiết)",'PL12'!$S$10)),1,0)+IF(ISNUMBER(SEARCH(MAP_TNHN!B35&amp;" (2 tiết)",'PL12'!$S$11)),1,0)+IF(ISNUMBER(SEARCH(MAP_TNHN!B35&amp;" (2 tiết)",'PL12'!$S$12)),1,0)+IF(ISNUMBER(SEARCH(MAP_TNHN!B35&amp;" (2 tiết)",'PL12'!$S$13)),1,0)+IF(ISNUMBER(SEARCH(MAP_TNHN!B35&amp;" (2 tiết)",'PL12'!$S$14)),1,0)+IF(ISNUMBER(SEARCH(MAP_TNHN!B35&amp;" (2 tiết)",'PL12'!$S$15)),1,0)+IF(ISNUMBER(SEARCH(MAP_TNHN!B35&amp;" (2 tiết)",'PL12'!$S$16)),1,0)+IF(ISNUMBER(SEARCH(MAP_TNHN!B35&amp;" (2 tiết)",'PL12'!$S$17)),1,0)+IF(ISNUMBER(SEARCH(MAP_TNHN!B35&amp;" (2 tiết)",'PL12'!$S$18)),1,0)+IF(ISNUMBER(SEARCH(MAP_TNHN!B35&amp;" (2 tiết)",'PL12'!$S$19)),1,0))))</f>
        <v>0</v>
      </c>
      <c r="AX34">
        <f>IF(N34="",0,IF(MAP_TNHN!C35="",N34*3,N34*3-2*(IF(ISNUMBER(SEARCH(MAP_TNHN!C35&amp;" (1 tiết)",'PL11'!$S$5)),1,0)+IF(ISNUMBER(SEARCH(MAP_TNHN!C35&amp;" (1 tiết)",'PL11'!$S$6)),1,0)+IF(ISNUMBER(SEARCH(MAP_TNHN!C35&amp;" (1 tiết)",'PL11'!$S$7)),1,0)+IF(ISNUMBER(SEARCH(MAP_TNHN!C35&amp;" (1 tiết)",'PL11'!$S$8)),1,0)+IF(ISNUMBER(SEARCH(MAP_TNHN!C35&amp;" (1 tiết)",'PL11'!$S$9)),1,0)+IF(ISNUMBER(SEARCH(MAP_TNHN!C35&amp;" (1 tiết)",'PL11'!$S$10)),1,0)+IF(ISNUMBER(SEARCH(MAP_TNHN!C35&amp;" (1 tiết)",'PL11'!$S$11)),1,0)+IF(ISNUMBER(SEARCH(MAP_TNHN!C35&amp;" (1 tiết)",'PL11'!$S$12)),1,0)+IF(ISNUMBER(SEARCH(MAP_TNHN!C35&amp;" (1 tiết)",'PL11'!$S$13)),1,0)+IF(ISNUMBER(SEARCH(MAP_TNHN!C35&amp;" (1 tiết)",'PL11'!$S$14)),1,0)+IF(ISNUMBER(SEARCH(MAP_TNHN!C35&amp;" (1 tiết)",'PL11'!$S$15)),1,0)+IF(ISNUMBER(SEARCH(MAP_TNHN!C35&amp;" (1 tiết)",'PL11'!$S$16)),1,0)+IF(ISNUMBER(SEARCH(MAP_TNHN!C35&amp;" (1 tiết)",'PL11'!$S$17)),1,0)+IF(ISNUMBER(SEARCH(MAP_TNHN!C35&amp;" (1 tiết)",'PL11'!$S$18)),1,0))-(IF(ISNUMBER(SEARCH(MAP_TNHN!C35&amp;" (2 tiết)",'PL11'!$S$5)),1,0)+IF(ISNUMBER(SEARCH(MAP_TNHN!C35&amp;" (2 tiết)",'PL11'!$S$6)),1,0)+IF(ISNUMBER(SEARCH(MAP_TNHN!C35&amp;" (2 tiết)",'PL11'!$S$7)),1,0)+IF(ISNUMBER(SEARCH(MAP_TNHN!C35&amp;" (2 tiết)",'PL11'!$S$8)),1,0)+IF(ISNUMBER(SEARCH(MAP_TNHN!C35&amp;" (2 tiết)",'PL11'!$S$9)),1,0)+IF(ISNUMBER(SEARCH(MAP_TNHN!C35&amp;" (2 tiết)",'PL11'!$S$10)),1,0)+IF(ISNUMBER(SEARCH(MAP_TNHN!C35&amp;" (2 tiết)",'PL11'!$S$11)),1,0)+IF(ISNUMBER(SEARCH(MAP_TNHN!C35&amp;" (2 tiết)",'PL11'!$S$12)),1,0)+IF(ISNUMBER(SEARCH(MAP_TNHN!C35&amp;" (2 tiết)",'PL11'!$S$13)),1,0)+IF(ISNUMBER(SEARCH(MAP_TNHN!C35&amp;" (2 tiết)",'PL11'!$S$14)),1,0)+IF(ISNUMBER(SEARCH(MAP_TNHN!C35&amp;" (2 tiết)",'PL11'!$S$15)),1,0)+IF(ISNUMBER(SEARCH(MAP_TNHN!C35&amp;" (2 tiết)",'PL11'!$S$16)),1,0)+IF(ISNUMBER(SEARCH(MAP_TNHN!C35&amp;" (2 tiết)",'PL11'!$S$17)),1,0)+IF(ISNUMBER(SEARCH(MAP_TNHN!C35&amp;" (2 tiết)",'PL11'!$S$18)),1,0))))</f>
        <v>0</v>
      </c>
      <c r="AY34">
        <f>IF(S34="",0,IF(MAP_TNHN!D35="",S34*3,S34*3-2*(IF(ISNUMBER(SEARCH(MAP_TNHN!D35&amp;" (1 tiết)",'PL10'!$S$5)),1,0)+IF(ISNUMBER(SEARCH(MAP_TNHN!D35&amp;" (1 tiết)",'PL10'!$S$6)),1,0)+IF(ISNUMBER(SEARCH(MAP_TNHN!D35&amp;" (1 tiết)",'PL10'!$S$7)),1,0)+IF(ISNUMBER(SEARCH(MAP_TNHN!D35&amp;" (1 tiết)",'PL10'!$S$8)),1,0)+IF(ISNUMBER(SEARCH(MAP_TNHN!D35&amp;" (1 tiết)",'PL10'!$S$9)),1,0)+IF(ISNUMBER(SEARCH(MAP_TNHN!D35&amp;" (1 tiết)",'PL10'!$S$10)),1,0)+IF(ISNUMBER(SEARCH(MAP_TNHN!D35&amp;" (1 tiết)",'PL10'!$S$11)),1,0)+IF(ISNUMBER(SEARCH(MAP_TNHN!D35&amp;" (1 tiết)",'PL10'!$S$12)),1,0)+IF(ISNUMBER(SEARCH(MAP_TNHN!D35&amp;" (1 tiết)",'PL10'!$S$13)),1,0)+IF(ISNUMBER(SEARCH(MAP_TNHN!D35&amp;" (1 tiết)",'PL10'!$S$14)),1,0)+IF(ISNUMBER(SEARCH(MAP_TNHN!D35&amp;" (1 tiết)",'PL10'!$S$15)),1,0)+IF(ISNUMBER(SEARCH(MAP_TNHN!D35&amp;" (1 tiết)",'PL10'!$S$16)),1,0)+IF(ISNUMBER(SEARCH(MAP_TNHN!D35&amp;" (1 tiết)",'PL10'!$S$17)),1,0)+IF(ISNUMBER(SEARCH(MAP_TNHN!D35&amp;" (1 tiết)",'PL10'!$S$18)),1,0)+IF(ISNUMBER(SEARCH(MAP_TNHN!D35&amp;" (1 tiết)",'PL10'!$S$19)),1,0)+IF(ISNUMBER(SEARCH(MAP_TNHN!D35&amp;" (1 tiết)",'PL10'!$S$20)),1,0)+IF(ISNUMBER(SEARCH(MAP_TNHN!D35&amp;" (1 tiết)",'PL10'!$S$21)),1,0)+IF(ISNUMBER(SEARCH(MAP_TNHN!D35&amp;" (1 tiết)",'PL10'!$S$22)),1,0)+IF(ISNUMBER(SEARCH(MAP_TNHN!D35&amp;" (1 tiết)",'PL10'!$S$23)),1,0)+IF(ISNUMBER(SEARCH(MAP_TNHN!D35&amp;" (1 tiết)",'PL10'!$S$24)),1,0)+IF(ISNUMBER(SEARCH(MAP_TNHN!D35&amp;" (1 tiết)",'PL10'!$S$25)),1,0))-(IF(ISNUMBER(SEARCH(MAP_TNHN!D35&amp;" (2 tiết)",'PL10'!$S$5)),1,0)+IF(ISNUMBER(SEARCH(MAP_TNHN!D35&amp;" (2 tiết)",'PL10'!$S$6)),1,0)+IF(ISNUMBER(SEARCH(MAP_TNHN!D35&amp;" (2 tiết)",'PL10'!$S$7)),1,0)+IF(ISNUMBER(SEARCH(MAP_TNHN!D35&amp;" (2 tiết)",'PL10'!$S$8)),1,0)+IF(ISNUMBER(SEARCH(MAP_TNHN!D35&amp;" (2 tiết)",'PL10'!$S$9)),1,0)+IF(ISNUMBER(SEARCH(MAP_TNHN!D35&amp;" (2 tiết)",'PL10'!$S$10)),1,0)+IF(ISNUMBER(SEARCH(MAP_TNHN!D35&amp;" (2 tiết)",'PL10'!$S$11)),1,0)+IF(ISNUMBER(SEARCH(MAP_TNHN!D35&amp;" (2 tiết)",'PL10'!$S$12)),1,0)+IF(ISNUMBER(SEARCH(MAP_TNHN!D35&amp;" (2 tiết)",'PL10'!$S$13)),1,0)+IF(ISNUMBER(SEARCH(MAP_TNHN!D35&amp;" (2 tiết)",'PL10'!$S$14)),1,0)+IF(ISNUMBER(SEARCH(MAP_TNHN!D35&amp;" (2 tiết)",'PL10'!$S$15)),1,0)+IF(ISNUMBER(SEARCH(MAP_TNHN!D35&amp;" (2 tiết)",'PL10'!$S$16)),1,0)+IF(ISNUMBER(SEARCH(MAP_TNHN!D35&amp;" (2 tiết)",'PL10'!$S$17)),1,0)+IF(ISNUMBER(SEARCH(MAP_TNHN!D35&amp;" (2 tiết)",'PL10'!$S$18)),1,0)+IF(ISNUMBER(SEARCH(MAP_TNHN!D35&amp;" (2 tiết)",'PL10'!$S$19)),1,0)+IF(ISNUMBER(SEARCH(MAP_TNHN!D35&amp;" (2 tiết)",'PL10'!$S$20)),1,0)+IF(ISNUMBER(SEARCH(MAP_TNHN!D35&amp;" (2 tiết)",'PL10'!$S$21)),1,0)+IF(ISNUMBER(SEARCH(MAP_TNHN!D35&amp;" (2 tiết)",'PL10'!$S$22)),1,0)+IF(ISNUMBER(SEARCH(MAP_TNHN!D35&amp;" (2 tiết)",'PL10'!$S$23)),1,0)+IF(ISNUMBER(SEARCH(MAP_TNHN!D35&amp;" (2 tiết)",'PL10'!$S$24)),1,0)+IF(ISNUMBER(SEARCH(MAP_TNHN!D35&amp;" (2 tiết)",'PL10'!$S$25)),1,0))))</f>
        <v>0</v>
      </c>
    </row>
    <row r="35" spans="1:51" ht="15.5" x14ac:dyDescent="0.35">
      <c r="A35" s="313"/>
      <c r="B35" s="8">
        <v>5</v>
      </c>
      <c r="C35" s="228" t="s">
        <v>98</v>
      </c>
      <c r="D35" s="20"/>
      <c r="E35" s="224">
        <v>5</v>
      </c>
      <c r="F35" s="10"/>
      <c r="G35" s="10"/>
      <c r="H35" s="10"/>
      <c r="I35" s="159"/>
      <c r="J35" s="10"/>
      <c r="K35" s="224">
        <v>4</v>
      </c>
      <c r="L35" s="6"/>
      <c r="M35" s="6"/>
      <c r="N35" s="139"/>
      <c r="O35" s="6"/>
      <c r="P35" s="224"/>
      <c r="Q35" s="42"/>
      <c r="R35" s="42"/>
      <c r="S35" s="138"/>
      <c r="T35" s="42"/>
      <c r="U35" s="11">
        <f>E35*'Phân tiết'!$M$9+G35*('Phân tiết'!$M$21/3)+H35*'Phân tiết'!$L$26+AW35+J35*'Phân tiết'!$M$20+K35*'Phân tiết'!$I$9+M35*('Phân tiết'!$I$21/3)+AX35+O35*'Phân tiết'!$I$20+P35*'Phân tiết'!$E$9+R35*('Phân tiết'!$E$21/3)+AY35+T35*'Phân tiết'!$E$20</f>
        <v>18</v>
      </c>
      <c r="V35" s="8">
        <f t="shared" si="7"/>
        <v>0</v>
      </c>
      <c r="W35" s="6"/>
      <c r="X35" s="6"/>
      <c r="Y35" s="8"/>
      <c r="Z35" s="43">
        <f t="shared" si="8"/>
        <v>18</v>
      </c>
      <c r="AA35" s="34">
        <f t="shared" si="9"/>
        <v>1</v>
      </c>
      <c r="AB35" s="8"/>
      <c r="AC35" s="8"/>
      <c r="AD35" s="6">
        <f t="shared" si="3"/>
        <v>0</v>
      </c>
      <c r="AE35" s="8"/>
      <c r="AF35" s="8"/>
      <c r="AG35" s="6">
        <f t="shared" si="5"/>
        <v>0</v>
      </c>
      <c r="AH35" s="8"/>
      <c r="AI35" s="8"/>
      <c r="AJ35" s="6">
        <f t="shared" si="10"/>
        <v>0</v>
      </c>
      <c r="AK35" s="6">
        <f t="shared" si="6"/>
        <v>33</v>
      </c>
      <c r="AL35" s="8">
        <v>1</v>
      </c>
      <c r="AM35" s="8"/>
      <c r="AN35" s="8">
        <v>2</v>
      </c>
      <c r="AO35" s="8"/>
      <c r="AP35" s="8">
        <v>1</v>
      </c>
      <c r="AQ35" s="8">
        <v>1</v>
      </c>
      <c r="AR35" s="8">
        <v>1</v>
      </c>
      <c r="AS35" s="8">
        <v>2</v>
      </c>
      <c r="AT35" s="8">
        <v>2</v>
      </c>
      <c r="AU35" s="8"/>
      <c r="AV35" s="34"/>
      <c r="AW35">
        <f>IF(I35="",0,IF(MAP_TNHN!B36="",I35*3,I35*3-2*(IF(ISNUMBER(SEARCH(MAP_TNHN!B36&amp;" (1 tiết)",'PL12'!$S$5)),1,0)+IF(ISNUMBER(SEARCH(MAP_TNHN!B36&amp;" (1 tiết)",'PL12'!$S$6)),1,0)+IF(ISNUMBER(SEARCH(MAP_TNHN!B36&amp;" (1 tiết)",'PL12'!$S$7)),1,0)+IF(ISNUMBER(SEARCH(MAP_TNHN!B36&amp;" (1 tiết)",'PL12'!$S$8)),1,0)+IF(ISNUMBER(SEARCH(MAP_TNHN!B36&amp;" (1 tiết)",'PL12'!$S$9)),1,0)+IF(ISNUMBER(SEARCH(MAP_TNHN!B36&amp;" (1 tiết)",'PL12'!$S$10)),1,0)+IF(ISNUMBER(SEARCH(MAP_TNHN!B36&amp;" (1 tiết)",'PL12'!$S$11)),1,0)+IF(ISNUMBER(SEARCH(MAP_TNHN!B36&amp;" (1 tiết)",'PL12'!$S$12)),1,0)+IF(ISNUMBER(SEARCH(MAP_TNHN!B36&amp;" (1 tiết)",'PL12'!$S$13)),1,0)+IF(ISNUMBER(SEARCH(MAP_TNHN!B36&amp;" (1 tiết)",'PL12'!$S$14)),1,0)+IF(ISNUMBER(SEARCH(MAP_TNHN!B36&amp;" (1 tiết)",'PL12'!$S$15)),1,0)+IF(ISNUMBER(SEARCH(MAP_TNHN!B36&amp;" (1 tiết)",'PL12'!$S$16)),1,0)+IF(ISNUMBER(SEARCH(MAP_TNHN!B36&amp;" (1 tiết)",'PL12'!$S$17)),1,0)+IF(ISNUMBER(SEARCH(MAP_TNHN!B36&amp;" (1 tiết)",'PL12'!$S$18)),1,0)+IF(ISNUMBER(SEARCH(MAP_TNHN!B36&amp;" (1 tiết)",'PL12'!$S$19)),1,0))-(IF(ISNUMBER(SEARCH(MAP_TNHN!B36&amp;" (2 tiết)",'PL12'!$S$5)),1,0)+IF(ISNUMBER(SEARCH(MAP_TNHN!B36&amp;" (2 tiết)",'PL12'!$S$6)),1,0)+IF(ISNUMBER(SEARCH(MAP_TNHN!B36&amp;" (2 tiết)",'PL12'!$S$7)),1,0)+IF(ISNUMBER(SEARCH(MAP_TNHN!B36&amp;" (2 tiết)",'PL12'!$S$8)),1,0)+IF(ISNUMBER(SEARCH(MAP_TNHN!B36&amp;" (2 tiết)",'PL12'!$S$9)),1,0)+IF(ISNUMBER(SEARCH(MAP_TNHN!B36&amp;" (2 tiết)",'PL12'!$S$10)),1,0)+IF(ISNUMBER(SEARCH(MAP_TNHN!B36&amp;" (2 tiết)",'PL12'!$S$11)),1,0)+IF(ISNUMBER(SEARCH(MAP_TNHN!B36&amp;" (2 tiết)",'PL12'!$S$12)),1,0)+IF(ISNUMBER(SEARCH(MAP_TNHN!B36&amp;" (2 tiết)",'PL12'!$S$13)),1,0)+IF(ISNUMBER(SEARCH(MAP_TNHN!B36&amp;" (2 tiết)",'PL12'!$S$14)),1,0)+IF(ISNUMBER(SEARCH(MAP_TNHN!B36&amp;" (2 tiết)",'PL12'!$S$15)),1,0)+IF(ISNUMBER(SEARCH(MAP_TNHN!B36&amp;" (2 tiết)",'PL12'!$S$16)),1,0)+IF(ISNUMBER(SEARCH(MAP_TNHN!B36&amp;" (2 tiết)",'PL12'!$S$17)),1,0)+IF(ISNUMBER(SEARCH(MAP_TNHN!B36&amp;" (2 tiết)",'PL12'!$S$18)),1,0)+IF(ISNUMBER(SEARCH(MAP_TNHN!B36&amp;" (2 tiết)",'PL12'!$S$19)),1,0))))</f>
        <v>0</v>
      </c>
      <c r="AX35">
        <f>IF(N35="",0,IF(MAP_TNHN!C36="",N35*3,N35*3-2*(IF(ISNUMBER(SEARCH(MAP_TNHN!C36&amp;" (1 tiết)",'PL11'!$S$5)),1,0)+IF(ISNUMBER(SEARCH(MAP_TNHN!C36&amp;" (1 tiết)",'PL11'!$S$6)),1,0)+IF(ISNUMBER(SEARCH(MAP_TNHN!C36&amp;" (1 tiết)",'PL11'!$S$7)),1,0)+IF(ISNUMBER(SEARCH(MAP_TNHN!C36&amp;" (1 tiết)",'PL11'!$S$8)),1,0)+IF(ISNUMBER(SEARCH(MAP_TNHN!C36&amp;" (1 tiết)",'PL11'!$S$9)),1,0)+IF(ISNUMBER(SEARCH(MAP_TNHN!C36&amp;" (1 tiết)",'PL11'!$S$10)),1,0)+IF(ISNUMBER(SEARCH(MAP_TNHN!C36&amp;" (1 tiết)",'PL11'!$S$11)),1,0)+IF(ISNUMBER(SEARCH(MAP_TNHN!C36&amp;" (1 tiết)",'PL11'!$S$12)),1,0)+IF(ISNUMBER(SEARCH(MAP_TNHN!C36&amp;" (1 tiết)",'PL11'!$S$13)),1,0)+IF(ISNUMBER(SEARCH(MAP_TNHN!C36&amp;" (1 tiết)",'PL11'!$S$14)),1,0)+IF(ISNUMBER(SEARCH(MAP_TNHN!C36&amp;" (1 tiết)",'PL11'!$S$15)),1,0)+IF(ISNUMBER(SEARCH(MAP_TNHN!C36&amp;" (1 tiết)",'PL11'!$S$16)),1,0)+IF(ISNUMBER(SEARCH(MAP_TNHN!C36&amp;" (1 tiết)",'PL11'!$S$17)),1,0)+IF(ISNUMBER(SEARCH(MAP_TNHN!C36&amp;" (1 tiết)",'PL11'!$S$18)),1,0))-(IF(ISNUMBER(SEARCH(MAP_TNHN!C36&amp;" (2 tiết)",'PL11'!$S$5)),1,0)+IF(ISNUMBER(SEARCH(MAP_TNHN!C36&amp;" (2 tiết)",'PL11'!$S$6)),1,0)+IF(ISNUMBER(SEARCH(MAP_TNHN!C36&amp;" (2 tiết)",'PL11'!$S$7)),1,0)+IF(ISNUMBER(SEARCH(MAP_TNHN!C36&amp;" (2 tiết)",'PL11'!$S$8)),1,0)+IF(ISNUMBER(SEARCH(MAP_TNHN!C36&amp;" (2 tiết)",'PL11'!$S$9)),1,0)+IF(ISNUMBER(SEARCH(MAP_TNHN!C36&amp;" (2 tiết)",'PL11'!$S$10)),1,0)+IF(ISNUMBER(SEARCH(MAP_TNHN!C36&amp;" (2 tiết)",'PL11'!$S$11)),1,0)+IF(ISNUMBER(SEARCH(MAP_TNHN!C36&amp;" (2 tiết)",'PL11'!$S$12)),1,0)+IF(ISNUMBER(SEARCH(MAP_TNHN!C36&amp;" (2 tiết)",'PL11'!$S$13)),1,0)+IF(ISNUMBER(SEARCH(MAP_TNHN!C36&amp;" (2 tiết)",'PL11'!$S$14)),1,0)+IF(ISNUMBER(SEARCH(MAP_TNHN!C36&amp;" (2 tiết)",'PL11'!$S$15)),1,0)+IF(ISNUMBER(SEARCH(MAP_TNHN!C36&amp;" (2 tiết)",'PL11'!$S$16)),1,0)+IF(ISNUMBER(SEARCH(MAP_TNHN!C36&amp;" (2 tiết)",'PL11'!$S$17)),1,0)+IF(ISNUMBER(SEARCH(MAP_TNHN!C36&amp;" (2 tiết)",'PL11'!$S$18)),1,0))))</f>
        <v>0</v>
      </c>
      <c r="AY35">
        <f>IF(S35="",0,IF(MAP_TNHN!D36="",S35*3,S35*3-2*(IF(ISNUMBER(SEARCH(MAP_TNHN!D36&amp;" (1 tiết)",'PL10'!$S$5)),1,0)+IF(ISNUMBER(SEARCH(MAP_TNHN!D36&amp;" (1 tiết)",'PL10'!$S$6)),1,0)+IF(ISNUMBER(SEARCH(MAP_TNHN!D36&amp;" (1 tiết)",'PL10'!$S$7)),1,0)+IF(ISNUMBER(SEARCH(MAP_TNHN!D36&amp;" (1 tiết)",'PL10'!$S$8)),1,0)+IF(ISNUMBER(SEARCH(MAP_TNHN!D36&amp;" (1 tiết)",'PL10'!$S$9)),1,0)+IF(ISNUMBER(SEARCH(MAP_TNHN!D36&amp;" (1 tiết)",'PL10'!$S$10)),1,0)+IF(ISNUMBER(SEARCH(MAP_TNHN!D36&amp;" (1 tiết)",'PL10'!$S$11)),1,0)+IF(ISNUMBER(SEARCH(MAP_TNHN!D36&amp;" (1 tiết)",'PL10'!$S$12)),1,0)+IF(ISNUMBER(SEARCH(MAP_TNHN!D36&amp;" (1 tiết)",'PL10'!$S$13)),1,0)+IF(ISNUMBER(SEARCH(MAP_TNHN!D36&amp;" (1 tiết)",'PL10'!$S$14)),1,0)+IF(ISNUMBER(SEARCH(MAP_TNHN!D36&amp;" (1 tiết)",'PL10'!$S$15)),1,0)+IF(ISNUMBER(SEARCH(MAP_TNHN!D36&amp;" (1 tiết)",'PL10'!$S$16)),1,0)+IF(ISNUMBER(SEARCH(MAP_TNHN!D36&amp;" (1 tiết)",'PL10'!$S$17)),1,0)+IF(ISNUMBER(SEARCH(MAP_TNHN!D36&amp;" (1 tiết)",'PL10'!$S$18)),1,0)+IF(ISNUMBER(SEARCH(MAP_TNHN!D36&amp;" (1 tiết)",'PL10'!$S$19)),1,0)+IF(ISNUMBER(SEARCH(MAP_TNHN!D36&amp;" (1 tiết)",'PL10'!$S$20)),1,0)+IF(ISNUMBER(SEARCH(MAP_TNHN!D36&amp;" (1 tiết)",'PL10'!$S$21)),1,0)+IF(ISNUMBER(SEARCH(MAP_TNHN!D36&amp;" (1 tiết)",'PL10'!$S$22)),1,0)+IF(ISNUMBER(SEARCH(MAP_TNHN!D36&amp;" (1 tiết)",'PL10'!$S$23)),1,0)+IF(ISNUMBER(SEARCH(MAP_TNHN!D36&amp;" (1 tiết)",'PL10'!$S$24)),1,0)+IF(ISNUMBER(SEARCH(MAP_TNHN!D36&amp;" (1 tiết)",'PL10'!$S$25)),1,0))-(IF(ISNUMBER(SEARCH(MAP_TNHN!D36&amp;" (2 tiết)",'PL10'!$S$5)),1,0)+IF(ISNUMBER(SEARCH(MAP_TNHN!D36&amp;" (2 tiết)",'PL10'!$S$6)),1,0)+IF(ISNUMBER(SEARCH(MAP_TNHN!D36&amp;" (2 tiết)",'PL10'!$S$7)),1,0)+IF(ISNUMBER(SEARCH(MAP_TNHN!D36&amp;" (2 tiết)",'PL10'!$S$8)),1,0)+IF(ISNUMBER(SEARCH(MAP_TNHN!D36&amp;" (2 tiết)",'PL10'!$S$9)),1,0)+IF(ISNUMBER(SEARCH(MAP_TNHN!D36&amp;" (2 tiết)",'PL10'!$S$10)),1,0)+IF(ISNUMBER(SEARCH(MAP_TNHN!D36&amp;" (2 tiết)",'PL10'!$S$11)),1,0)+IF(ISNUMBER(SEARCH(MAP_TNHN!D36&amp;" (2 tiết)",'PL10'!$S$12)),1,0)+IF(ISNUMBER(SEARCH(MAP_TNHN!D36&amp;" (2 tiết)",'PL10'!$S$13)),1,0)+IF(ISNUMBER(SEARCH(MAP_TNHN!D36&amp;" (2 tiết)",'PL10'!$S$14)),1,0)+IF(ISNUMBER(SEARCH(MAP_TNHN!D36&amp;" (2 tiết)",'PL10'!$S$15)),1,0)+IF(ISNUMBER(SEARCH(MAP_TNHN!D36&amp;" (2 tiết)",'PL10'!$S$16)),1,0)+IF(ISNUMBER(SEARCH(MAP_TNHN!D36&amp;" (2 tiết)",'PL10'!$S$17)),1,0)+IF(ISNUMBER(SEARCH(MAP_TNHN!D36&amp;" (2 tiết)",'PL10'!$S$18)),1,0)+IF(ISNUMBER(SEARCH(MAP_TNHN!D36&amp;" (2 tiết)",'PL10'!$S$19)),1,0)+IF(ISNUMBER(SEARCH(MAP_TNHN!D36&amp;" (2 tiết)",'PL10'!$S$20)),1,0)+IF(ISNUMBER(SEARCH(MAP_TNHN!D36&amp;" (2 tiết)",'PL10'!$S$21)),1,0)+IF(ISNUMBER(SEARCH(MAP_TNHN!D36&amp;" (2 tiết)",'PL10'!$S$22)),1,0)+IF(ISNUMBER(SEARCH(MAP_TNHN!D36&amp;" (2 tiết)",'PL10'!$S$23)),1,0)+IF(ISNUMBER(SEARCH(MAP_TNHN!D36&amp;" (2 tiết)",'PL10'!$S$24)),1,0)+IF(ISNUMBER(SEARCH(MAP_TNHN!D36&amp;" (2 tiết)",'PL10'!$S$25)),1,0))))</f>
        <v>0</v>
      </c>
    </row>
    <row r="36" spans="1:51" ht="15.5" x14ac:dyDescent="0.35">
      <c r="A36" s="313"/>
      <c r="B36" s="8">
        <v>6</v>
      </c>
      <c r="C36" s="13" t="s">
        <v>99</v>
      </c>
      <c r="D36" s="20"/>
      <c r="E36" s="224"/>
      <c r="F36" s="10"/>
      <c r="G36" s="10"/>
      <c r="H36" s="10"/>
      <c r="I36" s="159"/>
      <c r="J36" s="10"/>
      <c r="K36" s="224">
        <v>3</v>
      </c>
      <c r="L36" s="6"/>
      <c r="M36" s="6"/>
      <c r="N36" s="139"/>
      <c r="O36" s="6"/>
      <c r="P36" s="224">
        <v>5</v>
      </c>
      <c r="Q36" s="42"/>
      <c r="R36" s="42"/>
      <c r="S36" s="138"/>
      <c r="T36" s="42"/>
      <c r="U36" s="11">
        <f>E36*'Phân tiết'!$M$9+G36*('Phân tiết'!$M$21/3)+H36*'Phân tiết'!$L$26+AW36+J36*'Phân tiết'!$M$20+K36*'Phân tiết'!$I$9+M36*('Phân tiết'!$I$21/3)+AX36+O36*'Phân tiết'!$I$20+P36*'Phân tiết'!$E$9+R36*('Phân tiết'!$E$21/3)+AY36+T36*'Phân tiết'!$E$20</f>
        <v>16</v>
      </c>
      <c r="V36" s="8">
        <f t="shared" si="7"/>
        <v>0</v>
      </c>
      <c r="W36" s="6"/>
      <c r="X36" s="6"/>
      <c r="Y36" s="8"/>
      <c r="Z36" s="43">
        <f t="shared" si="8"/>
        <v>16</v>
      </c>
      <c r="AA36" s="34">
        <f t="shared" si="9"/>
        <v>-1</v>
      </c>
      <c r="AB36" s="8"/>
      <c r="AC36" s="8"/>
      <c r="AD36" s="6">
        <f t="shared" si="3"/>
        <v>0</v>
      </c>
      <c r="AE36" s="8"/>
      <c r="AF36" s="8"/>
      <c r="AG36" s="6">
        <f t="shared" si="5"/>
        <v>0</v>
      </c>
      <c r="AH36" s="8"/>
      <c r="AI36" s="8"/>
      <c r="AJ36" s="6">
        <f t="shared" si="10"/>
        <v>0</v>
      </c>
      <c r="AK36" s="6">
        <f t="shared" si="6"/>
        <v>-33</v>
      </c>
      <c r="AL36" s="8">
        <v>1</v>
      </c>
      <c r="AM36" s="8"/>
      <c r="AN36" s="8">
        <v>2</v>
      </c>
      <c r="AO36" s="8"/>
      <c r="AP36" s="8">
        <v>1</v>
      </c>
      <c r="AQ36" s="8">
        <v>1</v>
      </c>
      <c r="AR36" s="8">
        <v>1</v>
      </c>
      <c r="AS36" s="8">
        <v>2</v>
      </c>
      <c r="AT36" s="8">
        <v>2</v>
      </c>
      <c r="AU36" s="8"/>
      <c r="AV36" s="34"/>
      <c r="AW36">
        <f>IF(I36="",0,IF(MAP_TNHN!B37="",I36*3,I36*3-2*(IF(ISNUMBER(SEARCH(MAP_TNHN!B37&amp;" (1 tiết)",'PL12'!$S$5)),1,0)+IF(ISNUMBER(SEARCH(MAP_TNHN!B37&amp;" (1 tiết)",'PL12'!$S$6)),1,0)+IF(ISNUMBER(SEARCH(MAP_TNHN!B37&amp;" (1 tiết)",'PL12'!$S$7)),1,0)+IF(ISNUMBER(SEARCH(MAP_TNHN!B37&amp;" (1 tiết)",'PL12'!$S$8)),1,0)+IF(ISNUMBER(SEARCH(MAP_TNHN!B37&amp;" (1 tiết)",'PL12'!$S$9)),1,0)+IF(ISNUMBER(SEARCH(MAP_TNHN!B37&amp;" (1 tiết)",'PL12'!$S$10)),1,0)+IF(ISNUMBER(SEARCH(MAP_TNHN!B37&amp;" (1 tiết)",'PL12'!$S$11)),1,0)+IF(ISNUMBER(SEARCH(MAP_TNHN!B37&amp;" (1 tiết)",'PL12'!$S$12)),1,0)+IF(ISNUMBER(SEARCH(MAP_TNHN!B37&amp;" (1 tiết)",'PL12'!$S$13)),1,0)+IF(ISNUMBER(SEARCH(MAP_TNHN!B37&amp;" (1 tiết)",'PL12'!$S$14)),1,0)+IF(ISNUMBER(SEARCH(MAP_TNHN!B37&amp;" (1 tiết)",'PL12'!$S$15)),1,0)+IF(ISNUMBER(SEARCH(MAP_TNHN!B37&amp;" (1 tiết)",'PL12'!$S$16)),1,0)+IF(ISNUMBER(SEARCH(MAP_TNHN!B37&amp;" (1 tiết)",'PL12'!$S$17)),1,0)+IF(ISNUMBER(SEARCH(MAP_TNHN!B37&amp;" (1 tiết)",'PL12'!$S$18)),1,0)+IF(ISNUMBER(SEARCH(MAP_TNHN!B37&amp;" (1 tiết)",'PL12'!$S$19)),1,0))-(IF(ISNUMBER(SEARCH(MAP_TNHN!B37&amp;" (2 tiết)",'PL12'!$S$5)),1,0)+IF(ISNUMBER(SEARCH(MAP_TNHN!B37&amp;" (2 tiết)",'PL12'!$S$6)),1,0)+IF(ISNUMBER(SEARCH(MAP_TNHN!B37&amp;" (2 tiết)",'PL12'!$S$7)),1,0)+IF(ISNUMBER(SEARCH(MAP_TNHN!B37&amp;" (2 tiết)",'PL12'!$S$8)),1,0)+IF(ISNUMBER(SEARCH(MAP_TNHN!B37&amp;" (2 tiết)",'PL12'!$S$9)),1,0)+IF(ISNUMBER(SEARCH(MAP_TNHN!B37&amp;" (2 tiết)",'PL12'!$S$10)),1,0)+IF(ISNUMBER(SEARCH(MAP_TNHN!B37&amp;" (2 tiết)",'PL12'!$S$11)),1,0)+IF(ISNUMBER(SEARCH(MAP_TNHN!B37&amp;" (2 tiết)",'PL12'!$S$12)),1,0)+IF(ISNUMBER(SEARCH(MAP_TNHN!B37&amp;" (2 tiết)",'PL12'!$S$13)),1,0)+IF(ISNUMBER(SEARCH(MAP_TNHN!B37&amp;" (2 tiết)",'PL12'!$S$14)),1,0)+IF(ISNUMBER(SEARCH(MAP_TNHN!B37&amp;" (2 tiết)",'PL12'!$S$15)),1,0)+IF(ISNUMBER(SEARCH(MAP_TNHN!B37&amp;" (2 tiết)",'PL12'!$S$16)),1,0)+IF(ISNUMBER(SEARCH(MAP_TNHN!B37&amp;" (2 tiết)",'PL12'!$S$17)),1,0)+IF(ISNUMBER(SEARCH(MAP_TNHN!B37&amp;" (2 tiết)",'PL12'!$S$18)),1,0)+IF(ISNUMBER(SEARCH(MAP_TNHN!B37&amp;" (2 tiết)",'PL12'!$S$19)),1,0))))</f>
        <v>0</v>
      </c>
      <c r="AX36">
        <f>IF(N36="",0,IF(MAP_TNHN!C37="",N36*3,N36*3-2*(IF(ISNUMBER(SEARCH(MAP_TNHN!C37&amp;" (1 tiết)",'PL11'!$S$5)),1,0)+IF(ISNUMBER(SEARCH(MAP_TNHN!C37&amp;" (1 tiết)",'PL11'!$S$6)),1,0)+IF(ISNUMBER(SEARCH(MAP_TNHN!C37&amp;" (1 tiết)",'PL11'!$S$7)),1,0)+IF(ISNUMBER(SEARCH(MAP_TNHN!C37&amp;" (1 tiết)",'PL11'!$S$8)),1,0)+IF(ISNUMBER(SEARCH(MAP_TNHN!C37&amp;" (1 tiết)",'PL11'!$S$9)),1,0)+IF(ISNUMBER(SEARCH(MAP_TNHN!C37&amp;" (1 tiết)",'PL11'!$S$10)),1,0)+IF(ISNUMBER(SEARCH(MAP_TNHN!C37&amp;" (1 tiết)",'PL11'!$S$11)),1,0)+IF(ISNUMBER(SEARCH(MAP_TNHN!C37&amp;" (1 tiết)",'PL11'!$S$12)),1,0)+IF(ISNUMBER(SEARCH(MAP_TNHN!C37&amp;" (1 tiết)",'PL11'!$S$13)),1,0)+IF(ISNUMBER(SEARCH(MAP_TNHN!C37&amp;" (1 tiết)",'PL11'!$S$14)),1,0)+IF(ISNUMBER(SEARCH(MAP_TNHN!C37&amp;" (1 tiết)",'PL11'!$S$15)),1,0)+IF(ISNUMBER(SEARCH(MAP_TNHN!C37&amp;" (1 tiết)",'PL11'!$S$16)),1,0)+IF(ISNUMBER(SEARCH(MAP_TNHN!C37&amp;" (1 tiết)",'PL11'!$S$17)),1,0)+IF(ISNUMBER(SEARCH(MAP_TNHN!C37&amp;" (1 tiết)",'PL11'!$S$18)),1,0))-(IF(ISNUMBER(SEARCH(MAP_TNHN!C37&amp;" (2 tiết)",'PL11'!$S$5)),1,0)+IF(ISNUMBER(SEARCH(MAP_TNHN!C37&amp;" (2 tiết)",'PL11'!$S$6)),1,0)+IF(ISNUMBER(SEARCH(MAP_TNHN!C37&amp;" (2 tiết)",'PL11'!$S$7)),1,0)+IF(ISNUMBER(SEARCH(MAP_TNHN!C37&amp;" (2 tiết)",'PL11'!$S$8)),1,0)+IF(ISNUMBER(SEARCH(MAP_TNHN!C37&amp;" (2 tiết)",'PL11'!$S$9)),1,0)+IF(ISNUMBER(SEARCH(MAP_TNHN!C37&amp;" (2 tiết)",'PL11'!$S$10)),1,0)+IF(ISNUMBER(SEARCH(MAP_TNHN!C37&amp;" (2 tiết)",'PL11'!$S$11)),1,0)+IF(ISNUMBER(SEARCH(MAP_TNHN!C37&amp;" (2 tiết)",'PL11'!$S$12)),1,0)+IF(ISNUMBER(SEARCH(MAP_TNHN!C37&amp;" (2 tiết)",'PL11'!$S$13)),1,0)+IF(ISNUMBER(SEARCH(MAP_TNHN!C37&amp;" (2 tiết)",'PL11'!$S$14)),1,0)+IF(ISNUMBER(SEARCH(MAP_TNHN!C37&amp;" (2 tiết)",'PL11'!$S$15)),1,0)+IF(ISNUMBER(SEARCH(MAP_TNHN!C37&amp;" (2 tiết)",'PL11'!$S$16)),1,0)+IF(ISNUMBER(SEARCH(MAP_TNHN!C37&amp;" (2 tiết)",'PL11'!$S$17)),1,0)+IF(ISNUMBER(SEARCH(MAP_TNHN!C37&amp;" (2 tiết)",'PL11'!$S$18)),1,0))))</f>
        <v>0</v>
      </c>
      <c r="AY36">
        <f>IF(S36="",0,IF(MAP_TNHN!D37="",S36*3,S36*3-2*(IF(ISNUMBER(SEARCH(MAP_TNHN!D37&amp;" (1 tiết)",'PL10'!$S$5)),1,0)+IF(ISNUMBER(SEARCH(MAP_TNHN!D37&amp;" (1 tiết)",'PL10'!$S$6)),1,0)+IF(ISNUMBER(SEARCH(MAP_TNHN!D37&amp;" (1 tiết)",'PL10'!$S$7)),1,0)+IF(ISNUMBER(SEARCH(MAP_TNHN!D37&amp;" (1 tiết)",'PL10'!$S$8)),1,0)+IF(ISNUMBER(SEARCH(MAP_TNHN!D37&amp;" (1 tiết)",'PL10'!$S$9)),1,0)+IF(ISNUMBER(SEARCH(MAP_TNHN!D37&amp;" (1 tiết)",'PL10'!$S$10)),1,0)+IF(ISNUMBER(SEARCH(MAP_TNHN!D37&amp;" (1 tiết)",'PL10'!$S$11)),1,0)+IF(ISNUMBER(SEARCH(MAP_TNHN!D37&amp;" (1 tiết)",'PL10'!$S$12)),1,0)+IF(ISNUMBER(SEARCH(MAP_TNHN!D37&amp;" (1 tiết)",'PL10'!$S$13)),1,0)+IF(ISNUMBER(SEARCH(MAP_TNHN!D37&amp;" (1 tiết)",'PL10'!$S$14)),1,0)+IF(ISNUMBER(SEARCH(MAP_TNHN!D37&amp;" (1 tiết)",'PL10'!$S$15)),1,0)+IF(ISNUMBER(SEARCH(MAP_TNHN!D37&amp;" (1 tiết)",'PL10'!$S$16)),1,0)+IF(ISNUMBER(SEARCH(MAP_TNHN!D37&amp;" (1 tiết)",'PL10'!$S$17)),1,0)+IF(ISNUMBER(SEARCH(MAP_TNHN!D37&amp;" (1 tiết)",'PL10'!$S$18)),1,0)+IF(ISNUMBER(SEARCH(MAP_TNHN!D37&amp;" (1 tiết)",'PL10'!$S$19)),1,0)+IF(ISNUMBER(SEARCH(MAP_TNHN!D37&amp;" (1 tiết)",'PL10'!$S$20)),1,0)+IF(ISNUMBER(SEARCH(MAP_TNHN!D37&amp;" (1 tiết)",'PL10'!$S$21)),1,0)+IF(ISNUMBER(SEARCH(MAP_TNHN!D37&amp;" (1 tiết)",'PL10'!$S$22)),1,0)+IF(ISNUMBER(SEARCH(MAP_TNHN!D37&amp;" (1 tiết)",'PL10'!$S$23)),1,0)+IF(ISNUMBER(SEARCH(MAP_TNHN!D37&amp;" (1 tiết)",'PL10'!$S$24)),1,0)+IF(ISNUMBER(SEARCH(MAP_TNHN!D37&amp;" (1 tiết)",'PL10'!$S$25)),1,0))-(IF(ISNUMBER(SEARCH(MAP_TNHN!D37&amp;" (2 tiết)",'PL10'!$S$5)),1,0)+IF(ISNUMBER(SEARCH(MAP_TNHN!D37&amp;" (2 tiết)",'PL10'!$S$6)),1,0)+IF(ISNUMBER(SEARCH(MAP_TNHN!D37&amp;" (2 tiết)",'PL10'!$S$7)),1,0)+IF(ISNUMBER(SEARCH(MAP_TNHN!D37&amp;" (2 tiết)",'PL10'!$S$8)),1,0)+IF(ISNUMBER(SEARCH(MAP_TNHN!D37&amp;" (2 tiết)",'PL10'!$S$9)),1,0)+IF(ISNUMBER(SEARCH(MAP_TNHN!D37&amp;" (2 tiết)",'PL10'!$S$10)),1,0)+IF(ISNUMBER(SEARCH(MAP_TNHN!D37&amp;" (2 tiết)",'PL10'!$S$11)),1,0)+IF(ISNUMBER(SEARCH(MAP_TNHN!D37&amp;" (2 tiết)",'PL10'!$S$12)),1,0)+IF(ISNUMBER(SEARCH(MAP_TNHN!D37&amp;" (2 tiết)",'PL10'!$S$13)),1,0)+IF(ISNUMBER(SEARCH(MAP_TNHN!D37&amp;" (2 tiết)",'PL10'!$S$14)),1,0)+IF(ISNUMBER(SEARCH(MAP_TNHN!D37&amp;" (2 tiết)",'PL10'!$S$15)),1,0)+IF(ISNUMBER(SEARCH(MAP_TNHN!D37&amp;" (2 tiết)",'PL10'!$S$16)),1,0)+IF(ISNUMBER(SEARCH(MAP_TNHN!D37&amp;" (2 tiết)",'PL10'!$S$17)),1,0)+IF(ISNUMBER(SEARCH(MAP_TNHN!D37&amp;" (2 tiết)",'PL10'!$S$18)),1,0)+IF(ISNUMBER(SEARCH(MAP_TNHN!D37&amp;" (2 tiết)",'PL10'!$S$19)),1,0)+IF(ISNUMBER(SEARCH(MAP_TNHN!D37&amp;" (2 tiết)",'PL10'!$S$20)),1,0)+IF(ISNUMBER(SEARCH(MAP_TNHN!D37&amp;" (2 tiết)",'PL10'!$S$21)),1,0)+IF(ISNUMBER(SEARCH(MAP_TNHN!D37&amp;" (2 tiết)",'PL10'!$S$22)),1,0)+IF(ISNUMBER(SEARCH(MAP_TNHN!D37&amp;" (2 tiết)",'PL10'!$S$23)),1,0)+IF(ISNUMBER(SEARCH(MAP_TNHN!D37&amp;" (2 tiết)",'PL10'!$S$24)),1,0)+IF(ISNUMBER(SEARCH(MAP_TNHN!D37&amp;" (2 tiết)",'PL10'!$S$25)),1,0))))</f>
        <v>0</v>
      </c>
    </row>
    <row r="37" spans="1:51" s="89" customFormat="1" ht="15.5" x14ac:dyDescent="0.35">
      <c r="A37" s="88"/>
      <c r="B37" s="85"/>
      <c r="C37" s="86" t="s">
        <v>65</v>
      </c>
      <c r="D37" s="85"/>
      <c r="E37" s="92">
        <f>SUM(E31:E36)</f>
        <v>16</v>
      </c>
      <c r="F37" s="92"/>
      <c r="G37" s="92">
        <f>SUM(G31:G36)</f>
        <v>0</v>
      </c>
      <c r="H37" s="92"/>
      <c r="I37" s="163"/>
      <c r="J37" s="92"/>
      <c r="K37" s="92">
        <f>SUM(K31:K36)</f>
        <v>14</v>
      </c>
      <c r="L37" s="92"/>
      <c r="M37" s="92">
        <f>SUM(M31:M36)</f>
        <v>0</v>
      </c>
      <c r="N37" s="163"/>
      <c r="O37" s="92"/>
      <c r="P37" s="92">
        <f>SUM(P31:P36)</f>
        <v>20</v>
      </c>
      <c r="Q37" s="92"/>
      <c r="R37" s="92">
        <f>SUM(R31:R36)</f>
        <v>0</v>
      </c>
      <c r="S37" s="163"/>
      <c r="T37" s="92"/>
      <c r="U37" s="87"/>
      <c r="V37" s="85"/>
      <c r="W37" s="85"/>
      <c r="X37" s="85"/>
      <c r="Y37" s="85"/>
      <c r="Z37" s="88"/>
      <c r="AA37" s="88"/>
      <c r="AB37" s="85"/>
      <c r="AC37" s="85"/>
      <c r="AD37" s="85">
        <f t="shared" si="3"/>
        <v>0</v>
      </c>
      <c r="AE37" s="85"/>
      <c r="AF37" s="85"/>
      <c r="AG37" s="85">
        <f t="shared" si="5"/>
        <v>0</v>
      </c>
      <c r="AH37" s="85"/>
      <c r="AI37" s="85"/>
      <c r="AJ37" s="85"/>
      <c r="AK37" s="85">
        <f t="shared" si="6"/>
        <v>0</v>
      </c>
      <c r="AL37" s="85"/>
      <c r="AM37" s="85"/>
      <c r="AN37" s="85"/>
      <c r="AO37" s="85"/>
      <c r="AP37" s="85"/>
      <c r="AQ37" s="85"/>
      <c r="AR37" s="85"/>
      <c r="AS37" s="85"/>
      <c r="AT37" s="85"/>
      <c r="AU37" s="85"/>
      <c r="AV37" s="88"/>
      <c r="AW37"/>
      <c r="AX37"/>
      <c r="AY37"/>
    </row>
    <row r="38" spans="1:51" x14ac:dyDescent="0.35">
      <c r="A38" s="313" t="s">
        <v>100</v>
      </c>
      <c r="B38" s="11">
        <v>1</v>
      </c>
      <c r="C38" s="12" t="s">
        <v>101</v>
      </c>
      <c r="D38" s="21"/>
      <c r="E38" s="45">
        <v>2</v>
      </c>
      <c r="F38" s="45"/>
      <c r="G38" s="45">
        <v>2</v>
      </c>
      <c r="H38" s="45">
        <v>1</v>
      </c>
      <c r="I38" s="308"/>
      <c r="J38" s="45"/>
      <c r="K38" s="46"/>
      <c r="L38" s="46"/>
      <c r="M38" s="46"/>
      <c r="N38" s="164"/>
      <c r="O38" s="46"/>
      <c r="P38" s="47">
        <v>2</v>
      </c>
      <c r="Q38" s="47"/>
      <c r="R38" s="47">
        <v>2</v>
      </c>
      <c r="S38" s="165"/>
      <c r="T38" s="47"/>
      <c r="U38" s="11">
        <f>E38*('Phân tiết'!$M$18/4)+G38*('Phân tiết'!$M$21/3)+H38*'Phân tiết'!$L$26+AW38+J38*'Phân tiết'!$M$20+K38*('Phân tiết'!$I$18/4)+M38*('Phân tiết'!$I$21/3)+AX38+O38*'Phân tiết'!$I$20+P38*('Phân tiết'!$E$18/4)+R38*('Phân tiết'!$E$21/3)+AY38+T38*'Phân tiết'!$E$20</f>
        <v>14</v>
      </c>
      <c r="V38" s="8">
        <f t="shared" ref="V38:V44" si="11">F38*4+L38*4+Q38*4</f>
        <v>0</v>
      </c>
      <c r="W38" s="6" t="s">
        <v>45</v>
      </c>
      <c r="X38" s="6"/>
      <c r="Y38" s="11">
        <v>3</v>
      </c>
      <c r="Z38" s="43">
        <f t="shared" ref="Z38:Z50" si="12">SUM(U38:Y38)</f>
        <v>17</v>
      </c>
      <c r="AA38" s="34">
        <f t="shared" ref="AA38:AA44" si="13">Z38-17</f>
        <v>0</v>
      </c>
      <c r="AB38" s="8">
        <v>2</v>
      </c>
      <c r="AC38" s="8">
        <v>20</v>
      </c>
      <c r="AD38" s="6">
        <f t="shared" si="3"/>
        <v>60</v>
      </c>
      <c r="AE38" s="8"/>
      <c r="AF38" s="8"/>
      <c r="AG38" s="6">
        <f t="shared" si="5"/>
        <v>0</v>
      </c>
      <c r="AH38" s="8"/>
      <c r="AI38" s="8"/>
      <c r="AJ38" s="6">
        <f t="shared" ref="AJ38:AJ44" si="14">AH38*AI38</f>
        <v>0</v>
      </c>
      <c r="AK38" s="6">
        <f t="shared" si="6"/>
        <v>60</v>
      </c>
      <c r="AL38" s="11" t="s">
        <v>64</v>
      </c>
      <c r="AM38" s="11"/>
      <c r="AN38" s="11"/>
      <c r="AO38" s="11" t="s">
        <v>46</v>
      </c>
      <c r="AP38" s="11" t="s">
        <v>46</v>
      </c>
      <c r="AQ38" s="11" t="s">
        <v>46</v>
      </c>
      <c r="AR38" s="11" t="s">
        <v>46</v>
      </c>
      <c r="AS38" s="11"/>
      <c r="AT38" s="11" t="s">
        <v>46</v>
      </c>
      <c r="AU38" s="11" t="s">
        <v>84</v>
      </c>
      <c r="AV38" s="8"/>
      <c r="AW38">
        <f>IF(I38="",0,IF(MAP_TNHN!B39="",I38*3,I38*3-2*(IF(ISNUMBER(SEARCH(MAP_TNHN!B39&amp;" (1 tiết)",'PL12'!$S$5)),1,0)+IF(ISNUMBER(SEARCH(MAP_TNHN!B39&amp;" (1 tiết)",'PL12'!$S$6)),1,0)+IF(ISNUMBER(SEARCH(MAP_TNHN!B39&amp;" (1 tiết)",'PL12'!$S$7)),1,0)+IF(ISNUMBER(SEARCH(MAP_TNHN!B39&amp;" (1 tiết)",'PL12'!$S$8)),1,0)+IF(ISNUMBER(SEARCH(MAP_TNHN!B39&amp;" (1 tiết)",'PL12'!$S$9)),1,0)+IF(ISNUMBER(SEARCH(MAP_TNHN!B39&amp;" (1 tiết)",'PL12'!$S$10)),1,0)+IF(ISNUMBER(SEARCH(MAP_TNHN!B39&amp;" (1 tiết)",'PL12'!$S$11)),1,0)+IF(ISNUMBER(SEARCH(MAP_TNHN!B39&amp;" (1 tiết)",'PL12'!$S$12)),1,0)+IF(ISNUMBER(SEARCH(MAP_TNHN!B39&amp;" (1 tiết)",'PL12'!$S$13)),1,0)+IF(ISNUMBER(SEARCH(MAP_TNHN!B39&amp;" (1 tiết)",'PL12'!$S$14)),1,0)+IF(ISNUMBER(SEARCH(MAP_TNHN!B39&amp;" (1 tiết)",'PL12'!$S$15)),1,0)+IF(ISNUMBER(SEARCH(MAP_TNHN!B39&amp;" (1 tiết)",'PL12'!$S$16)),1,0)+IF(ISNUMBER(SEARCH(MAP_TNHN!B39&amp;" (1 tiết)",'PL12'!$S$17)),1,0)+IF(ISNUMBER(SEARCH(MAP_TNHN!B39&amp;" (1 tiết)",'PL12'!$S$18)),1,0)+IF(ISNUMBER(SEARCH(MAP_TNHN!B39&amp;" (1 tiết)",'PL12'!$S$19)),1,0))-(IF(ISNUMBER(SEARCH(MAP_TNHN!B39&amp;" (2 tiết)",'PL12'!$S$5)),1,0)+IF(ISNUMBER(SEARCH(MAP_TNHN!B39&amp;" (2 tiết)",'PL12'!$S$6)),1,0)+IF(ISNUMBER(SEARCH(MAP_TNHN!B39&amp;" (2 tiết)",'PL12'!$S$7)),1,0)+IF(ISNUMBER(SEARCH(MAP_TNHN!B39&amp;" (2 tiết)",'PL12'!$S$8)),1,0)+IF(ISNUMBER(SEARCH(MAP_TNHN!B39&amp;" (2 tiết)",'PL12'!$S$9)),1,0)+IF(ISNUMBER(SEARCH(MAP_TNHN!B39&amp;" (2 tiết)",'PL12'!$S$10)),1,0)+IF(ISNUMBER(SEARCH(MAP_TNHN!B39&amp;" (2 tiết)",'PL12'!$S$11)),1,0)+IF(ISNUMBER(SEARCH(MAP_TNHN!B39&amp;" (2 tiết)",'PL12'!$S$12)),1,0)+IF(ISNUMBER(SEARCH(MAP_TNHN!B39&amp;" (2 tiết)",'PL12'!$S$13)),1,0)+IF(ISNUMBER(SEARCH(MAP_TNHN!B39&amp;" (2 tiết)",'PL12'!$S$14)),1,0)+IF(ISNUMBER(SEARCH(MAP_TNHN!B39&amp;" (2 tiết)",'PL12'!$S$15)),1,0)+IF(ISNUMBER(SEARCH(MAP_TNHN!B39&amp;" (2 tiết)",'PL12'!$S$16)),1,0)+IF(ISNUMBER(SEARCH(MAP_TNHN!B39&amp;" (2 tiết)",'PL12'!$S$17)),1,0)+IF(ISNUMBER(SEARCH(MAP_TNHN!B39&amp;" (2 tiết)",'PL12'!$S$18)),1,0)+IF(ISNUMBER(SEARCH(MAP_TNHN!B39&amp;" (2 tiết)",'PL12'!$S$19)),1,0))))</f>
        <v>0</v>
      </c>
      <c r="AX38">
        <f>IF(N38="",0,IF(MAP_TNHN!C39="",N38*3,N38*3-2*(IF(ISNUMBER(SEARCH(MAP_TNHN!C39&amp;" (1 tiết)",'PL11'!$S$5)),1,0)+IF(ISNUMBER(SEARCH(MAP_TNHN!C39&amp;" (1 tiết)",'PL11'!$S$6)),1,0)+IF(ISNUMBER(SEARCH(MAP_TNHN!C39&amp;" (1 tiết)",'PL11'!$S$7)),1,0)+IF(ISNUMBER(SEARCH(MAP_TNHN!C39&amp;" (1 tiết)",'PL11'!$S$8)),1,0)+IF(ISNUMBER(SEARCH(MAP_TNHN!C39&amp;" (1 tiết)",'PL11'!$S$9)),1,0)+IF(ISNUMBER(SEARCH(MAP_TNHN!C39&amp;" (1 tiết)",'PL11'!$S$10)),1,0)+IF(ISNUMBER(SEARCH(MAP_TNHN!C39&amp;" (1 tiết)",'PL11'!$S$11)),1,0)+IF(ISNUMBER(SEARCH(MAP_TNHN!C39&amp;" (1 tiết)",'PL11'!$S$12)),1,0)+IF(ISNUMBER(SEARCH(MAP_TNHN!C39&amp;" (1 tiết)",'PL11'!$S$13)),1,0)+IF(ISNUMBER(SEARCH(MAP_TNHN!C39&amp;" (1 tiết)",'PL11'!$S$14)),1,0)+IF(ISNUMBER(SEARCH(MAP_TNHN!C39&amp;" (1 tiết)",'PL11'!$S$15)),1,0)+IF(ISNUMBER(SEARCH(MAP_TNHN!C39&amp;" (1 tiết)",'PL11'!$S$16)),1,0)+IF(ISNUMBER(SEARCH(MAP_TNHN!C39&amp;" (1 tiết)",'PL11'!$S$17)),1,0)+IF(ISNUMBER(SEARCH(MAP_TNHN!C39&amp;" (1 tiết)",'PL11'!$S$18)),1,0))-(IF(ISNUMBER(SEARCH(MAP_TNHN!C39&amp;" (2 tiết)",'PL11'!$S$5)),1,0)+IF(ISNUMBER(SEARCH(MAP_TNHN!C39&amp;" (2 tiết)",'PL11'!$S$6)),1,0)+IF(ISNUMBER(SEARCH(MAP_TNHN!C39&amp;" (2 tiết)",'PL11'!$S$7)),1,0)+IF(ISNUMBER(SEARCH(MAP_TNHN!C39&amp;" (2 tiết)",'PL11'!$S$8)),1,0)+IF(ISNUMBER(SEARCH(MAP_TNHN!C39&amp;" (2 tiết)",'PL11'!$S$9)),1,0)+IF(ISNUMBER(SEARCH(MAP_TNHN!C39&amp;" (2 tiết)",'PL11'!$S$10)),1,0)+IF(ISNUMBER(SEARCH(MAP_TNHN!C39&amp;" (2 tiết)",'PL11'!$S$11)),1,0)+IF(ISNUMBER(SEARCH(MAP_TNHN!C39&amp;" (2 tiết)",'PL11'!$S$12)),1,0)+IF(ISNUMBER(SEARCH(MAP_TNHN!C39&amp;" (2 tiết)",'PL11'!$S$13)),1,0)+IF(ISNUMBER(SEARCH(MAP_TNHN!C39&amp;" (2 tiết)",'PL11'!$S$14)),1,0)+IF(ISNUMBER(SEARCH(MAP_TNHN!C39&amp;" (2 tiết)",'PL11'!$S$15)),1,0)+IF(ISNUMBER(SEARCH(MAP_TNHN!C39&amp;" (2 tiết)",'PL11'!$S$16)),1,0)+IF(ISNUMBER(SEARCH(MAP_TNHN!C39&amp;" (2 tiết)",'PL11'!$S$17)),1,0)+IF(ISNUMBER(SEARCH(MAP_TNHN!C39&amp;" (2 tiết)",'PL11'!$S$18)),1,0))))</f>
        <v>0</v>
      </c>
      <c r="AY38">
        <f>IF(S38="",0,IF(MAP_TNHN!D39="",S38*3,S38*3-2*(IF(ISNUMBER(SEARCH(MAP_TNHN!D39&amp;" (1 tiết)",'PL10'!$S$5)),1,0)+IF(ISNUMBER(SEARCH(MAP_TNHN!D39&amp;" (1 tiết)",'PL10'!$S$6)),1,0)+IF(ISNUMBER(SEARCH(MAP_TNHN!D39&amp;" (1 tiết)",'PL10'!$S$7)),1,0)+IF(ISNUMBER(SEARCH(MAP_TNHN!D39&amp;" (1 tiết)",'PL10'!$S$8)),1,0)+IF(ISNUMBER(SEARCH(MAP_TNHN!D39&amp;" (1 tiết)",'PL10'!$S$9)),1,0)+IF(ISNUMBER(SEARCH(MAP_TNHN!D39&amp;" (1 tiết)",'PL10'!$S$10)),1,0)+IF(ISNUMBER(SEARCH(MAP_TNHN!D39&amp;" (1 tiết)",'PL10'!$S$11)),1,0)+IF(ISNUMBER(SEARCH(MAP_TNHN!D39&amp;" (1 tiết)",'PL10'!$S$12)),1,0)+IF(ISNUMBER(SEARCH(MAP_TNHN!D39&amp;" (1 tiết)",'PL10'!$S$13)),1,0)+IF(ISNUMBER(SEARCH(MAP_TNHN!D39&amp;" (1 tiết)",'PL10'!$S$14)),1,0)+IF(ISNUMBER(SEARCH(MAP_TNHN!D39&amp;" (1 tiết)",'PL10'!$S$15)),1,0)+IF(ISNUMBER(SEARCH(MAP_TNHN!D39&amp;" (1 tiết)",'PL10'!$S$16)),1,0)+IF(ISNUMBER(SEARCH(MAP_TNHN!D39&amp;" (1 tiết)",'PL10'!$S$17)),1,0)+IF(ISNUMBER(SEARCH(MAP_TNHN!D39&amp;" (1 tiết)",'PL10'!$S$18)),1,0)+IF(ISNUMBER(SEARCH(MAP_TNHN!D39&amp;" (1 tiết)",'PL10'!$S$19)),1,0)+IF(ISNUMBER(SEARCH(MAP_TNHN!D39&amp;" (1 tiết)",'PL10'!$S$20)),1,0)+IF(ISNUMBER(SEARCH(MAP_TNHN!D39&amp;" (1 tiết)",'PL10'!$S$21)),1,0)+IF(ISNUMBER(SEARCH(MAP_TNHN!D39&amp;" (1 tiết)",'PL10'!$S$22)),1,0)+IF(ISNUMBER(SEARCH(MAP_TNHN!D39&amp;" (1 tiết)",'PL10'!$S$23)),1,0)+IF(ISNUMBER(SEARCH(MAP_TNHN!D39&amp;" (1 tiết)",'PL10'!$S$24)),1,0)+IF(ISNUMBER(SEARCH(MAP_TNHN!D39&amp;" (1 tiết)",'PL10'!$S$25)),1,0))-(IF(ISNUMBER(SEARCH(MAP_TNHN!D39&amp;" (2 tiết)",'PL10'!$S$5)),1,0)+IF(ISNUMBER(SEARCH(MAP_TNHN!D39&amp;" (2 tiết)",'PL10'!$S$6)),1,0)+IF(ISNUMBER(SEARCH(MAP_TNHN!D39&amp;" (2 tiết)",'PL10'!$S$7)),1,0)+IF(ISNUMBER(SEARCH(MAP_TNHN!D39&amp;" (2 tiết)",'PL10'!$S$8)),1,0)+IF(ISNUMBER(SEARCH(MAP_TNHN!D39&amp;" (2 tiết)",'PL10'!$S$9)),1,0)+IF(ISNUMBER(SEARCH(MAP_TNHN!D39&amp;" (2 tiết)",'PL10'!$S$10)),1,0)+IF(ISNUMBER(SEARCH(MAP_TNHN!D39&amp;" (2 tiết)",'PL10'!$S$11)),1,0)+IF(ISNUMBER(SEARCH(MAP_TNHN!D39&amp;" (2 tiết)",'PL10'!$S$12)),1,0)+IF(ISNUMBER(SEARCH(MAP_TNHN!D39&amp;" (2 tiết)",'PL10'!$S$13)),1,0)+IF(ISNUMBER(SEARCH(MAP_TNHN!D39&amp;" (2 tiết)",'PL10'!$S$14)),1,0)+IF(ISNUMBER(SEARCH(MAP_TNHN!D39&amp;" (2 tiết)",'PL10'!$S$15)),1,0)+IF(ISNUMBER(SEARCH(MAP_TNHN!D39&amp;" (2 tiết)",'PL10'!$S$16)),1,0)+IF(ISNUMBER(SEARCH(MAP_TNHN!D39&amp;" (2 tiết)",'PL10'!$S$17)),1,0)+IF(ISNUMBER(SEARCH(MAP_TNHN!D39&amp;" (2 tiết)",'PL10'!$S$18)),1,0)+IF(ISNUMBER(SEARCH(MAP_TNHN!D39&amp;" (2 tiết)",'PL10'!$S$19)),1,0)+IF(ISNUMBER(SEARCH(MAP_TNHN!D39&amp;" (2 tiết)",'PL10'!$S$20)),1,0)+IF(ISNUMBER(SEARCH(MAP_TNHN!D39&amp;" (2 tiết)",'PL10'!$S$21)),1,0)+IF(ISNUMBER(SEARCH(MAP_TNHN!D39&amp;" (2 tiết)",'PL10'!$S$22)),1,0)+IF(ISNUMBER(SEARCH(MAP_TNHN!D39&amp;" (2 tiết)",'PL10'!$S$23)),1,0)+IF(ISNUMBER(SEARCH(MAP_TNHN!D39&amp;" (2 tiết)",'PL10'!$S$24)),1,0)+IF(ISNUMBER(SEARCH(MAP_TNHN!D39&amp;" (2 tiết)",'PL10'!$S$25)),1,0))))</f>
        <v>0</v>
      </c>
    </row>
    <row r="39" spans="1:51" x14ac:dyDescent="0.35">
      <c r="A39" s="313"/>
      <c r="B39" s="11">
        <v>2</v>
      </c>
      <c r="C39" s="12" t="s">
        <v>102</v>
      </c>
      <c r="D39" s="21">
        <v>11</v>
      </c>
      <c r="E39" s="45"/>
      <c r="F39" s="45"/>
      <c r="G39" s="45"/>
      <c r="H39" s="45"/>
      <c r="I39" s="161"/>
      <c r="J39" s="45"/>
      <c r="K39" s="46">
        <v>2</v>
      </c>
      <c r="L39" s="46">
        <v>1</v>
      </c>
      <c r="M39" s="46">
        <v>2</v>
      </c>
      <c r="N39" s="164">
        <v>1</v>
      </c>
      <c r="O39" s="46"/>
      <c r="P39" s="47">
        <v>2</v>
      </c>
      <c r="Q39" s="47"/>
      <c r="R39" s="47">
        <v>2</v>
      </c>
      <c r="S39" s="165"/>
      <c r="T39" s="47"/>
      <c r="U39" s="11">
        <f>E39*('Phân tiết'!$M$18/4)+G39*('Phân tiết'!$M$21/3)+H39*'Phân tiết'!$L$26+AW39+J39*'Phân tiết'!$M$20+K39*('Phân tiết'!$I$18/4)+M39*('Phân tiết'!$I$21/3)+AX39+O39*'Phân tiết'!$I$20+P39*('Phân tiết'!$E$18/4)+R39*('Phân tiết'!$E$21/3)+AY39+T39*'Phân tiết'!$E$20</f>
        <v>15</v>
      </c>
      <c r="V39" s="8">
        <f t="shared" si="11"/>
        <v>4</v>
      </c>
      <c r="W39" s="6"/>
      <c r="X39" s="6"/>
      <c r="Y39" s="11">
        <v>1</v>
      </c>
      <c r="Z39" s="43">
        <f t="shared" si="12"/>
        <v>20</v>
      </c>
      <c r="AA39" s="34">
        <f t="shared" si="13"/>
        <v>3</v>
      </c>
      <c r="AB39" s="8"/>
      <c r="AC39" s="8"/>
      <c r="AD39" s="6">
        <f t="shared" si="3"/>
        <v>0</v>
      </c>
      <c r="AE39" s="8"/>
      <c r="AF39" s="8"/>
      <c r="AG39" s="6">
        <f t="shared" si="5"/>
        <v>0</v>
      </c>
      <c r="AH39" s="8"/>
      <c r="AI39" s="8"/>
      <c r="AJ39" s="6">
        <f t="shared" si="14"/>
        <v>0</v>
      </c>
      <c r="AK39" s="6">
        <f t="shared" si="6"/>
        <v>99</v>
      </c>
      <c r="AL39" s="11"/>
      <c r="AM39" s="8"/>
      <c r="AN39" s="11"/>
      <c r="AO39" s="11"/>
      <c r="AP39" s="11"/>
      <c r="AQ39" s="11"/>
      <c r="AR39" s="11"/>
      <c r="AS39" s="11"/>
      <c r="AT39" s="11"/>
      <c r="AU39" s="11"/>
      <c r="AV39" s="8"/>
      <c r="AW39">
        <f>IF(I39="",0,IF(MAP_TNHN!B40="",I39*3,I39*3-2*(IF(ISNUMBER(SEARCH(MAP_TNHN!B40&amp;" (1 tiết)",'PL12'!$S$5)),1,0)+IF(ISNUMBER(SEARCH(MAP_TNHN!B40&amp;" (1 tiết)",'PL12'!$S$6)),1,0)+IF(ISNUMBER(SEARCH(MAP_TNHN!B40&amp;" (1 tiết)",'PL12'!$S$7)),1,0)+IF(ISNUMBER(SEARCH(MAP_TNHN!B40&amp;" (1 tiết)",'PL12'!$S$8)),1,0)+IF(ISNUMBER(SEARCH(MAP_TNHN!B40&amp;" (1 tiết)",'PL12'!$S$9)),1,0)+IF(ISNUMBER(SEARCH(MAP_TNHN!B40&amp;" (1 tiết)",'PL12'!$S$10)),1,0)+IF(ISNUMBER(SEARCH(MAP_TNHN!B40&amp;" (1 tiết)",'PL12'!$S$11)),1,0)+IF(ISNUMBER(SEARCH(MAP_TNHN!B40&amp;" (1 tiết)",'PL12'!$S$12)),1,0)+IF(ISNUMBER(SEARCH(MAP_TNHN!B40&amp;" (1 tiết)",'PL12'!$S$13)),1,0)+IF(ISNUMBER(SEARCH(MAP_TNHN!B40&amp;" (1 tiết)",'PL12'!$S$14)),1,0)+IF(ISNUMBER(SEARCH(MAP_TNHN!B40&amp;" (1 tiết)",'PL12'!$S$15)),1,0)+IF(ISNUMBER(SEARCH(MAP_TNHN!B40&amp;" (1 tiết)",'PL12'!$S$16)),1,0)+IF(ISNUMBER(SEARCH(MAP_TNHN!B40&amp;" (1 tiết)",'PL12'!$S$17)),1,0)+IF(ISNUMBER(SEARCH(MAP_TNHN!B40&amp;" (1 tiết)",'PL12'!$S$18)),1,0)+IF(ISNUMBER(SEARCH(MAP_TNHN!B40&amp;" (1 tiết)",'PL12'!$S$19)),1,0))-(IF(ISNUMBER(SEARCH(MAP_TNHN!B40&amp;" (2 tiết)",'PL12'!$S$5)),1,0)+IF(ISNUMBER(SEARCH(MAP_TNHN!B40&amp;" (2 tiết)",'PL12'!$S$6)),1,0)+IF(ISNUMBER(SEARCH(MAP_TNHN!B40&amp;" (2 tiết)",'PL12'!$S$7)),1,0)+IF(ISNUMBER(SEARCH(MAP_TNHN!B40&amp;" (2 tiết)",'PL12'!$S$8)),1,0)+IF(ISNUMBER(SEARCH(MAP_TNHN!B40&amp;" (2 tiết)",'PL12'!$S$9)),1,0)+IF(ISNUMBER(SEARCH(MAP_TNHN!B40&amp;" (2 tiết)",'PL12'!$S$10)),1,0)+IF(ISNUMBER(SEARCH(MAP_TNHN!B40&amp;" (2 tiết)",'PL12'!$S$11)),1,0)+IF(ISNUMBER(SEARCH(MAP_TNHN!B40&amp;" (2 tiết)",'PL12'!$S$12)),1,0)+IF(ISNUMBER(SEARCH(MAP_TNHN!B40&amp;" (2 tiết)",'PL12'!$S$13)),1,0)+IF(ISNUMBER(SEARCH(MAP_TNHN!B40&amp;" (2 tiết)",'PL12'!$S$14)),1,0)+IF(ISNUMBER(SEARCH(MAP_TNHN!B40&amp;" (2 tiết)",'PL12'!$S$15)),1,0)+IF(ISNUMBER(SEARCH(MAP_TNHN!B40&amp;" (2 tiết)",'PL12'!$S$16)),1,0)+IF(ISNUMBER(SEARCH(MAP_TNHN!B40&amp;" (2 tiết)",'PL12'!$S$17)),1,0)+IF(ISNUMBER(SEARCH(MAP_TNHN!B40&amp;" (2 tiết)",'PL12'!$S$18)),1,0)+IF(ISNUMBER(SEARCH(MAP_TNHN!B40&amp;" (2 tiết)",'PL12'!$S$19)),1,0))))</f>
        <v>0</v>
      </c>
      <c r="AX39">
        <f>IF(N39="",0,IF(MAP_TNHN!C40="",N39*3,N39*3-2*(IF(ISNUMBER(SEARCH(MAP_TNHN!C40&amp;" (1 tiết)",'PL11'!$S$5)),1,0)+IF(ISNUMBER(SEARCH(MAP_TNHN!C40&amp;" (1 tiết)",'PL11'!$S$6)),1,0)+IF(ISNUMBER(SEARCH(MAP_TNHN!C40&amp;" (1 tiết)",'PL11'!$S$7)),1,0)+IF(ISNUMBER(SEARCH(MAP_TNHN!C40&amp;" (1 tiết)",'PL11'!$S$8)),1,0)+IF(ISNUMBER(SEARCH(MAP_TNHN!C40&amp;" (1 tiết)",'PL11'!$S$9)),1,0)+IF(ISNUMBER(SEARCH(MAP_TNHN!C40&amp;" (1 tiết)",'PL11'!$S$10)),1,0)+IF(ISNUMBER(SEARCH(MAP_TNHN!C40&amp;" (1 tiết)",'PL11'!$S$11)),1,0)+IF(ISNUMBER(SEARCH(MAP_TNHN!C40&amp;" (1 tiết)",'PL11'!$S$12)),1,0)+IF(ISNUMBER(SEARCH(MAP_TNHN!C40&amp;" (1 tiết)",'PL11'!$S$13)),1,0)+IF(ISNUMBER(SEARCH(MAP_TNHN!C40&amp;" (1 tiết)",'PL11'!$S$14)),1,0)+IF(ISNUMBER(SEARCH(MAP_TNHN!C40&amp;" (1 tiết)",'PL11'!$S$15)),1,0)+IF(ISNUMBER(SEARCH(MAP_TNHN!C40&amp;" (1 tiết)",'PL11'!$S$16)),1,0)+IF(ISNUMBER(SEARCH(MAP_TNHN!C40&amp;" (1 tiết)",'PL11'!$S$17)),1,0)+IF(ISNUMBER(SEARCH(MAP_TNHN!C40&amp;" (1 tiết)",'PL11'!$S$18)),1,0))-(IF(ISNUMBER(SEARCH(MAP_TNHN!C40&amp;" (2 tiết)",'PL11'!$S$5)),1,0)+IF(ISNUMBER(SEARCH(MAP_TNHN!C40&amp;" (2 tiết)",'PL11'!$S$6)),1,0)+IF(ISNUMBER(SEARCH(MAP_TNHN!C40&amp;" (2 tiết)",'PL11'!$S$7)),1,0)+IF(ISNUMBER(SEARCH(MAP_TNHN!C40&amp;" (2 tiết)",'PL11'!$S$8)),1,0)+IF(ISNUMBER(SEARCH(MAP_TNHN!C40&amp;" (2 tiết)",'PL11'!$S$9)),1,0)+IF(ISNUMBER(SEARCH(MAP_TNHN!C40&amp;" (2 tiết)",'PL11'!$S$10)),1,0)+IF(ISNUMBER(SEARCH(MAP_TNHN!C40&amp;" (2 tiết)",'PL11'!$S$11)),1,0)+IF(ISNUMBER(SEARCH(MAP_TNHN!C40&amp;" (2 tiết)",'PL11'!$S$12)),1,0)+IF(ISNUMBER(SEARCH(MAP_TNHN!C40&amp;" (2 tiết)",'PL11'!$S$13)),1,0)+IF(ISNUMBER(SEARCH(MAP_TNHN!C40&amp;" (2 tiết)",'PL11'!$S$14)),1,0)+IF(ISNUMBER(SEARCH(MAP_TNHN!C40&amp;" (2 tiết)",'PL11'!$S$15)),1,0)+IF(ISNUMBER(SEARCH(MAP_TNHN!C40&amp;" (2 tiết)",'PL11'!$S$16)),1,0)+IF(ISNUMBER(SEARCH(MAP_TNHN!C40&amp;" (2 tiết)",'PL11'!$S$17)),1,0)+IF(ISNUMBER(SEARCH(MAP_TNHN!C40&amp;" (2 tiết)",'PL11'!$S$18)),1,0))))</f>
        <v>3</v>
      </c>
      <c r="AY39">
        <f>IF(S39="",0,IF(MAP_TNHN!D40="",S39*3,S39*3-2*(IF(ISNUMBER(SEARCH(MAP_TNHN!D40&amp;" (1 tiết)",'PL10'!$S$5)),1,0)+IF(ISNUMBER(SEARCH(MAP_TNHN!D40&amp;" (1 tiết)",'PL10'!$S$6)),1,0)+IF(ISNUMBER(SEARCH(MAP_TNHN!D40&amp;" (1 tiết)",'PL10'!$S$7)),1,0)+IF(ISNUMBER(SEARCH(MAP_TNHN!D40&amp;" (1 tiết)",'PL10'!$S$8)),1,0)+IF(ISNUMBER(SEARCH(MAP_TNHN!D40&amp;" (1 tiết)",'PL10'!$S$9)),1,0)+IF(ISNUMBER(SEARCH(MAP_TNHN!D40&amp;" (1 tiết)",'PL10'!$S$10)),1,0)+IF(ISNUMBER(SEARCH(MAP_TNHN!D40&amp;" (1 tiết)",'PL10'!$S$11)),1,0)+IF(ISNUMBER(SEARCH(MAP_TNHN!D40&amp;" (1 tiết)",'PL10'!$S$12)),1,0)+IF(ISNUMBER(SEARCH(MAP_TNHN!D40&amp;" (1 tiết)",'PL10'!$S$13)),1,0)+IF(ISNUMBER(SEARCH(MAP_TNHN!D40&amp;" (1 tiết)",'PL10'!$S$14)),1,0)+IF(ISNUMBER(SEARCH(MAP_TNHN!D40&amp;" (1 tiết)",'PL10'!$S$15)),1,0)+IF(ISNUMBER(SEARCH(MAP_TNHN!D40&amp;" (1 tiết)",'PL10'!$S$16)),1,0)+IF(ISNUMBER(SEARCH(MAP_TNHN!D40&amp;" (1 tiết)",'PL10'!$S$17)),1,0)+IF(ISNUMBER(SEARCH(MAP_TNHN!D40&amp;" (1 tiết)",'PL10'!$S$18)),1,0)+IF(ISNUMBER(SEARCH(MAP_TNHN!D40&amp;" (1 tiết)",'PL10'!$S$19)),1,0)+IF(ISNUMBER(SEARCH(MAP_TNHN!D40&amp;" (1 tiết)",'PL10'!$S$20)),1,0)+IF(ISNUMBER(SEARCH(MAP_TNHN!D40&amp;" (1 tiết)",'PL10'!$S$21)),1,0)+IF(ISNUMBER(SEARCH(MAP_TNHN!D40&amp;" (1 tiết)",'PL10'!$S$22)),1,0)+IF(ISNUMBER(SEARCH(MAP_TNHN!D40&amp;" (1 tiết)",'PL10'!$S$23)),1,0)+IF(ISNUMBER(SEARCH(MAP_TNHN!D40&amp;" (1 tiết)",'PL10'!$S$24)),1,0)+IF(ISNUMBER(SEARCH(MAP_TNHN!D40&amp;" (1 tiết)",'PL10'!$S$25)),1,0))-(IF(ISNUMBER(SEARCH(MAP_TNHN!D40&amp;" (2 tiết)",'PL10'!$S$5)),1,0)+IF(ISNUMBER(SEARCH(MAP_TNHN!D40&amp;" (2 tiết)",'PL10'!$S$6)),1,0)+IF(ISNUMBER(SEARCH(MAP_TNHN!D40&amp;" (2 tiết)",'PL10'!$S$7)),1,0)+IF(ISNUMBER(SEARCH(MAP_TNHN!D40&amp;" (2 tiết)",'PL10'!$S$8)),1,0)+IF(ISNUMBER(SEARCH(MAP_TNHN!D40&amp;" (2 tiết)",'PL10'!$S$9)),1,0)+IF(ISNUMBER(SEARCH(MAP_TNHN!D40&amp;" (2 tiết)",'PL10'!$S$10)),1,0)+IF(ISNUMBER(SEARCH(MAP_TNHN!D40&amp;" (2 tiết)",'PL10'!$S$11)),1,0)+IF(ISNUMBER(SEARCH(MAP_TNHN!D40&amp;" (2 tiết)",'PL10'!$S$12)),1,0)+IF(ISNUMBER(SEARCH(MAP_TNHN!D40&amp;" (2 tiết)",'PL10'!$S$13)),1,0)+IF(ISNUMBER(SEARCH(MAP_TNHN!D40&amp;" (2 tiết)",'PL10'!$S$14)),1,0)+IF(ISNUMBER(SEARCH(MAP_TNHN!D40&amp;" (2 tiết)",'PL10'!$S$15)),1,0)+IF(ISNUMBER(SEARCH(MAP_TNHN!D40&amp;" (2 tiết)",'PL10'!$S$16)),1,0)+IF(ISNUMBER(SEARCH(MAP_TNHN!D40&amp;" (2 tiết)",'PL10'!$S$17)),1,0)+IF(ISNUMBER(SEARCH(MAP_TNHN!D40&amp;" (2 tiết)",'PL10'!$S$18)),1,0)+IF(ISNUMBER(SEARCH(MAP_TNHN!D40&amp;" (2 tiết)",'PL10'!$S$19)),1,0)+IF(ISNUMBER(SEARCH(MAP_TNHN!D40&amp;" (2 tiết)",'PL10'!$S$20)),1,0)+IF(ISNUMBER(SEARCH(MAP_TNHN!D40&amp;" (2 tiết)",'PL10'!$S$21)),1,0)+IF(ISNUMBER(SEARCH(MAP_TNHN!D40&amp;" (2 tiết)",'PL10'!$S$22)),1,0)+IF(ISNUMBER(SEARCH(MAP_TNHN!D40&amp;" (2 tiết)",'PL10'!$S$23)),1,0)+IF(ISNUMBER(SEARCH(MAP_TNHN!D40&amp;" (2 tiết)",'PL10'!$S$24)),1,0)+IF(ISNUMBER(SEARCH(MAP_TNHN!D40&amp;" (2 tiết)",'PL10'!$S$25)),1,0))))</f>
        <v>0</v>
      </c>
    </row>
    <row r="40" spans="1:51" x14ac:dyDescent="0.35">
      <c r="A40" s="313"/>
      <c r="B40" s="11">
        <v>3</v>
      </c>
      <c r="C40" s="12" t="s">
        <v>103</v>
      </c>
      <c r="D40" s="21">
        <v>10</v>
      </c>
      <c r="E40" s="45">
        <v>2</v>
      </c>
      <c r="F40" s="45"/>
      <c r="G40" s="45">
        <v>2</v>
      </c>
      <c r="H40" s="45">
        <v>1</v>
      </c>
      <c r="I40" s="161">
        <v>1</v>
      </c>
      <c r="J40" s="45"/>
      <c r="K40" s="46"/>
      <c r="L40" s="46"/>
      <c r="M40" s="46"/>
      <c r="N40" s="164"/>
      <c r="O40" s="46"/>
      <c r="P40" s="47">
        <v>1</v>
      </c>
      <c r="Q40" s="47">
        <v>1</v>
      </c>
      <c r="R40" s="47">
        <v>1</v>
      </c>
      <c r="S40" s="165">
        <v>1</v>
      </c>
      <c r="T40" s="47">
        <v>1</v>
      </c>
      <c r="U40" s="11">
        <f>E40*('Phân tiết'!$M$18/4)+G40*('Phân tiết'!$M$21/3)+H40*'Phân tiết'!$L$26+AW40+J40*'Phân tiết'!$M$20+K40*('Phân tiết'!$I$18/4)+M40*('Phân tiết'!$I$21/3)+AX40+O40*'Phân tiết'!$I$20+P40*('Phân tiết'!$E$18/4)+R40*('Phân tiết'!$E$21/3)+AY40+T40*'Phân tiết'!$E$20</f>
        <v>17</v>
      </c>
      <c r="V40" s="8">
        <f t="shared" si="11"/>
        <v>4</v>
      </c>
      <c r="W40" s="6"/>
      <c r="X40" s="6"/>
      <c r="Y40" s="11"/>
      <c r="Z40" s="43">
        <f t="shared" si="12"/>
        <v>21</v>
      </c>
      <c r="AA40" s="34">
        <f t="shared" si="13"/>
        <v>4</v>
      </c>
      <c r="AB40" s="8"/>
      <c r="AC40" s="8"/>
      <c r="AD40" s="6">
        <f t="shared" si="3"/>
        <v>0</v>
      </c>
      <c r="AE40" s="8"/>
      <c r="AF40" s="8"/>
      <c r="AG40" s="6">
        <f t="shared" si="5"/>
        <v>0</v>
      </c>
      <c r="AH40" s="8"/>
      <c r="AI40" s="8"/>
      <c r="AJ40" s="6">
        <f t="shared" si="14"/>
        <v>0</v>
      </c>
      <c r="AK40" s="6">
        <f t="shared" si="6"/>
        <v>132</v>
      </c>
      <c r="AL40" s="11"/>
      <c r="AM40" s="11"/>
      <c r="AN40" s="11"/>
      <c r="AO40" s="11"/>
      <c r="AP40" s="11"/>
      <c r="AQ40" s="11" t="s">
        <v>46</v>
      </c>
      <c r="AR40" s="11"/>
      <c r="AS40" s="11"/>
      <c r="AT40" s="11" t="s">
        <v>46</v>
      </c>
      <c r="AU40" s="11" t="s">
        <v>84</v>
      </c>
      <c r="AV40" s="8"/>
      <c r="AW40">
        <f>IF(I40="",0,IF(MAP_TNHN!B41="",I40*3,I40*3-2*(IF(ISNUMBER(SEARCH(MAP_TNHN!B41&amp;" (1 tiết)",'PL12'!$S$5)),1,0)+IF(ISNUMBER(SEARCH(MAP_TNHN!B41&amp;" (1 tiết)",'PL12'!$S$6)),1,0)+IF(ISNUMBER(SEARCH(MAP_TNHN!B41&amp;" (1 tiết)",'PL12'!$S$7)),1,0)+IF(ISNUMBER(SEARCH(MAP_TNHN!B41&amp;" (1 tiết)",'PL12'!$S$8)),1,0)+IF(ISNUMBER(SEARCH(MAP_TNHN!B41&amp;" (1 tiết)",'PL12'!$S$9)),1,0)+IF(ISNUMBER(SEARCH(MAP_TNHN!B41&amp;" (1 tiết)",'PL12'!$S$10)),1,0)+IF(ISNUMBER(SEARCH(MAP_TNHN!B41&amp;" (1 tiết)",'PL12'!$S$11)),1,0)+IF(ISNUMBER(SEARCH(MAP_TNHN!B41&amp;" (1 tiết)",'PL12'!$S$12)),1,0)+IF(ISNUMBER(SEARCH(MAP_TNHN!B41&amp;" (1 tiết)",'PL12'!$S$13)),1,0)+IF(ISNUMBER(SEARCH(MAP_TNHN!B41&amp;" (1 tiết)",'PL12'!$S$14)),1,0)+IF(ISNUMBER(SEARCH(MAP_TNHN!B41&amp;" (1 tiết)",'PL12'!$S$15)),1,0)+IF(ISNUMBER(SEARCH(MAP_TNHN!B41&amp;" (1 tiết)",'PL12'!$S$16)),1,0)+IF(ISNUMBER(SEARCH(MAP_TNHN!B41&amp;" (1 tiết)",'PL12'!$S$17)),1,0)+IF(ISNUMBER(SEARCH(MAP_TNHN!B41&amp;" (1 tiết)",'PL12'!$S$18)),1,0)+IF(ISNUMBER(SEARCH(MAP_TNHN!B41&amp;" (1 tiết)",'PL12'!$S$19)),1,0))-(IF(ISNUMBER(SEARCH(MAP_TNHN!B41&amp;" (2 tiết)",'PL12'!$S$5)),1,0)+IF(ISNUMBER(SEARCH(MAP_TNHN!B41&amp;" (2 tiết)",'PL12'!$S$6)),1,0)+IF(ISNUMBER(SEARCH(MAP_TNHN!B41&amp;" (2 tiết)",'PL12'!$S$7)),1,0)+IF(ISNUMBER(SEARCH(MAP_TNHN!B41&amp;" (2 tiết)",'PL12'!$S$8)),1,0)+IF(ISNUMBER(SEARCH(MAP_TNHN!B41&amp;" (2 tiết)",'PL12'!$S$9)),1,0)+IF(ISNUMBER(SEARCH(MAP_TNHN!B41&amp;" (2 tiết)",'PL12'!$S$10)),1,0)+IF(ISNUMBER(SEARCH(MAP_TNHN!B41&amp;" (2 tiết)",'PL12'!$S$11)),1,0)+IF(ISNUMBER(SEARCH(MAP_TNHN!B41&amp;" (2 tiết)",'PL12'!$S$12)),1,0)+IF(ISNUMBER(SEARCH(MAP_TNHN!B41&amp;" (2 tiết)",'PL12'!$S$13)),1,0)+IF(ISNUMBER(SEARCH(MAP_TNHN!B41&amp;" (2 tiết)",'PL12'!$S$14)),1,0)+IF(ISNUMBER(SEARCH(MAP_TNHN!B41&amp;" (2 tiết)",'PL12'!$S$15)),1,0)+IF(ISNUMBER(SEARCH(MAP_TNHN!B41&amp;" (2 tiết)",'PL12'!$S$16)),1,0)+IF(ISNUMBER(SEARCH(MAP_TNHN!B41&amp;" (2 tiết)",'PL12'!$S$17)),1,0)+IF(ISNUMBER(SEARCH(MAP_TNHN!B41&amp;" (2 tiết)",'PL12'!$S$18)),1,0)+IF(ISNUMBER(SEARCH(MAP_TNHN!B41&amp;" (2 tiết)",'PL12'!$S$19)),1,0))))</f>
        <v>2</v>
      </c>
      <c r="AX40">
        <f>IF(N40="",0,IF(MAP_TNHN!C41="",N40*3,N40*3-2*(IF(ISNUMBER(SEARCH(MAP_TNHN!C41&amp;" (1 tiết)",'PL11'!$S$5)),1,0)+IF(ISNUMBER(SEARCH(MAP_TNHN!C41&amp;" (1 tiết)",'PL11'!$S$6)),1,0)+IF(ISNUMBER(SEARCH(MAP_TNHN!C41&amp;" (1 tiết)",'PL11'!$S$7)),1,0)+IF(ISNUMBER(SEARCH(MAP_TNHN!C41&amp;" (1 tiết)",'PL11'!$S$8)),1,0)+IF(ISNUMBER(SEARCH(MAP_TNHN!C41&amp;" (1 tiết)",'PL11'!$S$9)),1,0)+IF(ISNUMBER(SEARCH(MAP_TNHN!C41&amp;" (1 tiết)",'PL11'!$S$10)),1,0)+IF(ISNUMBER(SEARCH(MAP_TNHN!C41&amp;" (1 tiết)",'PL11'!$S$11)),1,0)+IF(ISNUMBER(SEARCH(MAP_TNHN!C41&amp;" (1 tiết)",'PL11'!$S$12)),1,0)+IF(ISNUMBER(SEARCH(MAP_TNHN!C41&amp;" (1 tiết)",'PL11'!$S$13)),1,0)+IF(ISNUMBER(SEARCH(MAP_TNHN!C41&amp;" (1 tiết)",'PL11'!$S$14)),1,0)+IF(ISNUMBER(SEARCH(MAP_TNHN!C41&amp;" (1 tiết)",'PL11'!$S$15)),1,0)+IF(ISNUMBER(SEARCH(MAP_TNHN!C41&amp;" (1 tiết)",'PL11'!$S$16)),1,0)+IF(ISNUMBER(SEARCH(MAP_TNHN!C41&amp;" (1 tiết)",'PL11'!$S$17)),1,0)+IF(ISNUMBER(SEARCH(MAP_TNHN!C41&amp;" (1 tiết)",'PL11'!$S$18)),1,0))-(IF(ISNUMBER(SEARCH(MAP_TNHN!C41&amp;" (2 tiết)",'PL11'!$S$5)),1,0)+IF(ISNUMBER(SEARCH(MAP_TNHN!C41&amp;" (2 tiết)",'PL11'!$S$6)),1,0)+IF(ISNUMBER(SEARCH(MAP_TNHN!C41&amp;" (2 tiết)",'PL11'!$S$7)),1,0)+IF(ISNUMBER(SEARCH(MAP_TNHN!C41&amp;" (2 tiết)",'PL11'!$S$8)),1,0)+IF(ISNUMBER(SEARCH(MAP_TNHN!C41&amp;" (2 tiết)",'PL11'!$S$9)),1,0)+IF(ISNUMBER(SEARCH(MAP_TNHN!C41&amp;" (2 tiết)",'PL11'!$S$10)),1,0)+IF(ISNUMBER(SEARCH(MAP_TNHN!C41&amp;" (2 tiết)",'PL11'!$S$11)),1,0)+IF(ISNUMBER(SEARCH(MAP_TNHN!C41&amp;" (2 tiết)",'PL11'!$S$12)),1,0)+IF(ISNUMBER(SEARCH(MAP_TNHN!C41&amp;" (2 tiết)",'PL11'!$S$13)),1,0)+IF(ISNUMBER(SEARCH(MAP_TNHN!C41&amp;" (2 tiết)",'PL11'!$S$14)),1,0)+IF(ISNUMBER(SEARCH(MAP_TNHN!C41&amp;" (2 tiết)",'PL11'!$S$15)),1,0)+IF(ISNUMBER(SEARCH(MAP_TNHN!C41&amp;" (2 tiết)",'PL11'!$S$16)),1,0)+IF(ISNUMBER(SEARCH(MAP_TNHN!C41&amp;" (2 tiết)",'PL11'!$S$17)),1,0)+IF(ISNUMBER(SEARCH(MAP_TNHN!C41&amp;" (2 tiết)",'PL11'!$S$18)),1,0))))</f>
        <v>0</v>
      </c>
      <c r="AY40">
        <f>IF(S40="",0,IF(MAP_TNHN!D41="",S40*3,S40*3-2*(IF(ISNUMBER(SEARCH(MAP_TNHN!D41&amp;" (1 tiết)",'PL10'!$S$5)),1,0)+IF(ISNUMBER(SEARCH(MAP_TNHN!D41&amp;" (1 tiết)",'PL10'!$S$6)),1,0)+IF(ISNUMBER(SEARCH(MAP_TNHN!D41&amp;" (1 tiết)",'PL10'!$S$7)),1,0)+IF(ISNUMBER(SEARCH(MAP_TNHN!D41&amp;" (1 tiết)",'PL10'!$S$8)),1,0)+IF(ISNUMBER(SEARCH(MAP_TNHN!D41&amp;" (1 tiết)",'PL10'!$S$9)),1,0)+IF(ISNUMBER(SEARCH(MAP_TNHN!D41&amp;" (1 tiết)",'PL10'!$S$10)),1,0)+IF(ISNUMBER(SEARCH(MAP_TNHN!D41&amp;" (1 tiết)",'PL10'!$S$11)),1,0)+IF(ISNUMBER(SEARCH(MAP_TNHN!D41&amp;" (1 tiết)",'PL10'!$S$12)),1,0)+IF(ISNUMBER(SEARCH(MAP_TNHN!D41&amp;" (1 tiết)",'PL10'!$S$13)),1,0)+IF(ISNUMBER(SEARCH(MAP_TNHN!D41&amp;" (1 tiết)",'PL10'!$S$14)),1,0)+IF(ISNUMBER(SEARCH(MAP_TNHN!D41&amp;" (1 tiết)",'PL10'!$S$15)),1,0)+IF(ISNUMBER(SEARCH(MAP_TNHN!D41&amp;" (1 tiết)",'PL10'!$S$16)),1,0)+IF(ISNUMBER(SEARCH(MAP_TNHN!D41&amp;" (1 tiết)",'PL10'!$S$17)),1,0)+IF(ISNUMBER(SEARCH(MAP_TNHN!D41&amp;" (1 tiết)",'PL10'!$S$18)),1,0)+IF(ISNUMBER(SEARCH(MAP_TNHN!D41&amp;" (1 tiết)",'PL10'!$S$19)),1,0)+IF(ISNUMBER(SEARCH(MAP_TNHN!D41&amp;" (1 tiết)",'PL10'!$S$20)),1,0)+IF(ISNUMBER(SEARCH(MAP_TNHN!D41&amp;" (1 tiết)",'PL10'!$S$21)),1,0)+IF(ISNUMBER(SEARCH(MAP_TNHN!D41&amp;" (1 tiết)",'PL10'!$S$22)),1,0)+IF(ISNUMBER(SEARCH(MAP_TNHN!D41&amp;" (1 tiết)",'PL10'!$S$23)),1,0)+IF(ISNUMBER(SEARCH(MAP_TNHN!D41&amp;" (1 tiết)",'PL10'!$S$24)),1,0)+IF(ISNUMBER(SEARCH(MAP_TNHN!D41&amp;" (1 tiết)",'PL10'!$S$25)),1,0))-(IF(ISNUMBER(SEARCH(MAP_TNHN!D41&amp;" (2 tiết)",'PL10'!$S$5)),1,0)+IF(ISNUMBER(SEARCH(MAP_TNHN!D41&amp;" (2 tiết)",'PL10'!$S$6)),1,0)+IF(ISNUMBER(SEARCH(MAP_TNHN!D41&amp;" (2 tiết)",'PL10'!$S$7)),1,0)+IF(ISNUMBER(SEARCH(MAP_TNHN!D41&amp;" (2 tiết)",'PL10'!$S$8)),1,0)+IF(ISNUMBER(SEARCH(MAP_TNHN!D41&amp;" (2 tiết)",'PL10'!$S$9)),1,0)+IF(ISNUMBER(SEARCH(MAP_TNHN!D41&amp;" (2 tiết)",'PL10'!$S$10)),1,0)+IF(ISNUMBER(SEARCH(MAP_TNHN!D41&amp;" (2 tiết)",'PL10'!$S$11)),1,0)+IF(ISNUMBER(SEARCH(MAP_TNHN!D41&amp;" (2 tiết)",'PL10'!$S$12)),1,0)+IF(ISNUMBER(SEARCH(MAP_TNHN!D41&amp;" (2 tiết)",'PL10'!$S$13)),1,0)+IF(ISNUMBER(SEARCH(MAP_TNHN!D41&amp;" (2 tiết)",'PL10'!$S$14)),1,0)+IF(ISNUMBER(SEARCH(MAP_TNHN!D41&amp;" (2 tiết)",'PL10'!$S$15)),1,0)+IF(ISNUMBER(SEARCH(MAP_TNHN!D41&amp;" (2 tiết)",'PL10'!$S$16)),1,0)+IF(ISNUMBER(SEARCH(MAP_TNHN!D41&amp;" (2 tiết)",'PL10'!$S$17)),1,0)+IF(ISNUMBER(SEARCH(MAP_TNHN!D41&amp;" (2 tiết)",'PL10'!$S$18)),1,0)+IF(ISNUMBER(SEARCH(MAP_TNHN!D41&amp;" (2 tiết)",'PL10'!$S$19)),1,0)+IF(ISNUMBER(SEARCH(MAP_TNHN!D41&amp;" (2 tiết)",'PL10'!$S$20)),1,0)+IF(ISNUMBER(SEARCH(MAP_TNHN!D41&amp;" (2 tiết)",'PL10'!$S$21)),1,0)+IF(ISNUMBER(SEARCH(MAP_TNHN!D41&amp;" (2 tiết)",'PL10'!$S$22)),1,0)+IF(ISNUMBER(SEARCH(MAP_TNHN!D41&amp;" (2 tiết)",'PL10'!$S$23)),1,0)+IF(ISNUMBER(SEARCH(MAP_TNHN!D41&amp;" (2 tiết)",'PL10'!$S$24)),1,0)+IF(ISNUMBER(SEARCH(MAP_TNHN!D41&amp;" (2 tiết)",'PL10'!$S$25)),1,0))))</f>
        <v>3</v>
      </c>
    </row>
    <row r="41" spans="1:51" x14ac:dyDescent="0.35">
      <c r="A41" s="313"/>
      <c r="B41" s="11">
        <v>4</v>
      </c>
      <c r="C41" s="12" t="s">
        <v>104</v>
      </c>
      <c r="D41" s="21">
        <v>12</v>
      </c>
      <c r="E41" s="45">
        <v>2</v>
      </c>
      <c r="F41" s="45">
        <v>1</v>
      </c>
      <c r="G41" s="45">
        <v>2</v>
      </c>
      <c r="H41" s="45">
        <v>1</v>
      </c>
      <c r="I41" s="308"/>
      <c r="J41" s="45"/>
      <c r="K41" s="46">
        <v>1</v>
      </c>
      <c r="L41" s="46"/>
      <c r="M41" s="46">
        <v>1</v>
      </c>
      <c r="N41" s="164"/>
      <c r="O41" s="46"/>
      <c r="P41" s="47"/>
      <c r="Q41" s="47"/>
      <c r="R41" s="47"/>
      <c r="S41" s="165"/>
      <c r="T41" s="47"/>
      <c r="U41" s="11">
        <f>E41*('Phân tiết'!$M$18/4)+G41*('Phân tiết'!$M$21/3)+H41*'Phân tiết'!$L$26+AW41+J41*'Phân tiết'!$M$20+K41*('Phân tiết'!$I$18/4)+M41*('Phân tiết'!$I$21/3)+AX41+O41*'Phân tiết'!$I$20+P41*('Phân tiết'!$E$18/4)+R41*('Phân tiết'!$E$21/3)+AY41+T41*'Phân tiết'!$E$20</f>
        <v>11</v>
      </c>
      <c r="V41" s="8">
        <f t="shared" si="11"/>
        <v>4</v>
      </c>
      <c r="W41" s="6" t="s">
        <v>51</v>
      </c>
      <c r="X41" s="6"/>
      <c r="Y41" s="11">
        <v>1</v>
      </c>
      <c r="Z41" s="43">
        <f t="shared" si="12"/>
        <v>16</v>
      </c>
      <c r="AA41" s="34">
        <f t="shared" si="13"/>
        <v>-1</v>
      </c>
      <c r="AB41" s="8">
        <v>2</v>
      </c>
      <c r="AC41" s="8">
        <v>15</v>
      </c>
      <c r="AD41" s="6">
        <f t="shared" si="3"/>
        <v>45</v>
      </c>
      <c r="AE41" s="8">
        <v>2</v>
      </c>
      <c r="AF41" s="8">
        <v>18</v>
      </c>
      <c r="AG41" s="6">
        <f t="shared" si="5"/>
        <v>54</v>
      </c>
      <c r="AH41" s="8"/>
      <c r="AI41" s="8"/>
      <c r="AJ41" s="6">
        <f t="shared" si="14"/>
        <v>0</v>
      </c>
      <c r="AK41" s="6">
        <f t="shared" si="6"/>
        <v>66</v>
      </c>
      <c r="AL41" s="11" t="s">
        <v>48</v>
      </c>
      <c r="AM41" s="8" t="s">
        <v>105</v>
      </c>
      <c r="AN41" s="11" t="s">
        <v>106</v>
      </c>
      <c r="AO41" s="11"/>
      <c r="AP41" s="11"/>
      <c r="AQ41" s="11" t="s">
        <v>46</v>
      </c>
      <c r="AR41" s="11"/>
      <c r="AS41" s="11"/>
      <c r="AT41" s="11" t="s">
        <v>46</v>
      </c>
      <c r="AU41" s="12" t="s">
        <v>107</v>
      </c>
      <c r="AV41" s="8"/>
      <c r="AW41">
        <f>IF(I41="",0,IF(MAP_TNHN!B42="",I41*3,I41*3-2*(IF(ISNUMBER(SEARCH(MAP_TNHN!B42&amp;" (1 tiết)",'PL12'!$S$5)),1,0)+IF(ISNUMBER(SEARCH(MAP_TNHN!B42&amp;" (1 tiết)",'PL12'!$S$6)),1,0)+IF(ISNUMBER(SEARCH(MAP_TNHN!B42&amp;" (1 tiết)",'PL12'!$S$7)),1,0)+IF(ISNUMBER(SEARCH(MAP_TNHN!B42&amp;" (1 tiết)",'PL12'!$S$8)),1,0)+IF(ISNUMBER(SEARCH(MAP_TNHN!B42&amp;" (1 tiết)",'PL12'!$S$9)),1,0)+IF(ISNUMBER(SEARCH(MAP_TNHN!B42&amp;" (1 tiết)",'PL12'!$S$10)),1,0)+IF(ISNUMBER(SEARCH(MAP_TNHN!B42&amp;" (1 tiết)",'PL12'!$S$11)),1,0)+IF(ISNUMBER(SEARCH(MAP_TNHN!B42&amp;" (1 tiết)",'PL12'!$S$12)),1,0)+IF(ISNUMBER(SEARCH(MAP_TNHN!B42&amp;" (1 tiết)",'PL12'!$S$13)),1,0)+IF(ISNUMBER(SEARCH(MAP_TNHN!B42&amp;" (1 tiết)",'PL12'!$S$14)),1,0)+IF(ISNUMBER(SEARCH(MAP_TNHN!B42&amp;" (1 tiết)",'PL12'!$S$15)),1,0)+IF(ISNUMBER(SEARCH(MAP_TNHN!B42&amp;" (1 tiết)",'PL12'!$S$16)),1,0)+IF(ISNUMBER(SEARCH(MAP_TNHN!B42&amp;" (1 tiết)",'PL12'!$S$17)),1,0)+IF(ISNUMBER(SEARCH(MAP_TNHN!B42&amp;" (1 tiết)",'PL12'!$S$18)),1,0)+IF(ISNUMBER(SEARCH(MAP_TNHN!B42&amp;" (1 tiết)",'PL12'!$S$19)),1,0))-(IF(ISNUMBER(SEARCH(MAP_TNHN!B42&amp;" (2 tiết)",'PL12'!$S$5)),1,0)+IF(ISNUMBER(SEARCH(MAP_TNHN!B42&amp;" (2 tiết)",'PL12'!$S$6)),1,0)+IF(ISNUMBER(SEARCH(MAP_TNHN!B42&amp;" (2 tiết)",'PL12'!$S$7)),1,0)+IF(ISNUMBER(SEARCH(MAP_TNHN!B42&amp;" (2 tiết)",'PL12'!$S$8)),1,0)+IF(ISNUMBER(SEARCH(MAP_TNHN!B42&amp;" (2 tiết)",'PL12'!$S$9)),1,0)+IF(ISNUMBER(SEARCH(MAP_TNHN!B42&amp;" (2 tiết)",'PL12'!$S$10)),1,0)+IF(ISNUMBER(SEARCH(MAP_TNHN!B42&amp;" (2 tiết)",'PL12'!$S$11)),1,0)+IF(ISNUMBER(SEARCH(MAP_TNHN!B42&amp;" (2 tiết)",'PL12'!$S$12)),1,0)+IF(ISNUMBER(SEARCH(MAP_TNHN!B42&amp;" (2 tiết)",'PL12'!$S$13)),1,0)+IF(ISNUMBER(SEARCH(MAP_TNHN!B42&amp;" (2 tiết)",'PL12'!$S$14)),1,0)+IF(ISNUMBER(SEARCH(MAP_TNHN!B42&amp;" (2 tiết)",'PL12'!$S$15)),1,0)+IF(ISNUMBER(SEARCH(MAP_TNHN!B42&amp;" (2 tiết)",'PL12'!$S$16)),1,0)+IF(ISNUMBER(SEARCH(MAP_TNHN!B42&amp;" (2 tiết)",'PL12'!$S$17)),1,0)+IF(ISNUMBER(SEARCH(MAP_TNHN!B42&amp;" (2 tiết)",'PL12'!$S$18)),1,0)+IF(ISNUMBER(SEARCH(MAP_TNHN!B42&amp;" (2 tiết)",'PL12'!$S$19)),1,0))))</f>
        <v>0</v>
      </c>
      <c r="AX41">
        <f>IF(N41="",0,IF(MAP_TNHN!C42="",N41*3,N41*3-2*(IF(ISNUMBER(SEARCH(MAP_TNHN!C42&amp;" (1 tiết)",'PL11'!$S$5)),1,0)+IF(ISNUMBER(SEARCH(MAP_TNHN!C42&amp;" (1 tiết)",'PL11'!$S$6)),1,0)+IF(ISNUMBER(SEARCH(MAP_TNHN!C42&amp;" (1 tiết)",'PL11'!$S$7)),1,0)+IF(ISNUMBER(SEARCH(MAP_TNHN!C42&amp;" (1 tiết)",'PL11'!$S$8)),1,0)+IF(ISNUMBER(SEARCH(MAP_TNHN!C42&amp;" (1 tiết)",'PL11'!$S$9)),1,0)+IF(ISNUMBER(SEARCH(MAP_TNHN!C42&amp;" (1 tiết)",'PL11'!$S$10)),1,0)+IF(ISNUMBER(SEARCH(MAP_TNHN!C42&amp;" (1 tiết)",'PL11'!$S$11)),1,0)+IF(ISNUMBER(SEARCH(MAP_TNHN!C42&amp;" (1 tiết)",'PL11'!$S$12)),1,0)+IF(ISNUMBER(SEARCH(MAP_TNHN!C42&amp;" (1 tiết)",'PL11'!$S$13)),1,0)+IF(ISNUMBER(SEARCH(MAP_TNHN!C42&amp;" (1 tiết)",'PL11'!$S$14)),1,0)+IF(ISNUMBER(SEARCH(MAP_TNHN!C42&amp;" (1 tiết)",'PL11'!$S$15)),1,0)+IF(ISNUMBER(SEARCH(MAP_TNHN!C42&amp;" (1 tiết)",'PL11'!$S$16)),1,0)+IF(ISNUMBER(SEARCH(MAP_TNHN!C42&amp;" (1 tiết)",'PL11'!$S$17)),1,0)+IF(ISNUMBER(SEARCH(MAP_TNHN!C42&amp;" (1 tiết)",'PL11'!$S$18)),1,0))-(IF(ISNUMBER(SEARCH(MAP_TNHN!C42&amp;" (2 tiết)",'PL11'!$S$5)),1,0)+IF(ISNUMBER(SEARCH(MAP_TNHN!C42&amp;" (2 tiết)",'PL11'!$S$6)),1,0)+IF(ISNUMBER(SEARCH(MAP_TNHN!C42&amp;" (2 tiết)",'PL11'!$S$7)),1,0)+IF(ISNUMBER(SEARCH(MAP_TNHN!C42&amp;" (2 tiết)",'PL11'!$S$8)),1,0)+IF(ISNUMBER(SEARCH(MAP_TNHN!C42&amp;" (2 tiết)",'PL11'!$S$9)),1,0)+IF(ISNUMBER(SEARCH(MAP_TNHN!C42&amp;" (2 tiết)",'PL11'!$S$10)),1,0)+IF(ISNUMBER(SEARCH(MAP_TNHN!C42&amp;" (2 tiết)",'PL11'!$S$11)),1,0)+IF(ISNUMBER(SEARCH(MAP_TNHN!C42&amp;" (2 tiết)",'PL11'!$S$12)),1,0)+IF(ISNUMBER(SEARCH(MAP_TNHN!C42&amp;" (2 tiết)",'PL11'!$S$13)),1,0)+IF(ISNUMBER(SEARCH(MAP_TNHN!C42&amp;" (2 tiết)",'PL11'!$S$14)),1,0)+IF(ISNUMBER(SEARCH(MAP_TNHN!C42&amp;" (2 tiết)",'PL11'!$S$15)),1,0)+IF(ISNUMBER(SEARCH(MAP_TNHN!C42&amp;" (2 tiết)",'PL11'!$S$16)),1,0)+IF(ISNUMBER(SEARCH(MAP_TNHN!C42&amp;" (2 tiết)",'PL11'!$S$17)),1,0)+IF(ISNUMBER(SEARCH(MAP_TNHN!C42&amp;" (2 tiết)",'PL11'!$S$18)),1,0))))</f>
        <v>0</v>
      </c>
      <c r="AY41">
        <f>IF(S41="",0,IF(MAP_TNHN!D42="",S41*3,S41*3-2*(IF(ISNUMBER(SEARCH(MAP_TNHN!D42&amp;" (1 tiết)",'PL10'!$S$5)),1,0)+IF(ISNUMBER(SEARCH(MAP_TNHN!D42&amp;" (1 tiết)",'PL10'!$S$6)),1,0)+IF(ISNUMBER(SEARCH(MAP_TNHN!D42&amp;" (1 tiết)",'PL10'!$S$7)),1,0)+IF(ISNUMBER(SEARCH(MAP_TNHN!D42&amp;" (1 tiết)",'PL10'!$S$8)),1,0)+IF(ISNUMBER(SEARCH(MAP_TNHN!D42&amp;" (1 tiết)",'PL10'!$S$9)),1,0)+IF(ISNUMBER(SEARCH(MAP_TNHN!D42&amp;" (1 tiết)",'PL10'!$S$10)),1,0)+IF(ISNUMBER(SEARCH(MAP_TNHN!D42&amp;" (1 tiết)",'PL10'!$S$11)),1,0)+IF(ISNUMBER(SEARCH(MAP_TNHN!D42&amp;" (1 tiết)",'PL10'!$S$12)),1,0)+IF(ISNUMBER(SEARCH(MAP_TNHN!D42&amp;" (1 tiết)",'PL10'!$S$13)),1,0)+IF(ISNUMBER(SEARCH(MAP_TNHN!D42&amp;" (1 tiết)",'PL10'!$S$14)),1,0)+IF(ISNUMBER(SEARCH(MAP_TNHN!D42&amp;" (1 tiết)",'PL10'!$S$15)),1,0)+IF(ISNUMBER(SEARCH(MAP_TNHN!D42&amp;" (1 tiết)",'PL10'!$S$16)),1,0)+IF(ISNUMBER(SEARCH(MAP_TNHN!D42&amp;" (1 tiết)",'PL10'!$S$17)),1,0)+IF(ISNUMBER(SEARCH(MAP_TNHN!D42&amp;" (1 tiết)",'PL10'!$S$18)),1,0)+IF(ISNUMBER(SEARCH(MAP_TNHN!D42&amp;" (1 tiết)",'PL10'!$S$19)),1,0)+IF(ISNUMBER(SEARCH(MAP_TNHN!D42&amp;" (1 tiết)",'PL10'!$S$20)),1,0)+IF(ISNUMBER(SEARCH(MAP_TNHN!D42&amp;" (1 tiết)",'PL10'!$S$21)),1,0)+IF(ISNUMBER(SEARCH(MAP_TNHN!D42&amp;" (1 tiết)",'PL10'!$S$22)),1,0)+IF(ISNUMBER(SEARCH(MAP_TNHN!D42&amp;" (1 tiết)",'PL10'!$S$23)),1,0)+IF(ISNUMBER(SEARCH(MAP_TNHN!D42&amp;" (1 tiết)",'PL10'!$S$24)),1,0)+IF(ISNUMBER(SEARCH(MAP_TNHN!D42&amp;" (1 tiết)",'PL10'!$S$25)),1,0))-(IF(ISNUMBER(SEARCH(MAP_TNHN!D42&amp;" (2 tiết)",'PL10'!$S$5)),1,0)+IF(ISNUMBER(SEARCH(MAP_TNHN!D42&amp;" (2 tiết)",'PL10'!$S$6)),1,0)+IF(ISNUMBER(SEARCH(MAP_TNHN!D42&amp;" (2 tiết)",'PL10'!$S$7)),1,0)+IF(ISNUMBER(SEARCH(MAP_TNHN!D42&amp;" (2 tiết)",'PL10'!$S$8)),1,0)+IF(ISNUMBER(SEARCH(MAP_TNHN!D42&amp;" (2 tiết)",'PL10'!$S$9)),1,0)+IF(ISNUMBER(SEARCH(MAP_TNHN!D42&amp;" (2 tiết)",'PL10'!$S$10)),1,0)+IF(ISNUMBER(SEARCH(MAP_TNHN!D42&amp;" (2 tiết)",'PL10'!$S$11)),1,0)+IF(ISNUMBER(SEARCH(MAP_TNHN!D42&amp;" (2 tiết)",'PL10'!$S$12)),1,0)+IF(ISNUMBER(SEARCH(MAP_TNHN!D42&amp;" (2 tiết)",'PL10'!$S$13)),1,0)+IF(ISNUMBER(SEARCH(MAP_TNHN!D42&amp;" (2 tiết)",'PL10'!$S$14)),1,0)+IF(ISNUMBER(SEARCH(MAP_TNHN!D42&amp;" (2 tiết)",'PL10'!$S$15)),1,0)+IF(ISNUMBER(SEARCH(MAP_TNHN!D42&amp;" (2 tiết)",'PL10'!$S$16)),1,0)+IF(ISNUMBER(SEARCH(MAP_TNHN!D42&amp;" (2 tiết)",'PL10'!$S$17)),1,0)+IF(ISNUMBER(SEARCH(MAP_TNHN!D42&amp;" (2 tiết)",'PL10'!$S$18)),1,0)+IF(ISNUMBER(SEARCH(MAP_TNHN!D42&amp;" (2 tiết)",'PL10'!$S$19)),1,0)+IF(ISNUMBER(SEARCH(MAP_TNHN!D42&amp;" (2 tiết)",'PL10'!$S$20)),1,0)+IF(ISNUMBER(SEARCH(MAP_TNHN!D42&amp;" (2 tiết)",'PL10'!$S$21)),1,0)+IF(ISNUMBER(SEARCH(MAP_TNHN!D42&amp;" (2 tiết)",'PL10'!$S$22)),1,0)+IF(ISNUMBER(SEARCH(MAP_TNHN!D42&amp;" (2 tiết)",'PL10'!$S$23)),1,0)+IF(ISNUMBER(SEARCH(MAP_TNHN!D42&amp;" (2 tiết)",'PL10'!$S$24)),1,0)+IF(ISNUMBER(SEARCH(MAP_TNHN!D42&amp;" (2 tiết)",'PL10'!$S$25)),1,0))))</f>
        <v>0</v>
      </c>
    </row>
    <row r="42" spans="1:51" x14ac:dyDescent="0.35">
      <c r="A42" s="313"/>
      <c r="B42" s="11">
        <v>5</v>
      </c>
      <c r="C42" s="12" t="s">
        <v>108</v>
      </c>
      <c r="D42" s="21">
        <v>11</v>
      </c>
      <c r="E42" s="45"/>
      <c r="F42" s="45"/>
      <c r="G42" s="45"/>
      <c r="H42" s="45"/>
      <c r="I42" s="161"/>
      <c r="J42" s="45"/>
      <c r="K42" s="46">
        <v>2</v>
      </c>
      <c r="L42" s="46">
        <v>1</v>
      </c>
      <c r="M42" s="46">
        <v>2</v>
      </c>
      <c r="N42" s="164">
        <v>1</v>
      </c>
      <c r="O42" s="46"/>
      <c r="P42" s="47">
        <v>2</v>
      </c>
      <c r="Q42" s="47"/>
      <c r="R42" s="47">
        <v>2</v>
      </c>
      <c r="S42" s="165"/>
      <c r="T42" s="47"/>
      <c r="U42" s="11">
        <f>E42*('Phân tiết'!$M$18/4)+G42*('Phân tiết'!$M$21/3)+H42*'Phân tiết'!$L$26+AW42+J42*'Phân tiết'!$M$20+K42*('Phân tiết'!$I$18/4)+M42*('Phân tiết'!$I$21/3)+AX42+O42*'Phân tiết'!$I$20+P42*('Phân tiết'!$E$18/4)+R42*('Phân tiết'!$E$21/3)+AY42+T42*'Phân tiết'!$E$20</f>
        <v>15</v>
      </c>
      <c r="V42" s="8">
        <f t="shared" si="11"/>
        <v>4</v>
      </c>
      <c r="W42" s="6"/>
      <c r="X42" s="6"/>
      <c r="Y42" s="11"/>
      <c r="Z42" s="43">
        <f t="shared" si="12"/>
        <v>19</v>
      </c>
      <c r="AA42" s="34">
        <f t="shared" si="13"/>
        <v>2</v>
      </c>
      <c r="AB42" s="8"/>
      <c r="AC42" s="8"/>
      <c r="AD42" s="6">
        <f t="shared" si="3"/>
        <v>0</v>
      </c>
      <c r="AE42" s="8"/>
      <c r="AF42" s="8"/>
      <c r="AG42" s="6">
        <f t="shared" si="5"/>
        <v>0</v>
      </c>
      <c r="AH42" s="8"/>
      <c r="AI42" s="8"/>
      <c r="AJ42" s="6">
        <f t="shared" si="14"/>
        <v>0</v>
      </c>
      <c r="AK42" s="6">
        <f t="shared" si="6"/>
        <v>66</v>
      </c>
      <c r="AL42" s="11"/>
      <c r="AM42" s="11"/>
      <c r="AN42" s="8"/>
      <c r="AO42" s="11" t="s">
        <v>46</v>
      </c>
      <c r="AP42" s="11" t="s">
        <v>46</v>
      </c>
      <c r="AQ42" s="11" t="s">
        <v>46</v>
      </c>
      <c r="AR42" s="11"/>
      <c r="AS42" s="11"/>
      <c r="AT42" s="11" t="s">
        <v>46</v>
      </c>
      <c r="AU42" s="11" t="s">
        <v>84</v>
      </c>
      <c r="AV42" s="8"/>
      <c r="AW42">
        <f>IF(I42="",0,IF(MAP_TNHN!B43="",I42*3,I42*3-2*(IF(ISNUMBER(SEARCH(MAP_TNHN!B43&amp;" (1 tiết)",'PL12'!$S$5)),1,0)+IF(ISNUMBER(SEARCH(MAP_TNHN!B43&amp;" (1 tiết)",'PL12'!$S$6)),1,0)+IF(ISNUMBER(SEARCH(MAP_TNHN!B43&amp;" (1 tiết)",'PL12'!$S$7)),1,0)+IF(ISNUMBER(SEARCH(MAP_TNHN!B43&amp;" (1 tiết)",'PL12'!$S$8)),1,0)+IF(ISNUMBER(SEARCH(MAP_TNHN!B43&amp;" (1 tiết)",'PL12'!$S$9)),1,0)+IF(ISNUMBER(SEARCH(MAP_TNHN!B43&amp;" (1 tiết)",'PL12'!$S$10)),1,0)+IF(ISNUMBER(SEARCH(MAP_TNHN!B43&amp;" (1 tiết)",'PL12'!$S$11)),1,0)+IF(ISNUMBER(SEARCH(MAP_TNHN!B43&amp;" (1 tiết)",'PL12'!$S$12)),1,0)+IF(ISNUMBER(SEARCH(MAP_TNHN!B43&amp;" (1 tiết)",'PL12'!$S$13)),1,0)+IF(ISNUMBER(SEARCH(MAP_TNHN!B43&amp;" (1 tiết)",'PL12'!$S$14)),1,0)+IF(ISNUMBER(SEARCH(MAP_TNHN!B43&amp;" (1 tiết)",'PL12'!$S$15)),1,0)+IF(ISNUMBER(SEARCH(MAP_TNHN!B43&amp;" (1 tiết)",'PL12'!$S$16)),1,0)+IF(ISNUMBER(SEARCH(MAP_TNHN!B43&amp;" (1 tiết)",'PL12'!$S$17)),1,0)+IF(ISNUMBER(SEARCH(MAP_TNHN!B43&amp;" (1 tiết)",'PL12'!$S$18)),1,0)+IF(ISNUMBER(SEARCH(MAP_TNHN!B43&amp;" (1 tiết)",'PL12'!$S$19)),1,0))-(IF(ISNUMBER(SEARCH(MAP_TNHN!B43&amp;" (2 tiết)",'PL12'!$S$5)),1,0)+IF(ISNUMBER(SEARCH(MAP_TNHN!B43&amp;" (2 tiết)",'PL12'!$S$6)),1,0)+IF(ISNUMBER(SEARCH(MAP_TNHN!B43&amp;" (2 tiết)",'PL12'!$S$7)),1,0)+IF(ISNUMBER(SEARCH(MAP_TNHN!B43&amp;" (2 tiết)",'PL12'!$S$8)),1,0)+IF(ISNUMBER(SEARCH(MAP_TNHN!B43&amp;" (2 tiết)",'PL12'!$S$9)),1,0)+IF(ISNUMBER(SEARCH(MAP_TNHN!B43&amp;" (2 tiết)",'PL12'!$S$10)),1,0)+IF(ISNUMBER(SEARCH(MAP_TNHN!B43&amp;" (2 tiết)",'PL12'!$S$11)),1,0)+IF(ISNUMBER(SEARCH(MAP_TNHN!B43&amp;" (2 tiết)",'PL12'!$S$12)),1,0)+IF(ISNUMBER(SEARCH(MAP_TNHN!B43&amp;" (2 tiết)",'PL12'!$S$13)),1,0)+IF(ISNUMBER(SEARCH(MAP_TNHN!B43&amp;" (2 tiết)",'PL12'!$S$14)),1,0)+IF(ISNUMBER(SEARCH(MAP_TNHN!B43&amp;" (2 tiết)",'PL12'!$S$15)),1,0)+IF(ISNUMBER(SEARCH(MAP_TNHN!B43&amp;" (2 tiết)",'PL12'!$S$16)),1,0)+IF(ISNUMBER(SEARCH(MAP_TNHN!B43&amp;" (2 tiết)",'PL12'!$S$17)),1,0)+IF(ISNUMBER(SEARCH(MAP_TNHN!B43&amp;" (2 tiết)",'PL12'!$S$18)),1,0)+IF(ISNUMBER(SEARCH(MAP_TNHN!B43&amp;" (2 tiết)",'PL12'!$S$19)),1,0))))</f>
        <v>0</v>
      </c>
      <c r="AX42">
        <f>IF(N42="",0,IF(MAP_TNHN!C43="",N42*3,N42*3-2*(IF(ISNUMBER(SEARCH(MAP_TNHN!C43&amp;" (1 tiết)",'PL11'!$S$5)),1,0)+IF(ISNUMBER(SEARCH(MAP_TNHN!C43&amp;" (1 tiết)",'PL11'!$S$6)),1,0)+IF(ISNUMBER(SEARCH(MAP_TNHN!C43&amp;" (1 tiết)",'PL11'!$S$7)),1,0)+IF(ISNUMBER(SEARCH(MAP_TNHN!C43&amp;" (1 tiết)",'PL11'!$S$8)),1,0)+IF(ISNUMBER(SEARCH(MAP_TNHN!C43&amp;" (1 tiết)",'PL11'!$S$9)),1,0)+IF(ISNUMBER(SEARCH(MAP_TNHN!C43&amp;" (1 tiết)",'PL11'!$S$10)),1,0)+IF(ISNUMBER(SEARCH(MAP_TNHN!C43&amp;" (1 tiết)",'PL11'!$S$11)),1,0)+IF(ISNUMBER(SEARCH(MAP_TNHN!C43&amp;" (1 tiết)",'PL11'!$S$12)),1,0)+IF(ISNUMBER(SEARCH(MAP_TNHN!C43&amp;" (1 tiết)",'PL11'!$S$13)),1,0)+IF(ISNUMBER(SEARCH(MAP_TNHN!C43&amp;" (1 tiết)",'PL11'!$S$14)),1,0)+IF(ISNUMBER(SEARCH(MAP_TNHN!C43&amp;" (1 tiết)",'PL11'!$S$15)),1,0)+IF(ISNUMBER(SEARCH(MAP_TNHN!C43&amp;" (1 tiết)",'PL11'!$S$16)),1,0)+IF(ISNUMBER(SEARCH(MAP_TNHN!C43&amp;" (1 tiết)",'PL11'!$S$17)),1,0)+IF(ISNUMBER(SEARCH(MAP_TNHN!C43&amp;" (1 tiết)",'PL11'!$S$18)),1,0))-(IF(ISNUMBER(SEARCH(MAP_TNHN!C43&amp;" (2 tiết)",'PL11'!$S$5)),1,0)+IF(ISNUMBER(SEARCH(MAP_TNHN!C43&amp;" (2 tiết)",'PL11'!$S$6)),1,0)+IF(ISNUMBER(SEARCH(MAP_TNHN!C43&amp;" (2 tiết)",'PL11'!$S$7)),1,0)+IF(ISNUMBER(SEARCH(MAP_TNHN!C43&amp;" (2 tiết)",'PL11'!$S$8)),1,0)+IF(ISNUMBER(SEARCH(MAP_TNHN!C43&amp;" (2 tiết)",'PL11'!$S$9)),1,0)+IF(ISNUMBER(SEARCH(MAP_TNHN!C43&amp;" (2 tiết)",'PL11'!$S$10)),1,0)+IF(ISNUMBER(SEARCH(MAP_TNHN!C43&amp;" (2 tiết)",'PL11'!$S$11)),1,0)+IF(ISNUMBER(SEARCH(MAP_TNHN!C43&amp;" (2 tiết)",'PL11'!$S$12)),1,0)+IF(ISNUMBER(SEARCH(MAP_TNHN!C43&amp;" (2 tiết)",'PL11'!$S$13)),1,0)+IF(ISNUMBER(SEARCH(MAP_TNHN!C43&amp;" (2 tiết)",'PL11'!$S$14)),1,0)+IF(ISNUMBER(SEARCH(MAP_TNHN!C43&amp;" (2 tiết)",'PL11'!$S$15)),1,0)+IF(ISNUMBER(SEARCH(MAP_TNHN!C43&amp;" (2 tiết)",'PL11'!$S$16)),1,0)+IF(ISNUMBER(SEARCH(MAP_TNHN!C43&amp;" (2 tiết)",'PL11'!$S$17)),1,0)+IF(ISNUMBER(SEARCH(MAP_TNHN!C43&amp;" (2 tiết)",'PL11'!$S$18)),1,0))))</f>
        <v>3</v>
      </c>
      <c r="AY42">
        <f>IF(S42="",0,IF(MAP_TNHN!D43="",S42*3,S42*3-2*(IF(ISNUMBER(SEARCH(MAP_TNHN!D43&amp;" (1 tiết)",'PL10'!$S$5)),1,0)+IF(ISNUMBER(SEARCH(MAP_TNHN!D43&amp;" (1 tiết)",'PL10'!$S$6)),1,0)+IF(ISNUMBER(SEARCH(MAP_TNHN!D43&amp;" (1 tiết)",'PL10'!$S$7)),1,0)+IF(ISNUMBER(SEARCH(MAP_TNHN!D43&amp;" (1 tiết)",'PL10'!$S$8)),1,0)+IF(ISNUMBER(SEARCH(MAP_TNHN!D43&amp;" (1 tiết)",'PL10'!$S$9)),1,0)+IF(ISNUMBER(SEARCH(MAP_TNHN!D43&amp;" (1 tiết)",'PL10'!$S$10)),1,0)+IF(ISNUMBER(SEARCH(MAP_TNHN!D43&amp;" (1 tiết)",'PL10'!$S$11)),1,0)+IF(ISNUMBER(SEARCH(MAP_TNHN!D43&amp;" (1 tiết)",'PL10'!$S$12)),1,0)+IF(ISNUMBER(SEARCH(MAP_TNHN!D43&amp;" (1 tiết)",'PL10'!$S$13)),1,0)+IF(ISNUMBER(SEARCH(MAP_TNHN!D43&amp;" (1 tiết)",'PL10'!$S$14)),1,0)+IF(ISNUMBER(SEARCH(MAP_TNHN!D43&amp;" (1 tiết)",'PL10'!$S$15)),1,0)+IF(ISNUMBER(SEARCH(MAP_TNHN!D43&amp;" (1 tiết)",'PL10'!$S$16)),1,0)+IF(ISNUMBER(SEARCH(MAP_TNHN!D43&amp;" (1 tiết)",'PL10'!$S$17)),1,0)+IF(ISNUMBER(SEARCH(MAP_TNHN!D43&amp;" (1 tiết)",'PL10'!$S$18)),1,0)+IF(ISNUMBER(SEARCH(MAP_TNHN!D43&amp;" (1 tiết)",'PL10'!$S$19)),1,0)+IF(ISNUMBER(SEARCH(MAP_TNHN!D43&amp;" (1 tiết)",'PL10'!$S$20)),1,0)+IF(ISNUMBER(SEARCH(MAP_TNHN!D43&amp;" (1 tiết)",'PL10'!$S$21)),1,0)+IF(ISNUMBER(SEARCH(MAP_TNHN!D43&amp;" (1 tiết)",'PL10'!$S$22)),1,0)+IF(ISNUMBER(SEARCH(MAP_TNHN!D43&amp;" (1 tiết)",'PL10'!$S$23)),1,0)+IF(ISNUMBER(SEARCH(MAP_TNHN!D43&amp;" (1 tiết)",'PL10'!$S$24)),1,0)+IF(ISNUMBER(SEARCH(MAP_TNHN!D43&amp;" (1 tiết)",'PL10'!$S$25)),1,0))-(IF(ISNUMBER(SEARCH(MAP_TNHN!D43&amp;" (2 tiết)",'PL10'!$S$5)),1,0)+IF(ISNUMBER(SEARCH(MAP_TNHN!D43&amp;" (2 tiết)",'PL10'!$S$6)),1,0)+IF(ISNUMBER(SEARCH(MAP_TNHN!D43&amp;" (2 tiết)",'PL10'!$S$7)),1,0)+IF(ISNUMBER(SEARCH(MAP_TNHN!D43&amp;" (2 tiết)",'PL10'!$S$8)),1,0)+IF(ISNUMBER(SEARCH(MAP_TNHN!D43&amp;" (2 tiết)",'PL10'!$S$9)),1,0)+IF(ISNUMBER(SEARCH(MAP_TNHN!D43&amp;" (2 tiết)",'PL10'!$S$10)),1,0)+IF(ISNUMBER(SEARCH(MAP_TNHN!D43&amp;" (2 tiết)",'PL10'!$S$11)),1,0)+IF(ISNUMBER(SEARCH(MAP_TNHN!D43&amp;" (2 tiết)",'PL10'!$S$12)),1,0)+IF(ISNUMBER(SEARCH(MAP_TNHN!D43&amp;" (2 tiết)",'PL10'!$S$13)),1,0)+IF(ISNUMBER(SEARCH(MAP_TNHN!D43&amp;" (2 tiết)",'PL10'!$S$14)),1,0)+IF(ISNUMBER(SEARCH(MAP_TNHN!D43&amp;" (2 tiết)",'PL10'!$S$15)),1,0)+IF(ISNUMBER(SEARCH(MAP_TNHN!D43&amp;" (2 tiết)",'PL10'!$S$16)),1,0)+IF(ISNUMBER(SEARCH(MAP_TNHN!D43&amp;" (2 tiết)",'PL10'!$S$17)),1,0)+IF(ISNUMBER(SEARCH(MAP_TNHN!D43&amp;" (2 tiết)",'PL10'!$S$18)),1,0)+IF(ISNUMBER(SEARCH(MAP_TNHN!D43&amp;" (2 tiết)",'PL10'!$S$19)),1,0)+IF(ISNUMBER(SEARCH(MAP_TNHN!D43&amp;" (2 tiết)",'PL10'!$S$20)),1,0)+IF(ISNUMBER(SEARCH(MAP_TNHN!D43&amp;" (2 tiết)",'PL10'!$S$21)),1,0)+IF(ISNUMBER(SEARCH(MAP_TNHN!D43&amp;" (2 tiết)",'PL10'!$S$22)),1,0)+IF(ISNUMBER(SEARCH(MAP_TNHN!D43&amp;" (2 tiết)",'PL10'!$S$23)),1,0)+IF(ISNUMBER(SEARCH(MAP_TNHN!D43&amp;" (2 tiết)",'PL10'!$S$24)),1,0)+IF(ISNUMBER(SEARCH(MAP_TNHN!D43&amp;" (2 tiết)",'PL10'!$S$25)),1,0))))</f>
        <v>0</v>
      </c>
    </row>
    <row r="43" spans="1:51" x14ac:dyDescent="0.35">
      <c r="A43" s="313"/>
      <c r="B43" s="11">
        <v>6</v>
      </c>
      <c r="C43" s="12" t="s">
        <v>109</v>
      </c>
      <c r="D43" s="21">
        <v>10</v>
      </c>
      <c r="E43" s="45"/>
      <c r="F43" s="45"/>
      <c r="G43" s="45"/>
      <c r="H43" s="45"/>
      <c r="I43" s="161"/>
      <c r="J43" s="45"/>
      <c r="K43" s="46">
        <v>1</v>
      </c>
      <c r="L43" s="46"/>
      <c r="M43" s="46">
        <v>1</v>
      </c>
      <c r="N43" s="164"/>
      <c r="O43" s="46"/>
      <c r="P43" s="47">
        <v>3</v>
      </c>
      <c r="Q43" s="47">
        <v>1</v>
      </c>
      <c r="R43" s="47">
        <v>3</v>
      </c>
      <c r="S43" s="167">
        <v>1</v>
      </c>
      <c r="T43" s="47"/>
      <c r="U43" s="11">
        <f>E43*('Phân tiết'!$M$18/4)+G43*('Phân tiết'!$M$21/3)+H43*'Phân tiết'!$L$26+AW43+J43*'Phân tiết'!$M$20+K43*('Phân tiết'!$I$18/4)+M43*('Phân tiết'!$I$21/3)+AX43+O43*'Phân tiết'!$I$20+P43*('Phân tiết'!$E$18/4)+R43*('Phân tiết'!$E$21/3)+AY43+T43*'Phân tiết'!$E$20</f>
        <v>13</v>
      </c>
      <c r="V43" s="8">
        <f t="shared" si="11"/>
        <v>4</v>
      </c>
      <c r="W43" s="6"/>
      <c r="X43" s="6" t="s">
        <v>54</v>
      </c>
      <c r="Y43" s="11">
        <v>1</v>
      </c>
      <c r="Z43" s="43">
        <f t="shared" si="12"/>
        <v>18</v>
      </c>
      <c r="AA43" s="34">
        <f t="shared" si="13"/>
        <v>1</v>
      </c>
      <c r="AB43" s="8"/>
      <c r="AC43" s="8"/>
      <c r="AD43" s="6">
        <f t="shared" si="3"/>
        <v>0</v>
      </c>
      <c r="AE43" s="8">
        <v>2</v>
      </c>
      <c r="AF43" s="8">
        <v>15</v>
      </c>
      <c r="AG43" s="6">
        <f t="shared" si="5"/>
        <v>45</v>
      </c>
      <c r="AH43" s="8"/>
      <c r="AI43" s="8"/>
      <c r="AJ43" s="6">
        <f t="shared" si="14"/>
        <v>0</v>
      </c>
      <c r="AK43" s="6">
        <f t="shared" si="6"/>
        <v>78</v>
      </c>
      <c r="AL43" s="11"/>
      <c r="AM43" s="8" t="s">
        <v>110</v>
      </c>
      <c r="AN43" s="11"/>
      <c r="AO43" s="11"/>
      <c r="AP43" s="11"/>
      <c r="AQ43" s="11" t="s">
        <v>46</v>
      </c>
      <c r="AR43" s="11"/>
      <c r="AS43" s="11"/>
      <c r="AT43" s="11" t="s">
        <v>46</v>
      </c>
      <c r="AU43" s="11" t="s">
        <v>84</v>
      </c>
      <c r="AV43" s="8"/>
      <c r="AW43">
        <f>IF(I43="",0,IF(MAP_TNHN!B44="",I43*3,I43*3-2*(IF(ISNUMBER(SEARCH(MAP_TNHN!B44&amp;" (1 tiết)",'PL12'!$S$5)),1,0)+IF(ISNUMBER(SEARCH(MAP_TNHN!B44&amp;" (1 tiết)",'PL12'!$S$6)),1,0)+IF(ISNUMBER(SEARCH(MAP_TNHN!B44&amp;" (1 tiết)",'PL12'!$S$7)),1,0)+IF(ISNUMBER(SEARCH(MAP_TNHN!B44&amp;" (1 tiết)",'PL12'!$S$8)),1,0)+IF(ISNUMBER(SEARCH(MAP_TNHN!B44&amp;" (1 tiết)",'PL12'!$S$9)),1,0)+IF(ISNUMBER(SEARCH(MAP_TNHN!B44&amp;" (1 tiết)",'PL12'!$S$10)),1,0)+IF(ISNUMBER(SEARCH(MAP_TNHN!B44&amp;" (1 tiết)",'PL12'!$S$11)),1,0)+IF(ISNUMBER(SEARCH(MAP_TNHN!B44&amp;" (1 tiết)",'PL12'!$S$12)),1,0)+IF(ISNUMBER(SEARCH(MAP_TNHN!B44&amp;" (1 tiết)",'PL12'!$S$13)),1,0)+IF(ISNUMBER(SEARCH(MAP_TNHN!B44&amp;" (1 tiết)",'PL12'!$S$14)),1,0)+IF(ISNUMBER(SEARCH(MAP_TNHN!B44&amp;" (1 tiết)",'PL12'!$S$15)),1,0)+IF(ISNUMBER(SEARCH(MAP_TNHN!B44&amp;" (1 tiết)",'PL12'!$S$16)),1,0)+IF(ISNUMBER(SEARCH(MAP_TNHN!B44&amp;" (1 tiết)",'PL12'!$S$17)),1,0)+IF(ISNUMBER(SEARCH(MAP_TNHN!B44&amp;" (1 tiết)",'PL12'!$S$18)),1,0)+IF(ISNUMBER(SEARCH(MAP_TNHN!B44&amp;" (1 tiết)",'PL12'!$S$19)),1,0))-(IF(ISNUMBER(SEARCH(MAP_TNHN!B44&amp;" (2 tiết)",'PL12'!$S$5)),1,0)+IF(ISNUMBER(SEARCH(MAP_TNHN!B44&amp;" (2 tiết)",'PL12'!$S$6)),1,0)+IF(ISNUMBER(SEARCH(MAP_TNHN!B44&amp;" (2 tiết)",'PL12'!$S$7)),1,0)+IF(ISNUMBER(SEARCH(MAP_TNHN!B44&amp;" (2 tiết)",'PL12'!$S$8)),1,0)+IF(ISNUMBER(SEARCH(MAP_TNHN!B44&amp;" (2 tiết)",'PL12'!$S$9)),1,0)+IF(ISNUMBER(SEARCH(MAP_TNHN!B44&amp;" (2 tiết)",'PL12'!$S$10)),1,0)+IF(ISNUMBER(SEARCH(MAP_TNHN!B44&amp;" (2 tiết)",'PL12'!$S$11)),1,0)+IF(ISNUMBER(SEARCH(MAP_TNHN!B44&amp;" (2 tiết)",'PL12'!$S$12)),1,0)+IF(ISNUMBER(SEARCH(MAP_TNHN!B44&amp;" (2 tiết)",'PL12'!$S$13)),1,0)+IF(ISNUMBER(SEARCH(MAP_TNHN!B44&amp;" (2 tiết)",'PL12'!$S$14)),1,0)+IF(ISNUMBER(SEARCH(MAP_TNHN!B44&amp;" (2 tiết)",'PL12'!$S$15)),1,0)+IF(ISNUMBER(SEARCH(MAP_TNHN!B44&amp;" (2 tiết)",'PL12'!$S$16)),1,0)+IF(ISNUMBER(SEARCH(MAP_TNHN!B44&amp;" (2 tiết)",'PL12'!$S$17)),1,0)+IF(ISNUMBER(SEARCH(MAP_TNHN!B44&amp;" (2 tiết)",'PL12'!$S$18)),1,0)+IF(ISNUMBER(SEARCH(MAP_TNHN!B44&amp;" (2 tiết)",'PL12'!$S$19)),1,0))))</f>
        <v>0</v>
      </c>
      <c r="AX43">
        <f>IF(N43="",0,IF(MAP_TNHN!C44="",N43*3,N43*3-2*(IF(ISNUMBER(SEARCH(MAP_TNHN!C44&amp;" (1 tiết)",'PL11'!$S$5)),1,0)+IF(ISNUMBER(SEARCH(MAP_TNHN!C44&amp;" (1 tiết)",'PL11'!$S$6)),1,0)+IF(ISNUMBER(SEARCH(MAP_TNHN!C44&amp;" (1 tiết)",'PL11'!$S$7)),1,0)+IF(ISNUMBER(SEARCH(MAP_TNHN!C44&amp;" (1 tiết)",'PL11'!$S$8)),1,0)+IF(ISNUMBER(SEARCH(MAP_TNHN!C44&amp;" (1 tiết)",'PL11'!$S$9)),1,0)+IF(ISNUMBER(SEARCH(MAP_TNHN!C44&amp;" (1 tiết)",'PL11'!$S$10)),1,0)+IF(ISNUMBER(SEARCH(MAP_TNHN!C44&amp;" (1 tiết)",'PL11'!$S$11)),1,0)+IF(ISNUMBER(SEARCH(MAP_TNHN!C44&amp;" (1 tiết)",'PL11'!$S$12)),1,0)+IF(ISNUMBER(SEARCH(MAP_TNHN!C44&amp;" (1 tiết)",'PL11'!$S$13)),1,0)+IF(ISNUMBER(SEARCH(MAP_TNHN!C44&amp;" (1 tiết)",'PL11'!$S$14)),1,0)+IF(ISNUMBER(SEARCH(MAP_TNHN!C44&amp;" (1 tiết)",'PL11'!$S$15)),1,0)+IF(ISNUMBER(SEARCH(MAP_TNHN!C44&amp;" (1 tiết)",'PL11'!$S$16)),1,0)+IF(ISNUMBER(SEARCH(MAP_TNHN!C44&amp;" (1 tiết)",'PL11'!$S$17)),1,0)+IF(ISNUMBER(SEARCH(MAP_TNHN!C44&amp;" (1 tiết)",'PL11'!$S$18)),1,0))-(IF(ISNUMBER(SEARCH(MAP_TNHN!C44&amp;" (2 tiết)",'PL11'!$S$5)),1,0)+IF(ISNUMBER(SEARCH(MAP_TNHN!C44&amp;" (2 tiết)",'PL11'!$S$6)),1,0)+IF(ISNUMBER(SEARCH(MAP_TNHN!C44&amp;" (2 tiết)",'PL11'!$S$7)),1,0)+IF(ISNUMBER(SEARCH(MAP_TNHN!C44&amp;" (2 tiết)",'PL11'!$S$8)),1,0)+IF(ISNUMBER(SEARCH(MAP_TNHN!C44&amp;" (2 tiết)",'PL11'!$S$9)),1,0)+IF(ISNUMBER(SEARCH(MAP_TNHN!C44&amp;" (2 tiết)",'PL11'!$S$10)),1,0)+IF(ISNUMBER(SEARCH(MAP_TNHN!C44&amp;" (2 tiết)",'PL11'!$S$11)),1,0)+IF(ISNUMBER(SEARCH(MAP_TNHN!C44&amp;" (2 tiết)",'PL11'!$S$12)),1,0)+IF(ISNUMBER(SEARCH(MAP_TNHN!C44&amp;" (2 tiết)",'PL11'!$S$13)),1,0)+IF(ISNUMBER(SEARCH(MAP_TNHN!C44&amp;" (2 tiết)",'PL11'!$S$14)),1,0)+IF(ISNUMBER(SEARCH(MAP_TNHN!C44&amp;" (2 tiết)",'PL11'!$S$15)),1,0)+IF(ISNUMBER(SEARCH(MAP_TNHN!C44&amp;" (2 tiết)",'PL11'!$S$16)),1,0)+IF(ISNUMBER(SEARCH(MAP_TNHN!C44&amp;" (2 tiết)",'PL11'!$S$17)),1,0)+IF(ISNUMBER(SEARCH(MAP_TNHN!C44&amp;" (2 tiết)",'PL11'!$S$18)),1,0))))</f>
        <v>0</v>
      </c>
      <c r="AY43">
        <f>IF(S43="",0,IF(MAP_TNHN!D44="",S43*3,S43*3-2*(IF(ISNUMBER(SEARCH(MAP_TNHN!D44&amp;" (1 tiết)",'PL10'!$S$5)),1,0)+IF(ISNUMBER(SEARCH(MAP_TNHN!D44&amp;" (1 tiết)",'PL10'!$S$6)),1,0)+IF(ISNUMBER(SEARCH(MAP_TNHN!D44&amp;" (1 tiết)",'PL10'!$S$7)),1,0)+IF(ISNUMBER(SEARCH(MAP_TNHN!D44&amp;" (1 tiết)",'PL10'!$S$8)),1,0)+IF(ISNUMBER(SEARCH(MAP_TNHN!D44&amp;" (1 tiết)",'PL10'!$S$9)),1,0)+IF(ISNUMBER(SEARCH(MAP_TNHN!D44&amp;" (1 tiết)",'PL10'!$S$10)),1,0)+IF(ISNUMBER(SEARCH(MAP_TNHN!D44&amp;" (1 tiết)",'PL10'!$S$11)),1,0)+IF(ISNUMBER(SEARCH(MAP_TNHN!D44&amp;" (1 tiết)",'PL10'!$S$12)),1,0)+IF(ISNUMBER(SEARCH(MAP_TNHN!D44&amp;" (1 tiết)",'PL10'!$S$13)),1,0)+IF(ISNUMBER(SEARCH(MAP_TNHN!D44&amp;" (1 tiết)",'PL10'!$S$14)),1,0)+IF(ISNUMBER(SEARCH(MAP_TNHN!D44&amp;" (1 tiết)",'PL10'!$S$15)),1,0)+IF(ISNUMBER(SEARCH(MAP_TNHN!D44&amp;" (1 tiết)",'PL10'!$S$16)),1,0)+IF(ISNUMBER(SEARCH(MAP_TNHN!D44&amp;" (1 tiết)",'PL10'!$S$17)),1,0)+IF(ISNUMBER(SEARCH(MAP_TNHN!D44&amp;" (1 tiết)",'PL10'!$S$18)),1,0)+IF(ISNUMBER(SEARCH(MAP_TNHN!D44&amp;" (1 tiết)",'PL10'!$S$19)),1,0)+IF(ISNUMBER(SEARCH(MAP_TNHN!D44&amp;" (1 tiết)",'PL10'!$S$20)),1,0)+IF(ISNUMBER(SEARCH(MAP_TNHN!D44&amp;" (1 tiết)",'PL10'!$S$21)),1,0)+IF(ISNUMBER(SEARCH(MAP_TNHN!D44&amp;" (1 tiết)",'PL10'!$S$22)),1,0)+IF(ISNUMBER(SEARCH(MAP_TNHN!D44&amp;" (1 tiết)",'PL10'!$S$23)),1,0)+IF(ISNUMBER(SEARCH(MAP_TNHN!D44&amp;" (1 tiết)",'PL10'!$S$24)),1,0)+IF(ISNUMBER(SEARCH(MAP_TNHN!D44&amp;" (1 tiết)",'PL10'!$S$25)),1,0))-(IF(ISNUMBER(SEARCH(MAP_TNHN!D44&amp;" (2 tiết)",'PL10'!$S$5)),1,0)+IF(ISNUMBER(SEARCH(MAP_TNHN!D44&amp;" (2 tiết)",'PL10'!$S$6)),1,0)+IF(ISNUMBER(SEARCH(MAP_TNHN!D44&amp;" (2 tiết)",'PL10'!$S$7)),1,0)+IF(ISNUMBER(SEARCH(MAP_TNHN!D44&amp;" (2 tiết)",'PL10'!$S$8)),1,0)+IF(ISNUMBER(SEARCH(MAP_TNHN!D44&amp;" (2 tiết)",'PL10'!$S$9)),1,0)+IF(ISNUMBER(SEARCH(MAP_TNHN!D44&amp;" (2 tiết)",'PL10'!$S$10)),1,0)+IF(ISNUMBER(SEARCH(MAP_TNHN!D44&amp;" (2 tiết)",'PL10'!$S$11)),1,0)+IF(ISNUMBER(SEARCH(MAP_TNHN!D44&amp;" (2 tiết)",'PL10'!$S$12)),1,0)+IF(ISNUMBER(SEARCH(MAP_TNHN!D44&amp;" (2 tiết)",'PL10'!$S$13)),1,0)+IF(ISNUMBER(SEARCH(MAP_TNHN!D44&amp;" (2 tiết)",'PL10'!$S$14)),1,0)+IF(ISNUMBER(SEARCH(MAP_TNHN!D44&amp;" (2 tiết)",'PL10'!$S$15)),1,0)+IF(ISNUMBER(SEARCH(MAP_TNHN!D44&amp;" (2 tiết)",'PL10'!$S$16)),1,0)+IF(ISNUMBER(SEARCH(MAP_TNHN!D44&amp;" (2 tiết)",'PL10'!$S$17)),1,0)+IF(ISNUMBER(SEARCH(MAP_TNHN!D44&amp;" (2 tiết)",'PL10'!$S$18)),1,0)+IF(ISNUMBER(SEARCH(MAP_TNHN!D44&amp;" (2 tiết)",'PL10'!$S$19)),1,0)+IF(ISNUMBER(SEARCH(MAP_TNHN!D44&amp;" (2 tiết)",'PL10'!$S$20)),1,0)+IF(ISNUMBER(SEARCH(MAP_TNHN!D44&amp;" (2 tiết)",'PL10'!$S$21)),1,0)+IF(ISNUMBER(SEARCH(MAP_TNHN!D44&amp;" (2 tiết)",'PL10'!$S$22)),1,0)+IF(ISNUMBER(SEARCH(MAP_TNHN!D44&amp;" (2 tiết)",'PL10'!$S$23)),1,0)+IF(ISNUMBER(SEARCH(MAP_TNHN!D44&amp;" (2 tiết)",'PL10'!$S$24)),1,0)+IF(ISNUMBER(SEARCH(MAP_TNHN!D44&amp;" (2 tiết)",'PL10'!$S$25)),1,0))))</f>
        <v>1</v>
      </c>
    </row>
    <row r="44" spans="1:51" x14ac:dyDescent="0.35">
      <c r="A44" s="313"/>
      <c r="B44" s="11">
        <v>7</v>
      </c>
      <c r="C44" s="12" t="s">
        <v>111</v>
      </c>
      <c r="D44" s="21">
        <v>11</v>
      </c>
      <c r="E44" s="45">
        <v>2</v>
      </c>
      <c r="F44" s="45"/>
      <c r="G44" s="45">
        <v>1</v>
      </c>
      <c r="H44" s="45">
        <v>1</v>
      </c>
      <c r="I44" s="308">
        <v>1</v>
      </c>
      <c r="J44" s="45">
        <v>1</v>
      </c>
      <c r="K44" s="46">
        <v>1</v>
      </c>
      <c r="L44" s="46">
        <v>1</v>
      </c>
      <c r="M44" s="46">
        <v>1</v>
      </c>
      <c r="N44" s="164">
        <v>1</v>
      </c>
      <c r="O44" s="46"/>
      <c r="P44" s="47"/>
      <c r="Q44" s="47"/>
      <c r="R44" s="47"/>
      <c r="S44" s="165"/>
      <c r="T44" s="47"/>
      <c r="U44" s="11">
        <f>E44*('Phân tiết'!$M$18/4)+G44*('Phân tiết'!$M$21/3)+H44*'Phân tiết'!$L$26+AW44+J44*'Phân tiết'!$M$20+K44*('Phân tiết'!$I$18/4)+M44*('Phân tiết'!$I$21/3)+AX44+O44*'Phân tiết'!$I$20+P44*('Phân tiết'!$E$18/4)+R44*('Phân tiết'!$E$21/3)+AY44+T44*'Phân tiết'!$E$20</f>
        <v>17</v>
      </c>
      <c r="V44" s="8">
        <f t="shared" si="11"/>
        <v>4</v>
      </c>
      <c r="W44" s="6"/>
      <c r="X44" s="6"/>
      <c r="Y44" s="11"/>
      <c r="Z44" s="43">
        <f t="shared" si="12"/>
        <v>21</v>
      </c>
      <c r="AA44" s="34">
        <f t="shared" si="13"/>
        <v>4</v>
      </c>
      <c r="AB44" s="8"/>
      <c r="AC44" s="8"/>
      <c r="AD44" s="6">
        <f t="shared" si="3"/>
        <v>0</v>
      </c>
      <c r="AE44" s="8">
        <v>2</v>
      </c>
      <c r="AF44" s="8">
        <v>15</v>
      </c>
      <c r="AG44" s="6">
        <f t="shared" si="5"/>
        <v>45</v>
      </c>
      <c r="AH44" s="8"/>
      <c r="AI44" s="8"/>
      <c r="AJ44" s="6">
        <f t="shared" si="14"/>
        <v>0</v>
      </c>
      <c r="AK44" s="6">
        <f t="shared" si="6"/>
        <v>177</v>
      </c>
      <c r="AL44" s="11"/>
      <c r="AM44" s="8" t="s">
        <v>112</v>
      </c>
      <c r="AN44" s="11"/>
      <c r="AO44" s="11"/>
      <c r="AP44" s="11"/>
      <c r="AQ44" s="11" t="s">
        <v>46</v>
      </c>
      <c r="AR44" s="11"/>
      <c r="AS44" s="11"/>
      <c r="AT44" s="11" t="s">
        <v>46</v>
      </c>
      <c r="AU44" s="11" t="s">
        <v>113</v>
      </c>
      <c r="AV44" s="8"/>
      <c r="AW44">
        <f>IF(I44="",0,IF(MAP_TNHN!B45="",I44*3,I44*3-2*(IF(ISNUMBER(SEARCH(MAP_TNHN!B45&amp;" (1 tiết)",'PL12'!$S$5)),1,0)+IF(ISNUMBER(SEARCH(MAP_TNHN!B45&amp;" (1 tiết)",'PL12'!$S$6)),1,0)+IF(ISNUMBER(SEARCH(MAP_TNHN!B45&amp;" (1 tiết)",'PL12'!$S$7)),1,0)+IF(ISNUMBER(SEARCH(MAP_TNHN!B45&amp;" (1 tiết)",'PL12'!$S$8)),1,0)+IF(ISNUMBER(SEARCH(MAP_TNHN!B45&amp;" (1 tiết)",'PL12'!$S$9)),1,0)+IF(ISNUMBER(SEARCH(MAP_TNHN!B45&amp;" (1 tiết)",'PL12'!$S$10)),1,0)+IF(ISNUMBER(SEARCH(MAP_TNHN!B45&amp;" (1 tiết)",'PL12'!$S$11)),1,0)+IF(ISNUMBER(SEARCH(MAP_TNHN!B45&amp;" (1 tiết)",'PL12'!$S$12)),1,0)+IF(ISNUMBER(SEARCH(MAP_TNHN!B45&amp;" (1 tiết)",'PL12'!$S$13)),1,0)+IF(ISNUMBER(SEARCH(MAP_TNHN!B45&amp;" (1 tiết)",'PL12'!$S$14)),1,0)+IF(ISNUMBER(SEARCH(MAP_TNHN!B45&amp;" (1 tiết)",'PL12'!$S$15)),1,0)+IF(ISNUMBER(SEARCH(MAP_TNHN!B45&amp;" (1 tiết)",'PL12'!$S$16)),1,0)+IF(ISNUMBER(SEARCH(MAP_TNHN!B45&amp;" (1 tiết)",'PL12'!$S$17)),1,0)+IF(ISNUMBER(SEARCH(MAP_TNHN!B45&amp;" (1 tiết)",'PL12'!$S$18)),1,0)+IF(ISNUMBER(SEARCH(MAP_TNHN!B45&amp;" (1 tiết)",'PL12'!$S$19)),1,0))-(IF(ISNUMBER(SEARCH(MAP_TNHN!B45&amp;" (2 tiết)",'PL12'!$S$5)),1,0)+IF(ISNUMBER(SEARCH(MAP_TNHN!B45&amp;" (2 tiết)",'PL12'!$S$6)),1,0)+IF(ISNUMBER(SEARCH(MAP_TNHN!B45&amp;" (2 tiết)",'PL12'!$S$7)),1,0)+IF(ISNUMBER(SEARCH(MAP_TNHN!B45&amp;" (2 tiết)",'PL12'!$S$8)),1,0)+IF(ISNUMBER(SEARCH(MAP_TNHN!B45&amp;" (2 tiết)",'PL12'!$S$9)),1,0)+IF(ISNUMBER(SEARCH(MAP_TNHN!B45&amp;" (2 tiết)",'PL12'!$S$10)),1,0)+IF(ISNUMBER(SEARCH(MAP_TNHN!B45&amp;" (2 tiết)",'PL12'!$S$11)),1,0)+IF(ISNUMBER(SEARCH(MAP_TNHN!B45&amp;" (2 tiết)",'PL12'!$S$12)),1,0)+IF(ISNUMBER(SEARCH(MAP_TNHN!B45&amp;" (2 tiết)",'PL12'!$S$13)),1,0)+IF(ISNUMBER(SEARCH(MAP_TNHN!B45&amp;" (2 tiết)",'PL12'!$S$14)),1,0)+IF(ISNUMBER(SEARCH(MAP_TNHN!B45&amp;" (2 tiết)",'PL12'!$S$15)),1,0)+IF(ISNUMBER(SEARCH(MAP_TNHN!B45&amp;" (2 tiết)",'PL12'!$S$16)),1,0)+IF(ISNUMBER(SEARCH(MAP_TNHN!B45&amp;" (2 tiết)",'PL12'!$S$17)),1,0)+IF(ISNUMBER(SEARCH(MAP_TNHN!B45&amp;" (2 tiết)",'PL12'!$S$18)),1,0)+IF(ISNUMBER(SEARCH(MAP_TNHN!B45&amp;" (2 tiết)",'PL12'!$S$19)),1,0))))</f>
        <v>3</v>
      </c>
      <c r="AX44">
        <f>IF(N44="",0,IF(MAP_TNHN!C45="",N44*3,N44*3-2*(IF(ISNUMBER(SEARCH(MAP_TNHN!C45&amp;" (1 tiết)",'PL11'!$S$5)),1,0)+IF(ISNUMBER(SEARCH(MAP_TNHN!C45&amp;" (1 tiết)",'PL11'!$S$6)),1,0)+IF(ISNUMBER(SEARCH(MAP_TNHN!C45&amp;" (1 tiết)",'PL11'!$S$7)),1,0)+IF(ISNUMBER(SEARCH(MAP_TNHN!C45&amp;" (1 tiết)",'PL11'!$S$8)),1,0)+IF(ISNUMBER(SEARCH(MAP_TNHN!C45&amp;" (1 tiết)",'PL11'!$S$9)),1,0)+IF(ISNUMBER(SEARCH(MAP_TNHN!C45&amp;" (1 tiết)",'PL11'!$S$10)),1,0)+IF(ISNUMBER(SEARCH(MAP_TNHN!C45&amp;" (1 tiết)",'PL11'!$S$11)),1,0)+IF(ISNUMBER(SEARCH(MAP_TNHN!C45&amp;" (1 tiết)",'PL11'!$S$12)),1,0)+IF(ISNUMBER(SEARCH(MAP_TNHN!C45&amp;" (1 tiết)",'PL11'!$S$13)),1,0)+IF(ISNUMBER(SEARCH(MAP_TNHN!C45&amp;" (1 tiết)",'PL11'!$S$14)),1,0)+IF(ISNUMBER(SEARCH(MAP_TNHN!C45&amp;" (1 tiết)",'PL11'!$S$15)),1,0)+IF(ISNUMBER(SEARCH(MAP_TNHN!C45&amp;" (1 tiết)",'PL11'!$S$16)),1,0)+IF(ISNUMBER(SEARCH(MAP_TNHN!C45&amp;" (1 tiết)",'PL11'!$S$17)),1,0)+IF(ISNUMBER(SEARCH(MAP_TNHN!C45&amp;" (1 tiết)",'PL11'!$S$18)),1,0))-(IF(ISNUMBER(SEARCH(MAP_TNHN!C45&amp;" (2 tiết)",'PL11'!$S$5)),1,0)+IF(ISNUMBER(SEARCH(MAP_TNHN!C45&amp;" (2 tiết)",'PL11'!$S$6)),1,0)+IF(ISNUMBER(SEARCH(MAP_TNHN!C45&amp;" (2 tiết)",'PL11'!$S$7)),1,0)+IF(ISNUMBER(SEARCH(MAP_TNHN!C45&amp;" (2 tiết)",'PL11'!$S$8)),1,0)+IF(ISNUMBER(SEARCH(MAP_TNHN!C45&amp;" (2 tiết)",'PL11'!$S$9)),1,0)+IF(ISNUMBER(SEARCH(MAP_TNHN!C45&amp;" (2 tiết)",'PL11'!$S$10)),1,0)+IF(ISNUMBER(SEARCH(MAP_TNHN!C45&amp;" (2 tiết)",'PL11'!$S$11)),1,0)+IF(ISNUMBER(SEARCH(MAP_TNHN!C45&amp;" (2 tiết)",'PL11'!$S$12)),1,0)+IF(ISNUMBER(SEARCH(MAP_TNHN!C45&amp;" (2 tiết)",'PL11'!$S$13)),1,0)+IF(ISNUMBER(SEARCH(MAP_TNHN!C45&amp;" (2 tiết)",'PL11'!$S$14)),1,0)+IF(ISNUMBER(SEARCH(MAP_TNHN!C45&amp;" (2 tiết)",'PL11'!$S$15)),1,0)+IF(ISNUMBER(SEARCH(MAP_TNHN!C45&amp;" (2 tiết)",'PL11'!$S$16)),1,0)+IF(ISNUMBER(SEARCH(MAP_TNHN!C45&amp;" (2 tiết)",'PL11'!$S$17)),1,0)+IF(ISNUMBER(SEARCH(MAP_TNHN!C45&amp;" (2 tiết)",'PL11'!$S$18)),1,0))))</f>
        <v>3</v>
      </c>
      <c r="AY44">
        <f>IF(S44="",0,IF(MAP_TNHN!D45="",S44*3,S44*3-2*(IF(ISNUMBER(SEARCH(MAP_TNHN!D45&amp;" (1 tiết)",'PL10'!$S$5)),1,0)+IF(ISNUMBER(SEARCH(MAP_TNHN!D45&amp;" (1 tiết)",'PL10'!$S$6)),1,0)+IF(ISNUMBER(SEARCH(MAP_TNHN!D45&amp;" (1 tiết)",'PL10'!$S$7)),1,0)+IF(ISNUMBER(SEARCH(MAP_TNHN!D45&amp;" (1 tiết)",'PL10'!$S$8)),1,0)+IF(ISNUMBER(SEARCH(MAP_TNHN!D45&amp;" (1 tiết)",'PL10'!$S$9)),1,0)+IF(ISNUMBER(SEARCH(MAP_TNHN!D45&amp;" (1 tiết)",'PL10'!$S$10)),1,0)+IF(ISNUMBER(SEARCH(MAP_TNHN!D45&amp;" (1 tiết)",'PL10'!$S$11)),1,0)+IF(ISNUMBER(SEARCH(MAP_TNHN!D45&amp;" (1 tiết)",'PL10'!$S$12)),1,0)+IF(ISNUMBER(SEARCH(MAP_TNHN!D45&amp;" (1 tiết)",'PL10'!$S$13)),1,0)+IF(ISNUMBER(SEARCH(MAP_TNHN!D45&amp;" (1 tiết)",'PL10'!$S$14)),1,0)+IF(ISNUMBER(SEARCH(MAP_TNHN!D45&amp;" (1 tiết)",'PL10'!$S$15)),1,0)+IF(ISNUMBER(SEARCH(MAP_TNHN!D45&amp;" (1 tiết)",'PL10'!$S$16)),1,0)+IF(ISNUMBER(SEARCH(MAP_TNHN!D45&amp;" (1 tiết)",'PL10'!$S$17)),1,0)+IF(ISNUMBER(SEARCH(MAP_TNHN!D45&amp;" (1 tiết)",'PL10'!$S$18)),1,0)+IF(ISNUMBER(SEARCH(MAP_TNHN!D45&amp;" (1 tiết)",'PL10'!$S$19)),1,0)+IF(ISNUMBER(SEARCH(MAP_TNHN!D45&amp;" (1 tiết)",'PL10'!$S$20)),1,0)+IF(ISNUMBER(SEARCH(MAP_TNHN!D45&amp;" (1 tiết)",'PL10'!$S$21)),1,0)+IF(ISNUMBER(SEARCH(MAP_TNHN!D45&amp;" (1 tiết)",'PL10'!$S$22)),1,0)+IF(ISNUMBER(SEARCH(MAP_TNHN!D45&amp;" (1 tiết)",'PL10'!$S$23)),1,0)+IF(ISNUMBER(SEARCH(MAP_TNHN!D45&amp;" (1 tiết)",'PL10'!$S$24)),1,0)+IF(ISNUMBER(SEARCH(MAP_TNHN!D45&amp;" (1 tiết)",'PL10'!$S$25)),1,0))-(IF(ISNUMBER(SEARCH(MAP_TNHN!D45&amp;" (2 tiết)",'PL10'!$S$5)),1,0)+IF(ISNUMBER(SEARCH(MAP_TNHN!D45&amp;" (2 tiết)",'PL10'!$S$6)),1,0)+IF(ISNUMBER(SEARCH(MAP_TNHN!D45&amp;" (2 tiết)",'PL10'!$S$7)),1,0)+IF(ISNUMBER(SEARCH(MAP_TNHN!D45&amp;" (2 tiết)",'PL10'!$S$8)),1,0)+IF(ISNUMBER(SEARCH(MAP_TNHN!D45&amp;" (2 tiết)",'PL10'!$S$9)),1,0)+IF(ISNUMBER(SEARCH(MAP_TNHN!D45&amp;" (2 tiết)",'PL10'!$S$10)),1,0)+IF(ISNUMBER(SEARCH(MAP_TNHN!D45&amp;" (2 tiết)",'PL10'!$S$11)),1,0)+IF(ISNUMBER(SEARCH(MAP_TNHN!D45&amp;" (2 tiết)",'PL10'!$S$12)),1,0)+IF(ISNUMBER(SEARCH(MAP_TNHN!D45&amp;" (2 tiết)",'PL10'!$S$13)),1,0)+IF(ISNUMBER(SEARCH(MAP_TNHN!D45&amp;" (2 tiết)",'PL10'!$S$14)),1,0)+IF(ISNUMBER(SEARCH(MAP_TNHN!D45&amp;" (2 tiết)",'PL10'!$S$15)),1,0)+IF(ISNUMBER(SEARCH(MAP_TNHN!D45&amp;" (2 tiết)",'PL10'!$S$16)),1,0)+IF(ISNUMBER(SEARCH(MAP_TNHN!D45&amp;" (2 tiết)",'PL10'!$S$17)),1,0)+IF(ISNUMBER(SEARCH(MAP_TNHN!D45&amp;" (2 tiết)",'PL10'!$S$18)),1,0)+IF(ISNUMBER(SEARCH(MAP_TNHN!D45&amp;" (2 tiết)",'PL10'!$S$19)),1,0)+IF(ISNUMBER(SEARCH(MAP_TNHN!D45&amp;" (2 tiết)",'PL10'!$S$20)),1,0)+IF(ISNUMBER(SEARCH(MAP_TNHN!D45&amp;" (2 tiết)",'PL10'!$S$21)),1,0)+IF(ISNUMBER(SEARCH(MAP_TNHN!D45&amp;" (2 tiết)",'PL10'!$S$22)),1,0)+IF(ISNUMBER(SEARCH(MAP_TNHN!D45&amp;" (2 tiết)",'PL10'!$S$23)),1,0)+IF(ISNUMBER(SEARCH(MAP_TNHN!D45&amp;" (2 tiết)",'PL10'!$S$24)),1,0)+IF(ISNUMBER(SEARCH(MAP_TNHN!D45&amp;" (2 tiết)",'PL10'!$S$25)),1,0))))</f>
        <v>0</v>
      </c>
    </row>
    <row r="45" spans="1:51" s="89" customFormat="1" x14ac:dyDescent="0.35">
      <c r="A45" s="88"/>
      <c r="B45" s="87"/>
      <c r="C45" s="86" t="s">
        <v>65</v>
      </c>
      <c r="D45" s="87"/>
      <c r="E45" s="87">
        <f>SUM(E38:E44)</f>
        <v>8</v>
      </c>
      <c r="F45" s="87"/>
      <c r="G45" s="87">
        <f>SUM(G38:G44)</f>
        <v>7</v>
      </c>
      <c r="H45" s="87">
        <f>SUM(H38:H44)</f>
        <v>4</v>
      </c>
      <c r="I45" s="162"/>
      <c r="J45" s="87"/>
      <c r="K45" s="87">
        <f>SUM(K38:K44)</f>
        <v>7</v>
      </c>
      <c r="L45" s="87"/>
      <c r="M45" s="87">
        <f>SUM(M38:M44)</f>
        <v>7</v>
      </c>
      <c r="N45" s="162"/>
      <c r="O45" s="87"/>
      <c r="P45" s="87">
        <f>SUM(P38:P44)</f>
        <v>10</v>
      </c>
      <c r="Q45" s="87"/>
      <c r="R45" s="87">
        <f>SUM(R38:R44)</f>
        <v>10</v>
      </c>
      <c r="S45" s="162"/>
      <c r="T45" s="87"/>
      <c r="U45" s="87"/>
      <c r="V45" s="85"/>
      <c r="W45" s="85"/>
      <c r="X45" s="85"/>
      <c r="Y45" s="87"/>
      <c r="Z45" s="88">
        <f t="shared" si="12"/>
        <v>0</v>
      </c>
      <c r="AA45" s="88"/>
      <c r="AB45" s="85"/>
      <c r="AC45" s="85"/>
      <c r="AD45" s="85">
        <f t="shared" si="3"/>
        <v>0</v>
      </c>
      <c r="AE45" s="85"/>
      <c r="AF45" s="85"/>
      <c r="AG45" s="85">
        <f t="shared" si="5"/>
        <v>0</v>
      </c>
      <c r="AH45" s="85"/>
      <c r="AI45" s="85"/>
      <c r="AJ45" s="85"/>
      <c r="AK45" s="85">
        <f t="shared" si="6"/>
        <v>0</v>
      </c>
      <c r="AL45" s="87"/>
      <c r="AM45" s="87"/>
      <c r="AN45" s="87"/>
      <c r="AO45" s="87"/>
      <c r="AP45" s="87"/>
      <c r="AQ45" s="87"/>
      <c r="AR45" s="87"/>
      <c r="AS45" s="87"/>
      <c r="AT45" s="87"/>
      <c r="AU45" s="87"/>
      <c r="AV45" s="85"/>
      <c r="AW45"/>
      <c r="AX45"/>
      <c r="AY45"/>
    </row>
    <row r="46" spans="1:51" x14ac:dyDescent="0.35">
      <c r="A46" s="313" t="s">
        <v>114</v>
      </c>
      <c r="B46" s="11">
        <v>1</v>
      </c>
      <c r="C46" s="12" t="s">
        <v>115</v>
      </c>
      <c r="D46" s="21"/>
      <c r="E46" s="45">
        <v>4</v>
      </c>
      <c r="F46" s="45"/>
      <c r="G46" s="45">
        <v>2</v>
      </c>
      <c r="H46" s="45">
        <v>1</v>
      </c>
      <c r="I46" s="161"/>
      <c r="J46" s="45"/>
      <c r="K46" s="46"/>
      <c r="L46" s="46"/>
      <c r="M46" s="46"/>
      <c r="N46" s="164"/>
      <c r="O46" s="46"/>
      <c r="P46" s="47">
        <v>6</v>
      </c>
      <c r="Q46" s="47"/>
      <c r="R46" s="47">
        <v>2</v>
      </c>
      <c r="S46" s="165"/>
      <c r="T46" s="47"/>
      <c r="U46" s="11">
        <f>E46*'Phân tiết'!$M$8+G46*('Phân tiết'!$M$21/3)+H46*'Phân tiết'!$L$26+AW46+J46*'Phân tiết'!$M$20+K46*'Phân tiết'!$I$8+M46*('Phân tiết'!$I$21/3)+AX46+O46*'Phân tiết'!$I$20+P46*'Phân tiết'!$E$8+R46*('Phân tiết'!$E$21/3)+AY46+T46*'Phân tiết'!$E$20</f>
        <v>26</v>
      </c>
      <c r="V46" s="8">
        <f>F46*4+L46*4+Q46*4</f>
        <v>0</v>
      </c>
      <c r="W46" s="6" t="s">
        <v>45</v>
      </c>
      <c r="X46" s="6"/>
      <c r="Y46" s="11">
        <v>3</v>
      </c>
      <c r="Z46" s="43">
        <f t="shared" si="12"/>
        <v>29</v>
      </c>
      <c r="AA46" s="34">
        <f>Z46-17</f>
        <v>12</v>
      </c>
      <c r="AB46" s="8">
        <v>2</v>
      </c>
      <c r="AC46" s="8">
        <v>20</v>
      </c>
      <c r="AD46" s="6">
        <f t="shared" si="3"/>
        <v>60</v>
      </c>
      <c r="AE46" s="8"/>
      <c r="AF46" s="8"/>
      <c r="AG46" s="6">
        <f t="shared" si="5"/>
        <v>0</v>
      </c>
      <c r="AH46" s="8"/>
      <c r="AI46" s="8"/>
      <c r="AJ46" s="6">
        <f>AH46*AI46</f>
        <v>0</v>
      </c>
      <c r="AK46" s="6">
        <f t="shared" si="6"/>
        <v>456</v>
      </c>
      <c r="AL46" s="11" t="s">
        <v>64</v>
      </c>
      <c r="AM46" s="11"/>
      <c r="AN46" s="11" t="s">
        <v>46</v>
      </c>
      <c r="AO46" s="11" t="s">
        <v>46</v>
      </c>
      <c r="AP46" s="11" t="s">
        <v>46</v>
      </c>
      <c r="AQ46" s="11" t="s">
        <v>46</v>
      </c>
      <c r="AR46" s="11" t="s">
        <v>46</v>
      </c>
      <c r="AS46" s="11"/>
      <c r="AT46" s="11" t="s">
        <v>46</v>
      </c>
      <c r="AU46" s="11"/>
      <c r="AV46" s="8"/>
      <c r="AW46">
        <f>IF(I46="",0,IF(MAP_TNHN!B47="",I46*3,I46*3-2*(IF(ISNUMBER(SEARCH(MAP_TNHN!B47&amp;" (1 tiết)",'PL12'!$S$5)),1,0)+IF(ISNUMBER(SEARCH(MAP_TNHN!B47&amp;" (1 tiết)",'PL12'!$S$6)),1,0)+IF(ISNUMBER(SEARCH(MAP_TNHN!B47&amp;" (1 tiết)",'PL12'!$S$7)),1,0)+IF(ISNUMBER(SEARCH(MAP_TNHN!B47&amp;" (1 tiết)",'PL12'!$S$8)),1,0)+IF(ISNUMBER(SEARCH(MAP_TNHN!B47&amp;" (1 tiết)",'PL12'!$S$9)),1,0)+IF(ISNUMBER(SEARCH(MAP_TNHN!B47&amp;" (1 tiết)",'PL12'!$S$10)),1,0)+IF(ISNUMBER(SEARCH(MAP_TNHN!B47&amp;" (1 tiết)",'PL12'!$S$11)),1,0)+IF(ISNUMBER(SEARCH(MAP_TNHN!B47&amp;" (1 tiết)",'PL12'!$S$12)),1,0)+IF(ISNUMBER(SEARCH(MAP_TNHN!B47&amp;" (1 tiết)",'PL12'!$S$13)),1,0)+IF(ISNUMBER(SEARCH(MAP_TNHN!B47&amp;" (1 tiết)",'PL12'!$S$14)),1,0)+IF(ISNUMBER(SEARCH(MAP_TNHN!B47&amp;" (1 tiết)",'PL12'!$S$15)),1,0)+IF(ISNUMBER(SEARCH(MAP_TNHN!B47&amp;" (1 tiết)",'PL12'!$S$16)),1,0)+IF(ISNUMBER(SEARCH(MAP_TNHN!B47&amp;" (1 tiết)",'PL12'!$S$17)),1,0)+IF(ISNUMBER(SEARCH(MAP_TNHN!B47&amp;" (1 tiết)",'PL12'!$S$18)),1,0)+IF(ISNUMBER(SEARCH(MAP_TNHN!B47&amp;" (1 tiết)",'PL12'!$S$19)),1,0))-(IF(ISNUMBER(SEARCH(MAP_TNHN!B47&amp;" (2 tiết)",'PL12'!$S$5)),1,0)+IF(ISNUMBER(SEARCH(MAP_TNHN!B47&amp;" (2 tiết)",'PL12'!$S$6)),1,0)+IF(ISNUMBER(SEARCH(MAP_TNHN!B47&amp;" (2 tiết)",'PL12'!$S$7)),1,0)+IF(ISNUMBER(SEARCH(MAP_TNHN!B47&amp;" (2 tiết)",'PL12'!$S$8)),1,0)+IF(ISNUMBER(SEARCH(MAP_TNHN!B47&amp;" (2 tiết)",'PL12'!$S$9)),1,0)+IF(ISNUMBER(SEARCH(MAP_TNHN!B47&amp;" (2 tiết)",'PL12'!$S$10)),1,0)+IF(ISNUMBER(SEARCH(MAP_TNHN!B47&amp;" (2 tiết)",'PL12'!$S$11)),1,0)+IF(ISNUMBER(SEARCH(MAP_TNHN!B47&amp;" (2 tiết)",'PL12'!$S$12)),1,0)+IF(ISNUMBER(SEARCH(MAP_TNHN!B47&amp;" (2 tiết)",'PL12'!$S$13)),1,0)+IF(ISNUMBER(SEARCH(MAP_TNHN!B47&amp;" (2 tiết)",'PL12'!$S$14)),1,0)+IF(ISNUMBER(SEARCH(MAP_TNHN!B47&amp;" (2 tiết)",'PL12'!$S$15)),1,0)+IF(ISNUMBER(SEARCH(MAP_TNHN!B47&amp;" (2 tiết)",'PL12'!$S$16)),1,0)+IF(ISNUMBER(SEARCH(MAP_TNHN!B47&amp;" (2 tiết)",'PL12'!$S$17)),1,0)+IF(ISNUMBER(SEARCH(MAP_TNHN!B47&amp;" (2 tiết)",'PL12'!$S$18)),1,0)+IF(ISNUMBER(SEARCH(MAP_TNHN!B47&amp;" (2 tiết)",'PL12'!$S$19)),1,0))))</f>
        <v>0</v>
      </c>
      <c r="AX46">
        <f>IF(N46="",0,IF(MAP_TNHN!C47="",N46*3,N46*3-2*(IF(ISNUMBER(SEARCH(MAP_TNHN!C47&amp;" (1 tiết)",'PL11'!$S$5)),1,0)+IF(ISNUMBER(SEARCH(MAP_TNHN!C47&amp;" (1 tiết)",'PL11'!$S$6)),1,0)+IF(ISNUMBER(SEARCH(MAP_TNHN!C47&amp;" (1 tiết)",'PL11'!$S$7)),1,0)+IF(ISNUMBER(SEARCH(MAP_TNHN!C47&amp;" (1 tiết)",'PL11'!$S$8)),1,0)+IF(ISNUMBER(SEARCH(MAP_TNHN!C47&amp;" (1 tiết)",'PL11'!$S$9)),1,0)+IF(ISNUMBER(SEARCH(MAP_TNHN!C47&amp;" (1 tiết)",'PL11'!$S$10)),1,0)+IF(ISNUMBER(SEARCH(MAP_TNHN!C47&amp;" (1 tiết)",'PL11'!$S$11)),1,0)+IF(ISNUMBER(SEARCH(MAP_TNHN!C47&amp;" (1 tiết)",'PL11'!$S$12)),1,0)+IF(ISNUMBER(SEARCH(MAP_TNHN!C47&amp;" (1 tiết)",'PL11'!$S$13)),1,0)+IF(ISNUMBER(SEARCH(MAP_TNHN!C47&amp;" (1 tiết)",'PL11'!$S$14)),1,0)+IF(ISNUMBER(SEARCH(MAP_TNHN!C47&amp;" (1 tiết)",'PL11'!$S$15)),1,0)+IF(ISNUMBER(SEARCH(MAP_TNHN!C47&amp;" (1 tiết)",'PL11'!$S$16)),1,0)+IF(ISNUMBER(SEARCH(MAP_TNHN!C47&amp;" (1 tiết)",'PL11'!$S$17)),1,0)+IF(ISNUMBER(SEARCH(MAP_TNHN!C47&amp;" (1 tiết)",'PL11'!$S$18)),1,0))-(IF(ISNUMBER(SEARCH(MAP_TNHN!C47&amp;" (2 tiết)",'PL11'!$S$5)),1,0)+IF(ISNUMBER(SEARCH(MAP_TNHN!C47&amp;" (2 tiết)",'PL11'!$S$6)),1,0)+IF(ISNUMBER(SEARCH(MAP_TNHN!C47&amp;" (2 tiết)",'PL11'!$S$7)),1,0)+IF(ISNUMBER(SEARCH(MAP_TNHN!C47&amp;" (2 tiết)",'PL11'!$S$8)),1,0)+IF(ISNUMBER(SEARCH(MAP_TNHN!C47&amp;" (2 tiết)",'PL11'!$S$9)),1,0)+IF(ISNUMBER(SEARCH(MAP_TNHN!C47&amp;" (2 tiết)",'PL11'!$S$10)),1,0)+IF(ISNUMBER(SEARCH(MAP_TNHN!C47&amp;" (2 tiết)",'PL11'!$S$11)),1,0)+IF(ISNUMBER(SEARCH(MAP_TNHN!C47&amp;" (2 tiết)",'PL11'!$S$12)),1,0)+IF(ISNUMBER(SEARCH(MAP_TNHN!C47&amp;" (2 tiết)",'PL11'!$S$13)),1,0)+IF(ISNUMBER(SEARCH(MAP_TNHN!C47&amp;" (2 tiết)",'PL11'!$S$14)),1,0)+IF(ISNUMBER(SEARCH(MAP_TNHN!C47&amp;" (2 tiết)",'PL11'!$S$15)),1,0)+IF(ISNUMBER(SEARCH(MAP_TNHN!C47&amp;" (2 tiết)",'PL11'!$S$16)),1,0)+IF(ISNUMBER(SEARCH(MAP_TNHN!C47&amp;" (2 tiết)",'PL11'!$S$17)),1,0)+IF(ISNUMBER(SEARCH(MAP_TNHN!C47&amp;" (2 tiết)",'PL11'!$S$18)),1,0))))</f>
        <v>0</v>
      </c>
      <c r="AY46">
        <f>IF(S46="",0,IF(MAP_TNHN!D47="",S46*3,S46*3-2*(IF(ISNUMBER(SEARCH(MAP_TNHN!D47&amp;" (1 tiết)",'PL10'!$S$5)),1,0)+IF(ISNUMBER(SEARCH(MAP_TNHN!D47&amp;" (1 tiết)",'PL10'!$S$6)),1,0)+IF(ISNUMBER(SEARCH(MAP_TNHN!D47&amp;" (1 tiết)",'PL10'!$S$7)),1,0)+IF(ISNUMBER(SEARCH(MAP_TNHN!D47&amp;" (1 tiết)",'PL10'!$S$8)),1,0)+IF(ISNUMBER(SEARCH(MAP_TNHN!D47&amp;" (1 tiết)",'PL10'!$S$9)),1,0)+IF(ISNUMBER(SEARCH(MAP_TNHN!D47&amp;" (1 tiết)",'PL10'!$S$10)),1,0)+IF(ISNUMBER(SEARCH(MAP_TNHN!D47&amp;" (1 tiết)",'PL10'!$S$11)),1,0)+IF(ISNUMBER(SEARCH(MAP_TNHN!D47&amp;" (1 tiết)",'PL10'!$S$12)),1,0)+IF(ISNUMBER(SEARCH(MAP_TNHN!D47&amp;" (1 tiết)",'PL10'!$S$13)),1,0)+IF(ISNUMBER(SEARCH(MAP_TNHN!D47&amp;" (1 tiết)",'PL10'!$S$14)),1,0)+IF(ISNUMBER(SEARCH(MAP_TNHN!D47&amp;" (1 tiết)",'PL10'!$S$15)),1,0)+IF(ISNUMBER(SEARCH(MAP_TNHN!D47&amp;" (1 tiết)",'PL10'!$S$16)),1,0)+IF(ISNUMBER(SEARCH(MAP_TNHN!D47&amp;" (1 tiết)",'PL10'!$S$17)),1,0)+IF(ISNUMBER(SEARCH(MAP_TNHN!D47&amp;" (1 tiết)",'PL10'!$S$18)),1,0)+IF(ISNUMBER(SEARCH(MAP_TNHN!D47&amp;" (1 tiết)",'PL10'!$S$19)),1,0)+IF(ISNUMBER(SEARCH(MAP_TNHN!D47&amp;" (1 tiết)",'PL10'!$S$20)),1,0)+IF(ISNUMBER(SEARCH(MAP_TNHN!D47&amp;" (1 tiết)",'PL10'!$S$21)),1,0)+IF(ISNUMBER(SEARCH(MAP_TNHN!D47&amp;" (1 tiết)",'PL10'!$S$22)),1,0)+IF(ISNUMBER(SEARCH(MAP_TNHN!D47&amp;" (1 tiết)",'PL10'!$S$23)),1,0)+IF(ISNUMBER(SEARCH(MAP_TNHN!D47&amp;" (1 tiết)",'PL10'!$S$24)),1,0)+IF(ISNUMBER(SEARCH(MAP_TNHN!D47&amp;" (1 tiết)",'PL10'!$S$25)),1,0))-(IF(ISNUMBER(SEARCH(MAP_TNHN!D47&amp;" (2 tiết)",'PL10'!$S$5)),1,0)+IF(ISNUMBER(SEARCH(MAP_TNHN!D47&amp;" (2 tiết)",'PL10'!$S$6)),1,0)+IF(ISNUMBER(SEARCH(MAP_TNHN!D47&amp;" (2 tiết)",'PL10'!$S$7)),1,0)+IF(ISNUMBER(SEARCH(MAP_TNHN!D47&amp;" (2 tiết)",'PL10'!$S$8)),1,0)+IF(ISNUMBER(SEARCH(MAP_TNHN!D47&amp;" (2 tiết)",'PL10'!$S$9)),1,0)+IF(ISNUMBER(SEARCH(MAP_TNHN!D47&amp;" (2 tiết)",'PL10'!$S$10)),1,0)+IF(ISNUMBER(SEARCH(MAP_TNHN!D47&amp;" (2 tiết)",'PL10'!$S$11)),1,0)+IF(ISNUMBER(SEARCH(MAP_TNHN!D47&amp;" (2 tiết)",'PL10'!$S$12)),1,0)+IF(ISNUMBER(SEARCH(MAP_TNHN!D47&amp;" (2 tiết)",'PL10'!$S$13)),1,0)+IF(ISNUMBER(SEARCH(MAP_TNHN!D47&amp;" (2 tiết)",'PL10'!$S$14)),1,0)+IF(ISNUMBER(SEARCH(MAP_TNHN!D47&amp;" (2 tiết)",'PL10'!$S$15)),1,0)+IF(ISNUMBER(SEARCH(MAP_TNHN!D47&amp;" (2 tiết)",'PL10'!$S$16)),1,0)+IF(ISNUMBER(SEARCH(MAP_TNHN!D47&amp;" (2 tiết)",'PL10'!$S$17)),1,0)+IF(ISNUMBER(SEARCH(MAP_TNHN!D47&amp;" (2 tiết)",'PL10'!$S$18)),1,0)+IF(ISNUMBER(SEARCH(MAP_TNHN!D47&amp;" (2 tiết)",'PL10'!$S$19)),1,0)+IF(ISNUMBER(SEARCH(MAP_TNHN!D47&amp;" (2 tiết)",'PL10'!$S$20)),1,0)+IF(ISNUMBER(SEARCH(MAP_TNHN!D47&amp;" (2 tiết)",'PL10'!$S$21)),1,0)+IF(ISNUMBER(SEARCH(MAP_TNHN!D47&amp;" (2 tiết)",'PL10'!$S$22)),1,0)+IF(ISNUMBER(SEARCH(MAP_TNHN!D47&amp;" (2 tiết)",'PL10'!$S$23)),1,0)+IF(ISNUMBER(SEARCH(MAP_TNHN!D47&amp;" (2 tiết)",'PL10'!$S$24)),1,0)+IF(ISNUMBER(SEARCH(MAP_TNHN!D47&amp;" (2 tiết)",'PL10'!$S$25)),1,0))))</f>
        <v>0</v>
      </c>
    </row>
    <row r="47" spans="1:51" x14ac:dyDescent="0.35">
      <c r="A47" s="313"/>
      <c r="B47" s="11">
        <v>2</v>
      </c>
      <c r="C47" s="12" t="s">
        <v>116</v>
      </c>
      <c r="D47" s="21"/>
      <c r="E47" s="45">
        <v>4</v>
      </c>
      <c r="F47" s="45"/>
      <c r="G47" s="45">
        <v>1</v>
      </c>
      <c r="H47" s="45">
        <v>1</v>
      </c>
      <c r="I47" s="161"/>
      <c r="J47" s="45"/>
      <c r="K47" s="46">
        <v>7</v>
      </c>
      <c r="L47" s="46"/>
      <c r="M47" s="46">
        <v>2</v>
      </c>
      <c r="N47" s="164"/>
      <c r="O47" s="46"/>
      <c r="P47" s="47"/>
      <c r="Q47" s="47"/>
      <c r="R47" s="47"/>
      <c r="S47" s="165"/>
      <c r="T47" s="47"/>
      <c r="U47" s="11">
        <f>E47*'Phân tiết'!$M$8+G47*('Phân tiết'!$M$21/3)+H47*'Phân tiết'!$L$26+AW47+J47*'Phân tiết'!$M$20+K47*'Phân tiết'!$I$8+M47*('Phân tiết'!$I$21/3)+AX47+O47*'Phân tiết'!$I$20+P47*'Phân tiết'!$E$8+R47*('Phân tiết'!$E$21/3)+AY47+T47*'Phân tiết'!$E$20</f>
        <v>20</v>
      </c>
      <c r="V47" s="8">
        <f>F47*4+L47*4+Q47*4</f>
        <v>0</v>
      </c>
      <c r="W47" s="6"/>
      <c r="X47" s="6"/>
      <c r="Y47" s="11">
        <v>0</v>
      </c>
      <c r="Z47" s="43">
        <f t="shared" si="12"/>
        <v>20</v>
      </c>
      <c r="AA47" s="34">
        <f>Z47-17</f>
        <v>3</v>
      </c>
      <c r="AB47" s="8">
        <v>2</v>
      </c>
      <c r="AC47" s="8">
        <v>15</v>
      </c>
      <c r="AD47" s="6">
        <f t="shared" si="3"/>
        <v>45</v>
      </c>
      <c r="AE47" s="8"/>
      <c r="AF47" s="8"/>
      <c r="AG47" s="6">
        <f t="shared" si="5"/>
        <v>0</v>
      </c>
      <c r="AH47" s="8"/>
      <c r="AI47" s="8"/>
      <c r="AJ47" s="6">
        <f>AH47*AI47</f>
        <v>0</v>
      </c>
      <c r="AK47" s="6">
        <f t="shared" si="6"/>
        <v>144</v>
      </c>
      <c r="AL47" s="11" t="s">
        <v>48</v>
      </c>
      <c r="AM47" s="11"/>
      <c r="AN47" s="11" t="s">
        <v>46</v>
      </c>
      <c r="AO47" s="11" t="s">
        <v>46</v>
      </c>
      <c r="AP47" s="11" t="s">
        <v>46</v>
      </c>
      <c r="AQ47" s="12" t="s">
        <v>46</v>
      </c>
      <c r="AR47" s="11"/>
      <c r="AS47" s="11"/>
      <c r="AT47" s="11" t="s">
        <v>46</v>
      </c>
      <c r="AU47" s="11"/>
      <c r="AV47" s="8"/>
      <c r="AW47">
        <f>IF(I47="",0,IF(MAP_TNHN!B48="",I47*3,I47*3-2*(IF(ISNUMBER(SEARCH(MAP_TNHN!B48&amp;" (1 tiết)",'PL12'!$S$5)),1,0)+IF(ISNUMBER(SEARCH(MAP_TNHN!B48&amp;" (1 tiết)",'PL12'!$S$6)),1,0)+IF(ISNUMBER(SEARCH(MAP_TNHN!B48&amp;" (1 tiết)",'PL12'!$S$7)),1,0)+IF(ISNUMBER(SEARCH(MAP_TNHN!B48&amp;" (1 tiết)",'PL12'!$S$8)),1,0)+IF(ISNUMBER(SEARCH(MAP_TNHN!B48&amp;" (1 tiết)",'PL12'!$S$9)),1,0)+IF(ISNUMBER(SEARCH(MAP_TNHN!B48&amp;" (1 tiết)",'PL12'!$S$10)),1,0)+IF(ISNUMBER(SEARCH(MAP_TNHN!B48&amp;" (1 tiết)",'PL12'!$S$11)),1,0)+IF(ISNUMBER(SEARCH(MAP_TNHN!B48&amp;" (1 tiết)",'PL12'!$S$12)),1,0)+IF(ISNUMBER(SEARCH(MAP_TNHN!B48&amp;" (1 tiết)",'PL12'!$S$13)),1,0)+IF(ISNUMBER(SEARCH(MAP_TNHN!B48&amp;" (1 tiết)",'PL12'!$S$14)),1,0)+IF(ISNUMBER(SEARCH(MAP_TNHN!B48&amp;" (1 tiết)",'PL12'!$S$15)),1,0)+IF(ISNUMBER(SEARCH(MAP_TNHN!B48&amp;" (1 tiết)",'PL12'!$S$16)),1,0)+IF(ISNUMBER(SEARCH(MAP_TNHN!B48&amp;" (1 tiết)",'PL12'!$S$17)),1,0)+IF(ISNUMBER(SEARCH(MAP_TNHN!B48&amp;" (1 tiết)",'PL12'!$S$18)),1,0)+IF(ISNUMBER(SEARCH(MAP_TNHN!B48&amp;" (1 tiết)",'PL12'!$S$19)),1,0))-(IF(ISNUMBER(SEARCH(MAP_TNHN!B48&amp;" (2 tiết)",'PL12'!$S$5)),1,0)+IF(ISNUMBER(SEARCH(MAP_TNHN!B48&amp;" (2 tiết)",'PL12'!$S$6)),1,0)+IF(ISNUMBER(SEARCH(MAP_TNHN!B48&amp;" (2 tiết)",'PL12'!$S$7)),1,0)+IF(ISNUMBER(SEARCH(MAP_TNHN!B48&amp;" (2 tiết)",'PL12'!$S$8)),1,0)+IF(ISNUMBER(SEARCH(MAP_TNHN!B48&amp;" (2 tiết)",'PL12'!$S$9)),1,0)+IF(ISNUMBER(SEARCH(MAP_TNHN!B48&amp;" (2 tiết)",'PL12'!$S$10)),1,0)+IF(ISNUMBER(SEARCH(MAP_TNHN!B48&amp;" (2 tiết)",'PL12'!$S$11)),1,0)+IF(ISNUMBER(SEARCH(MAP_TNHN!B48&amp;" (2 tiết)",'PL12'!$S$12)),1,0)+IF(ISNUMBER(SEARCH(MAP_TNHN!B48&amp;" (2 tiết)",'PL12'!$S$13)),1,0)+IF(ISNUMBER(SEARCH(MAP_TNHN!B48&amp;" (2 tiết)",'PL12'!$S$14)),1,0)+IF(ISNUMBER(SEARCH(MAP_TNHN!B48&amp;" (2 tiết)",'PL12'!$S$15)),1,0)+IF(ISNUMBER(SEARCH(MAP_TNHN!B48&amp;" (2 tiết)",'PL12'!$S$16)),1,0)+IF(ISNUMBER(SEARCH(MAP_TNHN!B48&amp;" (2 tiết)",'PL12'!$S$17)),1,0)+IF(ISNUMBER(SEARCH(MAP_TNHN!B48&amp;" (2 tiết)",'PL12'!$S$18)),1,0)+IF(ISNUMBER(SEARCH(MAP_TNHN!B48&amp;" (2 tiết)",'PL12'!$S$19)),1,0))))</f>
        <v>0</v>
      </c>
      <c r="AX47">
        <f>IF(N47="",0,IF(MAP_TNHN!C48="",N47*3,N47*3-2*(IF(ISNUMBER(SEARCH(MAP_TNHN!C48&amp;" (1 tiết)",'PL11'!$S$5)),1,0)+IF(ISNUMBER(SEARCH(MAP_TNHN!C48&amp;" (1 tiết)",'PL11'!$S$6)),1,0)+IF(ISNUMBER(SEARCH(MAP_TNHN!C48&amp;" (1 tiết)",'PL11'!$S$7)),1,0)+IF(ISNUMBER(SEARCH(MAP_TNHN!C48&amp;" (1 tiết)",'PL11'!$S$8)),1,0)+IF(ISNUMBER(SEARCH(MAP_TNHN!C48&amp;" (1 tiết)",'PL11'!$S$9)),1,0)+IF(ISNUMBER(SEARCH(MAP_TNHN!C48&amp;" (1 tiết)",'PL11'!$S$10)),1,0)+IF(ISNUMBER(SEARCH(MAP_TNHN!C48&amp;" (1 tiết)",'PL11'!$S$11)),1,0)+IF(ISNUMBER(SEARCH(MAP_TNHN!C48&amp;" (1 tiết)",'PL11'!$S$12)),1,0)+IF(ISNUMBER(SEARCH(MAP_TNHN!C48&amp;" (1 tiết)",'PL11'!$S$13)),1,0)+IF(ISNUMBER(SEARCH(MAP_TNHN!C48&amp;" (1 tiết)",'PL11'!$S$14)),1,0)+IF(ISNUMBER(SEARCH(MAP_TNHN!C48&amp;" (1 tiết)",'PL11'!$S$15)),1,0)+IF(ISNUMBER(SEARCH(MAP_TNHN!C48&amp;" (1 tiết)",'PL11'!$S$16)),1,0)+IF(ISNUMBER(SEARCH(MAP_TNHN!C48&amp;" (1 tiết)",'PL11'!$S$17)),1,0)+IF(ISNUMBER(SEARCH(MAP_TNHN!C48&amp;" (1 tiết)",'PL11'!$S$18)),1,0))-(IF(ISNUMBER(SEARCH(MAP_TNHN!C48&amp;" (2 tiết)",'PL11'!$S$5)),1,0)+IF(ISNUMBER(SEARCH(MAP_TNHN!C48&amp;" (2 tiết)",'PL11'!$S$6)),1,0)+IF(ISNUMBER(SEARCH(MAP_TNHN!C48&amp;" (2 tiết)",'PL11'!$S$7)),1,0)+IF(ISNUMBER(SEARCH(MAP_TNHN!C48&amp;" (2 tiết)",'PL11'!$S$8)),1,0)+IF(ISNUMBER(SEARCH(MAP_TNHN!C48&amp;" (2 tiết)",'PL11'!$S$9)),1,0)+IF(ISNUMBER(SEARCH(MAP_TNHN!C48&amp;" (2 tiết)",'PL11'!$S$10)),1,0)+IF(ISNUMBER(SEARCH(MAP_TNHN!C48&amp;" (2 tiết)",'PL11'!$S$11)),1,0)+IF(ISNUMBER(SEARCH(MAP_TNHN!C48&amp;" (2 tiết)",'PL11'!$S$12)),1,0)+IF(ISNUMBER(SEARCH(MAP_TNHN!C48&amp;" (2 tiết)",'PL11'!$S$13)),1,0)+IF(ISNUMBER(SEARCH(MAP_TNHN!C48&amp;" (2 tiết)",'PL11'!$S$14)),1,0)+IF(ISNUMBER(SEARCH(MAP_TNHN!C48&amp;" (2 tiết)",'PL11'!$S$15)),1,0)+IF(ISNUMBER(SEARCH(MAP_TNHN!C48&amp;" (2 tiết)",'PL11'!$S$16)),1,0)+IF(ISNUMBER(SEARCH(MAP_TNHN!C48&amp;" (2 tiết)",'PL11'!$S$17)),1,0)+IF(ISNUMBER(SEARCH(MAP_TNHN!C48&amp;" (2 tiết)",'PL11'!$S$18)),1,0))))</f>
        <v>0</v>
      </c>
      <c r="AY47">
        <f>IF(S47="",0,IF(MAP_TNHN!D48="",S47*3,S47*3-2*(IF(ISNUMBER(SEARCH(MAP_TNHN!D48&amp;" (1 tiết)",'PL10'!$S$5)),1,0)+IF(ISNUMBER(SEARCH(MAP_TNHN!D48&amp;" (1 tiết)",'PL10'!$S$6)),1,0)+IF(ISNUMBER(SEARCH(MAP_TNHN!D48&amp;" (1 tiết)",'PL10'!$S$7)),1,0)+IF(ISNUMBER(SEARCH(MAP_TNHN!D48&amp;" (1 tiết)",'PL10'!$S$8)),1,0)+IF(ISNUMBER(SEARCH(MAP_TNHN!D48&amp;" (1 tiết)",'PL10'!$S$9)),1,0)+IF(ISNUMBER(SEARCH(MAP_TNHN!D48&amp;" (1 tiết)",'PL10'!$S$10)),1,0)+IF(ISNUMBER(SEARCH(MAP_TNHN!D48&amp;" (1 tiết)",'PL10'!$S$11)),1,0)+IF(ISNUMBER(SEARCH(MAP_TNHN!D48&amp;" (1 tiết)",'PL10'!$S$12)),1,0)+IF(ISNUMBER(SEARCH(MAP_TNHN!D48&amp;" (1 tiết)",'PL10'!$S$13)),1,0)+IF(ISNUMBER(SEARCH(MAP_TNHN!D48&amp;" (1 tiết)",'PL10'!$S$14)),1,0)+IF(ISNUMBER(SEARCH(MAP_TNHN!D48&amp;" (1 tiết)",'PL10'!$S$15)),1,0)+IF(ISNUMBER(SEARCH(MAP_TNHN!D48&amp;" (1 tiết)",'PL10'!$S$16)),1,0)+IF(ISNUMBER(SEARCH(MAP_TNHN!D48&amp;" (1 tiết)",'PL10'!$S$17)),1,0)+IF(ISNUMBER(SEARCH(MAP_TNHN!D48&amp;" (1 tiết)",'PL10'!$S$18)),1,0)+IF(ISNUMBER(SEARCH(MAP_TNHN!D48&amp;" (1 tiết)",'PL10'!$S$19)),1,0)+IF(ISNUMBER(SEARCH(MAP_TNHN!D48&amp;" (1 tiết)",'PL10'!$S$20)),1,0)+IF(ISNUMBER(SEARCH(MAP_TNHN!D48&amp;" (1 tiết)",'PL10'!$S$21)),1,0)+IF(ISNUMBER(SEARCH(MAP_TNHN!D48&amp;" (1 tiết)",'PL10'!$S$22)),1,0)+IF(ISNUMBER(SEARCH(MAP_TNHN!D48&amp;" (1 tiết)",'PL10'!$S$23)),1,0)+IF(ISNUMBER(SEARCH(MAP_TNHN!D48&amp;" (1 tiết)",'PL10'!$S$24)),1,0)+IF(ISNUMBER(SEARCH(MAP_TNHN!D48&amp;" (1 tiết)",'PL10'!$S$25)),1,0))-(IF(ISNUMBER(SEARCH(MAP_TNHN!D48&amp;" (2 tiết)",'PL10'!$S$5)),1,0)+IF(ISNUMBER(SEARCH(MAP_TNHN!D48&amp;" (2 tiết)",'PL10'!$S$6)),1,0)+IF(ISNUMBER(SEARCH(MAP_TNHN!D48&amp;" (2 tiết)",'PL10'!$S$7)),1,0)+IF(ISNUMBER(SEARCH(MAP_TNHN!D48&amp;" (2 tiết)",'PL10'!$S$8)),1,0)+IF(ISNUMBER(SEARCH(MAP_TNHN!D48&amp;" (2 tiết)",'PL10'!$S$9)),1,0)+IF(ISNUMBER(SEARCH(MAP_TNHN!D48&amp;" (2 tiết)",'PL10'!$S$10)),1,0)+IF(ISNUMBER(SEARCH(MAP_TNHN!D48&amp;" (2 tiết)",'PL10'!$S$11)),1,0)+IF(ISNUMBER(SEARCH(MAP_TNHN!D48&amp;" (2 tiết)",'PL10'!$S$12)),1,0)+IF(ISNUMBER(SEARCH(MAP_TNHN!D48&amp;" (2 tiết)",'PL10'!$S$13)),1,0)+IF(ISNUMBER(SEARCH(MAP_TNHN!D48&amp;" (2 tiết)",'PL10'!$S$14)),1,0)+IF(ISNUMBER(SEARCH(MAP_TNHN!D48&amp;" (2 tiết)",'PL10'!$S$15)),1,0)+IF(ISNUMBER(SEARCH(MAP_TNHN!D48&amp;" (2 tiết)",'PL10'!$S$16)),1,0)+IF(ISNUMBER(SEARCH(MAP_TNHN!D48&amp;" (2 tiết)",'PL10'!$S$17)),1,0)+IF(ISNUMBER(SEARCH(MAP_TNHN!D48&amp;" (2 tiết)",'PL10'!$S$18)),1,0)+IF(ISNUMBER(SEARCH(MAP_TNHN!D48&amp;" (2 tiết)",'PL10'!$S$19)),1,0)+IF(ISNUMBER(SEARCH(MAP_TNHN!D48&amp;" (2 tiết)",'PL10'!$S$20)),1,0)+IF(ISNUMBER(SEARCH(MAP_TNHN!D48&amp;" (2 tiết)",'PL10'!$S$21)),1,0)+IF(ISNUMBER(SEARCH(MAP_TNHN!D48&amp;" (2 tiết)",'PL10'!$S$22)),1,0)+IF(ISNUMBER(SEARCH(MAP_TNHN!D48&amp;" (2 tiết)",'PL10'!$S$23)),1,0)+IF(ISNUMBER(SEARCH(MAP_TNHN!D48&amp;" (2 tiết)",'PL10'!$S$24)),1,0)+IF(ISNUMBER(SEARCH(MAP_TNHN!D48&amp;" (2 tiết)",'PL10'!$S$25)),1,0))))</f>
        <v>0</v>
      </c>
    </row>
    <row r="48" spans="1:51" x14ac:dyDescent="0.35">
      <c r="A48" s="313"/>
      <c r="B48" s="11">
        <v>3</v>
      </c>
      <c r="C48" s="12" t="s">
        <v>117</v>
      </c>
      <c r="D48" s="21"/>
      <c r="E48" s="45">
        <v>3</v>
      </c>
      <c r="F48" s="45"/>
      <c r="G48" s="45">
        <v>1</v>
      </c>
      <c r="H48" s="45">
        <v>1</v>
      </c>
      <c r="I48" s="161"/>
      <c r="J48" s="45"/>
      <c r="K48" s="46"/>
      <c r="L48" s="46"/>
      <c r="M48" s="46"/>
      <c r="N48" s="164"/>
      <c r="O48" s="46"/>
      <c r="P48" s="47">
        <v>8</v>
      </c>
      <c r="Q48" s="47"/>
      <c r="R48" s="47">
        <v>3</v>
      </c>
      <c r="S48" s="165"/>
      <c r="T48" s="47"/>
      <c r="U48" s="11">
        <f>E48*'Phân tiết'!$M$8+G48*('Phân tiết'!$M$21/3)+H48*'Phân tiết'!$L$26+AW48+J48*'Phân tiết'!$M$20+K48*'Phân tiết'!$I$8+M48*('Phân tiết'!$I$21/3)+AX48+O48*'Phân tiết'!$I$20+P48*'Phân tiết'!$E$8+R48*('Phân tiết'!$E$21/3)+AY48+T48*'Phân tiết'!$E$20</f>
        <v>28</v>
      </c>
      <c r="V48" s="8">
        <f>F48*4+L48*4+Q48*4</f>
        <v>0</v>
      </c>
      <c r="W48" s="6"/>
      <c r="X48" s="6"/>
      <c r="Y48" s="11">
        <v>0</v>
      </c>
      <c r="Z48" s="43">
        <f t="shared" si="12"/>
        <v>28</v>
      </c>
      <c r="AA48" s="34">
        <f>Z48-17</f>
        <v>11</v>
      </c>
      <c r="AB48" s="8"/>
      <c r="AC48" s="8"/>
      <c r="AD48" s="6">
        <f t="shared" si="3"/>
        <v>0</v>
      </c>
      <c r="AE48" s="8">
        <v>2</v>
      </c>
      <c r="AF48" s="8">
        <v>18</v>
      </c>
      <c r="AG48" s="6">
        <f t="shared" si="5"/>
        <v>54</v>
      </c>
      <c r="AH48" s="8"/>
      <c r="AI48" s="8"/>
      <c r="AJ48" s="6">
        <f>AH48*AI48</f>
        <v>0</v>
      </c>
      <c r="AK48" s="6">
        <f t="shared" si="6"/>
        <v>417</v>
      </c>
      <c r="AL48" s="11"/>
      <c r="AM48" s="8"/>
      <c r="AN48" s="11" t="s">
        <v>46</v>
      </c>
      <c r="AO48" s="11" t="s">
        <v>46</v>
      </c>
      <c r="AP48" s="11" t="s">
        <v>46</v>
      </c>
      <c r="AQ48" s="11" t="s">
        <v>46</v>
      </c>
      <c r="AR48" s="11"/>
      <c r="AS48" s="11"/>
      <c r="AT48" s="11" t="s">
        <v>46</v>
      </c>
      <c r="AU48" s="11"/>
      <c r="AV48" s="8"/>
      <c r="AW48">
        <f>IF(I48="",0,IF(MAP_TNHN!B49="",I48*3,I48*3-2*(IF(ISNUMBER(SEARCH(MAP_TNHN!B49&amp;" (1 tiết)",'PL12'!$S$5)),1,0)+IF(ISNUMBER(SEARCH(MAP_TNHN!B49&amp;" (1 tiết)",'PL12'!$S$6)),1,0)+IF(ISNUMBER(SEARCH(MAP_TNHN!B49&amp;" (1 tiết)",'PL12'!$S$7)),1,0)+IF(ISNUMBER(SEARCH(MAP_TNHN!B49&amp;" (1 tiết)",'PL12'!$S$8)),1,0)+IF(ISNUMBER(SEARCH(MAP_TNHN!B49&amp;" (1 tiết)",'PL12'!$S$9)),1,0)+IF(ISNUMBER(SEARCH(MAP_TNHN!B49&amp;" (1 tiết)",'PL12'!$S$10)),1,0)+IF(ISNUMBER(SEARCH(MAP_TNHN!B49&amp;" (1 tiết)",'PL12'!$S$11)),1,0)+IF(ISNUMBER(SEARCH(MAP_TNHN!B49&amp;" (1 tiết)",'PL12'!$S$12)),1,0)+IF(ISNUMBER(SEARCH(MAP_TNHN!B49&amp;" (1 tiết)",'PL12'!$S$13)),1,0)+IF(ISNUMBER(SEARCH(MAP_TNHN!B49&amp;" (1 tiết)",'PL12'!$S$14)),1,0)+IF(ISNUMBER(SEARCH(MAP_TNHN!B49&amp;" (1 tiết)",'PL12'!$S$15)),1,0)+IF(ISNUMBER(SEARCH(MAP_TNHN!B49&amp;" (1 tiết)",'PL12'!$S$16)),1,0)+IF(ISNUMBER(SEARCH(MAP_TNHN!B49&amp;" (1 tiết)",'PL12'!$S$17)),1,0)+IF(ISNUMBER(SEARCH(MAP_TNHN!B49&amp;" (1 tiết)",'PL12'!$S$18)),1,0)+IF(ISNUMBER(SEARCH(MAP_TNHN!B49&amp;" (1 tiết)",'PL12'!$S$19)),1,0))-(IF(ISNUMBER(SEARCH(MAP_TNHN!B49&amp;" (2 tiết)",'PL12'!$S$5)),1,0)+IF(ISNUMBER(SEARCH(MAP_TNHN!B49&amp;" (2 tiết)",'PL12'!$S$6)),1,0)+IF(ISNUMBER(SEARCH(MAP_TNHN!B49&amp;" (2 tiết)",'PL12'!$S$7)),1,0)+IF(ISNUMBER(SEARCH(MAP_TNHN!B49&amp;" (2 tiết)",'PL12'!$S$8)),1,0)+IF(ISNUMBER(SEARCH(MAP_TNHN!B49&amp;" (2 tiết)",'PL12'!$S$9)),1,0)+IF(ISNUMBER(SEARCH(MAP_TNHN!B49&amp;" (2 tiết)",'PL12'!$S$10)),1,0)+IF(ISNUMBER(SEARCH(MAP_TNHN!B49&amp;" (2 tiết)",'PL12'!$S$11)),1,0)+IF(ISNUMBER(SEARCH(MAP_TNHN!B49&amp;" (2 tiết)",'PL12'!$S$12)),1,0)+IF(ISNUMBER(SEARCH(MAP_TNHN!B49&amp;" (2 tiết)",'PL12'!$S$13)),1,0)+IF(ISNUMBER(SEARCH(MAP_TNHN!B49&amp;" (2 tiết)",'PL12'!$S$14)),1,0)+IF(ISNUMBER(SEARCH(MAP_TNHN!B49&amp;" (2 tiết)",'PL12'!$S$15)),1,0)+IF(ISNUMBER(SEARCH(MAP_TNHN!B49&amp;" (2 tiết)",'PL12'!$S$16)),1,0)+IF(ISNUMBER(SEARCH(MAP_TNHN!B49&amp;" (2 tiết)",'PL12'!$S$17)),1,0)+IF(ISNUMBER(SEARCH(MAP_TNHN!B49&amp;" (2 tiết)",'PL12'!$S$18)),1,0)+IF(ISNUMBER(SEARCH(MAP_TNHN!B49&amp;" (2 tiết)",'PL12'!$S$19)),1,0))))</f>
        <v>0</v>
      </c>
      <c r="AX48">
        <f>IF(N48="",0,IF(MAP_TNHN!C49="",N48*3,N48*3-2*(IF(ISNUMBER(SEARCH(MAP_TNHN!C49&amp;" (1 tiết)",'PL11'!$S$5)),1,0)+IF(ISNUMBER(SEARCH(MAP_TNHN!C49&amp;" (1 tiết)",'PL11'!$S$6)),1,0)+IF(ISNUMBER(SEARCH(MAP_TNHN!C49&amp;" (1 tiết)",'PL11'!$S$7)),1,0)+IF(ISNUMBER(SEARCH(MAP_TNHN!C49&amp;" (1 tiết)",'PL11'!$S$8)),1,0)+IF(ISNUMBER(SEARCH(MAP_TNHN!C49&amp;" (1 tiết)",'PL11'!$S$9)),1,0)+IF(ISNUMBER(SEARCH(MAP_TNHN!C49&amp;" (1 tiết)",'PL11'!$S$10)),1,0)+IF(ISNUMBER(SEARCH(MAP_TNHN!C49&amp;" (1 tiết)",'PL11'!$S$11)),1,0)+IF(ISNUMBER(SEARCH(MAP_TNHN!C49&amp;" (1 tiết)",'PL11'!$S$12)),1,0)+IF(ISNUMBER(SEARCH(MAP_TNHN!C49&amp;" (1 tiết)",'PL11'!$S$13)),1,0)+IF(ISNUMBER(SEARCH(MAP_TNHN!C49&amp;" (1 tiết)",'PL11'!$S$14)),1,0)+IF(ISNUMBER(SEARCH(MAP_TNHN!C49&amp;" (1 tiết)",'PL11'!$S$15)),1,0)+IF(ISNUMBER(SEARCH(MAP_TNHN!C49&amp;" (1 tiết)",'PL11'!$S$16)),1,0)+IF(ISNUMBER(SEARCH(MAP_TNHN!C49&amp;" (1 tiết)",'PL11'!$S$17)),1,0)+IF(ISNUMBER(SEARCH(MAP_TNHN!C49&amp;" (1 tiết)",'PL11'!$S$18)),1,0))-(IF(ISNUMBER(SEARCH(MAP_TNHN!C49&amp;" (2 tiết)",'PL11'!$S$5)),1,0)+IF(ISNUMBER(SEARCH(MAP_TNHN!C49&amp;" (2 tiết)",'PL11'!$S$6)),1,0)+IF(ISNUMBER(SEARCH(MAP_TNHN!C49&amp;" (2 tiết)",'PL11'!$S$7)),1,0)+IF(ISNUMBER(SEARCH(MAP_TNHN!C49&amp;" (2 tiết)",'PL11'!$S$8)),1,0)+IF(ISNUMBER(SEARCH(MAP_TNHN!C49&amp;" (2 tiết)",'PL11'!$S$9)),1,0)+IF(ISNUMBER(SEARCH(MAP_TNHN!C49&amp;" (2 tiết)",'PL11'!$S$10)),1,0)+IF(ISNUMBER(SEARCH(MAP_TNHN!C49&amp;" (2 tiết)",'PL11'!$S$11)),1,0)+IF(ISNUMBER(SEARCH(MAP_TNHN!C49&amp;" (2 tiết)",'PL11'!$S$12)),1,0)+IF(ISNUMBER(SEARCH(MAP_TNHN!C49&amp;" (2 tiết)",'PL11'!$S$13)),1,0)+IF(ISNUMBER(SEARCH(MAP_TNHN!C49&amp;" (2 tiết)",'PL11'!$S$14)),1,0)+IF(ISNUMBER(SEARCH(MAP_TNHN!C49&amp;" (2 tiết)",'PL11'!$S$15)),1,0)+IF(ISNUMBER(SEARCH(MAP_TNHN!C49&amp;" (2 tiết)",'PL11'!$S$16)),1,0)+IF(ISNUMBER(SEARCH(MAP_TNHN!C49&amp;" (2 tiết)",'PL11'!$S$17)),1,0)+IF(ISNUMBER(SEARCH(MAP_TNHN!C49&amp;" (2 tiết)",'PL11'!$S$18)),1,0))))</f>
        <v>0</v>
      </c>
      <c r="AY48">
        <f>IF(S48="",0,IF(MAP_TNHN!D49="",S48*3,S48*3-2*(IF(ISNUMBER(SEARCH(MAP_TNHN!D49&amp;" (1 tiết)",'PL10'!$S$5)),1,0)+IF(ISNUMBER(SEARCH(MAP_TNHN!D49&amp;" (1 tiết)",'PL10'!$S$6)),1,0)+IF(ISNUMBER(SEARCH(MAP_TNHN!D49&amp;" (1 tiết)",'PL10'!$S$7)),1,0)+IF(ISNUMBER(SEARCH(MAP_TNHN!D49&amp;" (1 tiết)",'PL10'!$S$8)),1,0)+IF(ISNUMBER(SEARCH(MAP_TNHN!D49&amp;" (1 tiết)",'PL10'!$S$9)),1,0)+IF(ISNUMBER(SEARCH(MAP_TNHN!D49&amp;" (1 tiết)",'PL10'!$S$10)),1,0)+IF(ISNUMBER(SEARCH(MAP_TNHN!D49&amp;" (1 tiết)",'PL10'!$S$11)),1,0)+IF(ISNUMBER(SEARCH(MAP_TNHN!D49&amp;" (1 tiết)",'PL10'!$S$12)),1,0)+IF(ISNUMBER(SEARCH(MAP_TNHN!D49&amp;" (1 tiết)",'PL10'!$S$13)),1,0)+IF(ISNUMBER(SEARCH(MAP_TNHN!D49&amp;" (1 tiết)",'PL10'!$S$14)),1,0)+IF(ISNUMBER(SEARCH(MAP_TNHN!D49&amp;" (1 tiết)",'PL10'!$S$15)),1,0)+IF(ISNUMBER(SEARCH(MAP_TNHN!D49&amp;" (1 tiết)",'PL10'!$S$16)),1,0)+IF(ISNUMBER(SEARCH(MAP_TNHN!D49&amp;" (1 tiết)",'PL10'!$S$17)),1,0)+IF(ISNUMBER(SEARCH(MAP_TNHN!D49&amp;" (1 tiết)",'PL10'!$S$18)),1,0)+IF(ISNUMBER(SEARCH(MAP_TNHN!D49&amp;" (1 tiết)",'PL10'!$S$19)),1,0)+IF(ISNUMBER(SEARCH(MAP_TNHN!D49&amp;" (1 tiết)",'PL10'!$S$20)),1,0)+IF(ISNUMBER(SEARCH(MAP_TNHN!D49&amp;" (1 tiết)",'PL10'!$S$21)),1,0)+IF(ISNUMBER(SEARCH(MAP_TNHN!D49&amp;" (1 tiết)",'PL10'!$S$22)),1,0)+IF(ISNUMBER(SEARCH(MAP_TNHN!D49&amp;" (1 tiết)",'PL10'!$S$23)),1,0)+IF(ISNUMBER(SEARCH(MAP_TNHN!D49&amp;" (1 tiết)",'PL10'!$S$24)),1,0)+IF(ISNUMBER(SEARCH(MAP_TNHN!D49&amp;" (1 tiết)",'PL10'!$S$25)),1,0))-(IF(ISNUMBER(SEARCH(MAP_TNHN!D49&amp;" (2 tiết)",'PL10'!$S$5)),1,0)+IF(ISNUMBER(SEARCH(MAP_TNHN!D49&amp;" (2 tiết)",'PL10'!$S$6)),1,0)+IF(ISNUMBER(SEARCH(MAP_TNHN!D49&amp;" (2 tiết)",'PL10'!$S$7)),1,0)+IF(ISNUMBER(SEARCH(MAP_TNHN!D49&amp;" (2 tiết)",'PL10'!$S$8)),1,0)+IF(ISNUMBER(SEARCH(MAP_TNHN!D49&amp;" (2 tiết)",'PL10'!$S$9)),1,0)+IF(ISNUMBER(SEARCH(MAP_TNHN!D49&amp;" (2 tiết)",'PL10'!$S$10)),1,0)+IF(ISNUMBER(SEARCH(MAP_TNHN!D49&amp;" (2 tiết)",'PL10'!$S$11)),1,0)+IF(ISNUMBER(SEARCH(MAP_TNHN!D49&amp;" (2 tiết)",'PL10'!$S$12)),1,0)+IF(ISNUMBER(SEARCH(MAP_TNHN!D49&amp;" (2 tiết)",'PL10'!$S$13)),1,0)+IF(ISNUMBER(SEARCH(MAP_TNHN!D49&amp;" (2 tiết)",'PL10'!$S$14)),1,0)+IF(ISNUMBER(SEARCH(MAP_TNHN!D49&amp;" (2 tiết)",'PL10'!$S$15)),1,0)+IF(ISNUMBER(SEARCH(MAP_TNHN!D49&amp;" (2 tiết)",'PL10'!$S$16)),1,0)+IF(ISNUMBER(SEARCH(MAP_TNHN!D49&amp;" (2 tiết)",'PL10'!$S$17)),1,0)+IF(ISNUMBER(SEARCH(MAP_TNHN!D49&amp;" (2 tiết)",'PL10'!$S$18)),1,0)+IF(ISNUMBER(SEARCH(MAP_TNHN!D49&amp;" (2 tiết)",'PL10'!$S$19)),1,0)+IF(ISNUMBER(SEARCH(MAP_TNHN!D49&amp;" (2 tiết)",'PL10'!$S$20)),1,0)+IF(ISNUMBER(SEARCH(MAP_TNHN!D49&amp;" (2 tiết)",'PL10'!$S$21)),1,0)+IF(ISNUMBER(SEARCH(MAP_TNHN!D49&amp;" (2 tiết)",'PL10'!$S$22)),1,0)+IF(ISNUMBER(SEARCH(MAP_TNHN!D49&amp;" (2 tiết)",'PL10'!$S$23)),1,0)+IF(ISNUMBER(SEARCH(MAP_TNHN!D49&amp;" (2 tiết)",'PL10'!$S$24)),1,0)+IF(ISNUMBER(SEARCH(MAP_TNHN!D49&amp;" (2 tiết)",'PL10'!$S$25)),1,0))))</f>
        <v>0</v>
      </c>
    </row>
    <row r="49" spans="1:51" x14ac:dyDescent="0.35">
      <c r="A49" s="313"/>
      <c r="B49" s="11">
        <v>4</v>
      </c>
      <c r="C49" s="12" t="s">
        <v>118</v>
      </c>
      <c r="D49" s="21"/>
      <c r="E49" s="45">
        <v>4</v>
      </c>
      <c r="F49" s="45"/>
      <c r="G49" s="45">
        <v>2</v>
      </c>
      <c r="H49" s="45">
        <v>1</v>
      </c>
      <c r="I49" s="161"/>
      <c r="J49" s="45"/>
      <c r="K49" s="46">
        <v>6</v>
      </c>
      <c r="L49" s="46"/>
      <c r="M49" s="46">
        <v>4</v>
      </c>
      <c r="N49" s="164"/>
      <c r="O49" s="46"/>
      <c r="P49" s="47"/>
      <c r="Q49" s="47"/>
      <c r="R49" s="47"/>
      <c r="S49" s="165"/>
      <c r="T49" s="47"/>
      <c r="U49" s="11">
        <f>E49*'Phân tiết'!$M$8+G49*('Phân tiết'!$M$21/3)+H49*'Phân tiết'!$L$26+AW49+J49*'Phân tiết'!$M$20+K49*'Phân tiết'!$I$8+M49*('Phân tiết'!$I$21/3)+AX49+O49*'Phân tiết'!$I$20+P49*'Phân tiết'!$E$8+R49*('Phân tiết'!$E$21/3)+AY49+T49*'Phân tiết'!$E$20</f>
        <v>22</v>
      </c>
      <c r="V49" s="8">
        <f>F49*4+L49*4+Q49*4</f>
        <v>0</v>
      </c>
      <c r="W49" s="6"/>
      <c r="X49" s="6" t="s">
        <v>54</v>
      </c>
      <c r="Y49" s="11">
        <v>1</v>
      </c>
      <c r="Z49" s="43">
        <f t="shared" si="12"/>
        <v>23</v>
      </c>
      <c r="AA49" s="34">
        <f>Z49-17</f>
        <v>6</v>
      </c>
      <c r="AB49" s="8"/>
      <c r="AC49" s="8"/>
      <c r="AD49" s="6">
        <f t="shared" si="3"/>
        <v>0</v>
      </c>
      <c r="AE49" s="8"/>
      <c r="AF49" s="8"/>
      <c r="AG49" s="6">
        <f t="shared" si="5"/>
        <v>0</v>
      </c>
      <c r="AH49" s="8"/>
      <c r="AI49" s="8"/>
      <c r="AJ49" s="6">
        <f>AH49*AI49</f>
        <v>0</v>
      </c>
      <c r="AK49" s="6">
        <f t="shared" si="6"/>
        <v>198</v>
      </c>
      <c r="AL49" s="11"/>
      <c r="AM49" s="8"/>
      <c r="AN49" s="11" t="s">
        <v>46</v>
      </c>
      <c r="AO49" s="11" t="s">
        <v>46</v>
      </c>
      <c r="AP49" s="11" t="s">
        <v>46</v>
      </c>
      <c r="AQ49" s="11" t="s">
        <v>46</v>
      </c>
      <c r="AR49" s="11"/>
      <c r="AS49" s="11"/>
      <c r="AT49" s="11" t="s">
        <v>46</v>
      </c>
      <c r="AU49" s="11"/>
      <c r="AV49" s="8"/>
      <c r="AW49">
        <f>IF(I49="",0,IF(MAP_TNHN!B50="",I49*3,I49*3-2*(IF(ISNUMBER(SEARCH(MAP_TNHN!B50&amp;" (1 tiết)",'PL12'!$S$5)),1,0)+IF(ISNUMBER(SEARCH(MAP_TNHN!B50&amp;" (1 tiết)",'PL12'!$S$6)),1,0)+IF(ISNUMBER(SEARCH(MAP_TNHN!B50&amp;" (1 tiết)",'PL12'!$S$7)),1,0)+IF(ISNUMBER(SEARCH(MAP_TNHN!B50&amp;" (1 tiết)",'PL12'!$S$8)),1,0)+IF(ISNUMBER(SEARCH(MAP_TNHN!B50&amp;" (1 tiết)",'PL12'!$S$9)),1,0)+IF(ISNUMBER(SEARCH(MAP_TNHN!B50&amp;" (1 tiết)",'PL12'!$S$10)),1,0)+IF(ISNUMBER(SEARCH(MAP_TNHN!B50&amp;" (1 tiết)",'PL12'!$S$11)),1,0)+IF(ISNUMBER(SEARCH(MAP_TNHN!B50&amp;" (1 tiết)",'PL12'!$S$12)),1,0)+IF(ISNUMBER(SEARCH(MAP_TNHN!B50&amp;" (1 tiết)",'PL12'!$S$13)),1,0)+IF(ISNUMBER(SEARCH(MAP_TNHN!B50&amp;" (1 tiết)",'PL12'!$S$14)),1,0)+IF(ISNUMBER(SEARCH(MAP_TNHN!B50&amp;" (1 tiết)",'PL12'!$S$15)),1,0)+IF(ISNUMBER(SEARCH(MAP_TNHN!B50&amp;" (1 tiết)",'PL12'!$S$16)),1,0)+IF(ISNUMBER(SEARCH(MAP_TNHN!B50&amp;" (1 tiết)",'PL12'!$S$17)),1,0)+IF(ISNUMBER(SEARCH(MAP_TNHN!B50&amp;" (1 tiết)",'PL12'!$S$18)),1,0)+IF(ISNUMBER(SEARCH(MAP_TNHN!B50&amp;" (1 tiết)",'PL12'!$S$19)),1,0))-(IF(ISNUMBER(SEARCH(MAP_TNHN!B50&amp;" (2 tiết)",'PL12'!$S$5)),1,0)+IF(ISNUMBER(SEARCH(MAP_TNHN!B50&amp;" (2 tiết)",'PL12'!$S$6)),1,0)+IF(ISNUMBER(SEARCH(MAP_TNHN!B50&amp;" (2 tiết)",'PL12'!$S$7)),1,0)+IF(ISNUMBER(SEARCH(MAP_TNHN!B50&amp;" (2 tiết)",'PL12'!$S$8)),1,0)+IF(ISNUMBER(SEARCH(MAP_TNHN!B50&amp;" (2 tiết)",'PL12'!$S$9)),1,0)+IF(ISNUMBER(SEARCH(MAP_TNHN!B50&amp;" (2 tiết)",'PL12'!$S$10)),1,0)+IF(ISNUMBER(SEARCH(MAP_TNHN!B50&amp;" (2 tiết)",'PL12'!$S$11)),1,0)+IF(ISNUMBER(SEARCH(MAP_TNHN!B50&amp;" (2 tiết)",'PL12'!$S$12)),1,0)+IF(ISNUMBER(SEARCH(MAP_TNHN!B50&amp;" (2 tiết)",'PL12'!$S$13)),1,0)+IF(ISNUMBER(SEARCH(MAP_TNHN!B50&amp;" (2 tiết)",'PL12'!$S$14)),1,0)+IF(ISNUMBER(SEARCH(MAP_TNHN!B50&amp;" (2 tiết)",'PL12'!$S$15)),1,0)+IF(ISNUMBER(SEARCH(MAP_TNHN!B50&amp;" (2 tiết)",'PL12'!$S$16)),1,0)+IF(ISNUMBER(SEARCH(MAP_TNHN!B50&amp;" (2 tiết)",'PL12'!$S$17)),1,0)+IF(ISNUMBER(SEARCH(MAP_TNHN!B50&amp;" (2 tiết)",'PL12'!$S$18)),1,0)+IF(ISNUMBER(SEARCH(MAP_TNHN!B50&amp;" (2 tiết)",'PL12'!$S$19)),1,0))))</f>
        <v>0</v>
      </c>
      <c r="AX49">
        <f>IF(N49="",0,IF(MAP_TNHN!C50="",N49*3,N49*3-2*(IF(ISNUMBER(SEARCH(MAP_TNHN!C50&amp;" (1 tiết)",'PL11'!$S$5)),1,0)+IF(ISNUMBER(SEARCH(MAP_TNHN!C50&amp;" (1 tiết)",'PL11'!$S$6)),1,0)+IF(ISNUMBER(SEARCH(MAP_TNHN!C50&amp;" (1 tiết)",'PL11'!$S$7)),1,0)+IF(ISNUMBER(SEARCH(MAP_TNHN!C50&amp;" (1 tiết)",'PL11'!$S$8)),1,0)+IF(ISNUMBER(SEARCH(MAP_TNHN!C50&amp;" (1 tiết)",'PL11'!$S$9)),1,0)+IF(ISNUMBER(SEARCH(MAP_TNHN!C50&amp;" (1 tiết)",'PL11'!$S$10)),1,0)+IF(ISNUMBER(SEARCH(MAP_TNHN!C50&amp;" (1 tiết)",'PL11'!$S$11)),1,0)+IF(ISNUMBER(SEARCH(MAP_TNHN!C50&amp;" (1 tiết)",'PL11'!$S$12)),1,0)+IF(ISNUMBER(SEARCH(MAP_TNHN!C50&amp;" (1 tiết)",'PL11'!$S$13)),1,0)+IF(ISNUMBER(SEARCH(MAP_TNHN!C50&amp;" (1 tiết)",'PL11'!$S$14)),1,0)+IF(ISNUMBER(SEARCH(MAP_TNHN!C50&amp;" (1 tiết)",'PL11'!$S$15)),1,0)+IF(ISNUMBER(SEARCH(MAP_TNHN!C50&amp;" (1 tiết)",'PL11'!$S$16)),1,0)+IF(ISNUMBER(SEARCH(MAP_TNHN!C50&amp;" (1 tiết)",'PL11'!$S$17)),1,0)+IF(ISNUMBER(SEARCH(MAP_TNHN!C50&amp;" (1 tiết)",'PL11'!$S$18)),1,0))-(IF(ISNUMBER(SEARCH(MAP_TNHN!C50&amp;" (2 tiết)",'PL11'!$S$5)),1,0)+IF(ISNUMBER(SEARCH(MAP_TNHN!C50&amp;" (2 tiết)",'PL11'!$S$6)),1,0)+IF(ISNUMBER(SEARCH(MAP_TNHN!C50&amp;" (2 tiết)",'PL11'!$S$7)),1,0)+IF(ISNUMBER(SEARCH(MAP_TNHN!C50&amp;" (2 tiết)",'PL11'!$S$8)),1,0)+IF(ISNUMBER(SEARCH(MAP_TNHN!C50&amp;" (2 tiết)",'PL11'!$S$9)),1,0)+IF(ISNUMBER(SEARCH(MAP_TNHN!C50&amp;" (2 tiết)",'PL11'!$S$10)),1,0)+IF(ISNUMBER(SEARCH(MAP_TNHN!C50&amp;" (2 tiết)",'PL11'!$S$11)),1,0)+IF(ISNUMBER(SEARCH(MAP_TNHN!C50&amp;" (2 tiết)",'PL11'!$S$12)),1,0)+IF(ISNUMBER(SEARCH(MAP_TNHN!C50&amp;" (2 tiết)",'PL11'!$S$13)),1,0)+IF(ISNUMBER(SEARCH(MAP_TNHN!C50&amp;" (2 tiết)",'PL11'!$S$14)),1,0)+IF(ISNUMBER(SEARCH(MAP_TNHN!C50&amp;" (2 tiết)",'PL11'!$S$15)),1,0)+IF(ISNUMBER(SEARCH(MAP_TNHN!C50&amp;" (2 tiết)",'PL11'!$S$16)),1,0)+IF(ISNUMBER(SEARCH(MAP_TNHN!C50&amp;" (2 tiết)",'PL11'!$S$17)),1,0)+IF(ISNUMBER(SEARCH(MAP_TNHN!C50&amp;" (2 tiết)",'PL11'!$S$18)),1,0))))</f>
        <v>0</v>
      </c>
      <c r="AY49">
        <f>IF(S49="",0,IF(MAP_TNHN!D50="",S49*3,S49*3-2*(IF(ISNUMBER(SEARCH(MAP_TNHN!D50&amp;" (1 tiết)",'PL10'!$S$5)),1,0)+IF(ISNUMBER(SEARCH(MAP_TNHN!D50&amp;" (1 tiết)",'PL10'!$S$6)),1,0)+IF(ISNUMBER(SEARCH(MAP_TNHN!D50&amp;" (1 tiết)",'PL10'!$S$7)),1,0)+IF(ISNUMBER(SEARCH(MAP_TNHN!D50&amp;" (1 tiết)",'PL10'!$S$8)),1,0)+IF(ISNUMBER(SEARCH(MAP_TNHN!D50&amp;" (1 tiết)",'PL10'!$S$9)),1,0)+IF(ISNUMBER(SEARCH(MAP_TNHN!D50&amp;" (1 tiết)",'PL10'!$S$10)),1,0)+IF(ISNUMBER(SEARCH(MAP_TNHN!D50&amp;" (1 tiết)",'PL10'!$S$11)),1,0)+IF(ISNUMBER(SEARCH(MAP_TNHN!D50&amp;" (1 tiết)",'PL10'!$S$12)),1,0)+IF(ISNUMBER(SEARCH(MAP_TNHN!D50&amp;" (1 tiết)",'PL10'!$S$13)),1,0)+IF(ISNUMBER(SEARCH(MAP_TNHN!D50&amp;" (1 tiết)",'PL10'!$S$14)),1,0)+IF(ISNUMBER(SEARCH(MAP_TNHN!D50&amp;" (1 tiết)",'PL10'!$S$15)),1,0)+IF(ISNUMBER(SEARCH(MAP_TNHN!D50&amp;" (1 tiết)",'PL10'!$S$16)),1,0)+IF(ISNUMBER(SEARCH(MAP_TNHN!D50&amp;" (1 tiết)",'PL10'!$S$17)),1,0)+IF(ISNUMBER(SEARCH(MAP_TNHN!D50&amp;" (1 tiết)",'PL10'!$S$18)),1,0)+IF(ISNUMBER(SEARCH(MAP_TNHN!D50&amp;" (1 tiết)",'PL10'!$S$19)),1,0)+IF(ISNUMBER(SEARCH(MAP_TNHN!D50&amp;" (1 tiết)",'PL10'!$S$20)),1,0)+IF(ISNUMBER(SEARCH(MAP_TNHN!D50&amp;" (1 tiết)",'PL10'!$S$21)),1,0)+IF(ISNUMBER(SEARCH(MAP_TNHN!D50&amp;" (1 tiết)",'PL10'!$S$22)),1,0)+IF(ISNUMBER(SEARCH(MAP_TNHN!D50&amp;" (1 tiết)",'PL10'!$S$23)),1,0)+IF(ISNUMBER(SEARCH(MAP_TNHN!D50&amp;" (1 tiết)",'PL10'!$S$24)),1,0)+IF(ISNUMBER(SEARCH(MAP_TNHN!D50&amp;" (1 tiết)",'PL10'!$S$25)),1,0))-(IF(ISNUMBER(SEARCH(MAP_TNHN!D50&amp;" (2 tiết)",'PL10'!$S$5)),1,0)+IF(ISNUMBER(SEARCH(MAP_TNHN!D50&amp;" (2 tiết)",'PL10'!$S$6)),1,0)+IF(ISNUMBER(SEARCH(MAP_TNHN!D50&amp;" (2 tiết)",'PL10'!$S$7)),1,0)+IF(ISNUMBER(SEARCH(MAP_TNHN!D50&amp;" (2 tiết)",'PL10'!$S$8)),1,0)+IF(ISNUMBER(SEARCH(MAP_TNHN!D50&amp;" (2 tiết)",'PL10'!$S$9)),1,0)+IF(ISNUMBER(SEARCH(MAP_TNHN!D50&amp;" (2 tiết)",'PL10'!$S$10)),1,0)+IF(ISNUMBER(SEARCH(MAP_TNHN!D50&amp;" (2 tiết)",'PL10'!$S$11)),1,0)+IF(ISNUMBER(SEARCH(MAP_TNHN!D50&amp;" (2 tiết)",'PL10'!$S$12)),1,0)+IF(ISNUMBER(SEARCH(MAP_TNHN!D50&amp;" (2 tiết)",'PL10'!$S$13)),1,0)+IF(ISNUMBER(SEARCH(MAP_TNHN!D50&amp;" (2 tiết)",'PL10'!$S$14)),1,0)+IF(ISNUMBER(SEARCH(MAP_TNHN!D50&amp;" (2 tiết)",'PL10'!$S$15)),1,0)+IF(ISNUMBER(SEARCH(MAP_TNHN!D50&amp;" (2 tiết)",'PL10'!$S$16)),1,0)+IF(ISNUMBER(SEARCH(MAP_TNHN!D50&amp;" (2 tiết)",'PL10'!$S$17)),1,0)+IF(ISNUMBER(SEARCH(MAP_TNHN!D50&amp;" (2 tiết)",'PL10'!$S$18)),1,0)+IF(ISNUMBER(SEARCH(MAP_TNHN!D50&amp;" (2 tiết)",'PL10'!$S$19)),1,0)+IF(ISNUMBER(SEARCH(MAP_TNHN!D50&amp;" (2 tiết)",'PL10'!$S$20)),1,0)+IF(ISNUMBER(SEARCH(MAP_TNHN!D50&amp;" (2 tiết)",'PL10'!$S$21)),1,0)+IF(ISNUMBER(SEARCH(MAP_TNHN!D50&amp;" (2 tiết)",'PL10'!$S$22)),1,0)+IF(ISNUMBER(SEARCH(MAP_TNHN!D50&amp;" (2 tiết)",'PL10'!$S$23)),1,0)+IF(ISNUMBER(SEARCH(MAP_TNHN!D50&amp;" (2 tiết)",'PL10'!$S$24)),1,0)+IF(ISNUMBER(SEARCH(MAP_TNHN!D50&amp;" (2 tiết)",'PL10'!$S$25)),1,0))))</f>
        <v>0</v>
      </c>
    </row>
    <row r="50" spans="1:51" x14ac:dyDescent="0.35">
      <c r="A50" s="313"/>
      <c r="B50" s="11">
        <v>5</v>
      </c>
      <c r="C50" s="12" t="s">
        <v>119</v>
      </c>
      <c r="D50" s="21">
        <v>11</v>
      </c>
      <c r="E50" s="45"/>
      <c r="F50" s="45"/>
      <c r="G50" s="45"/>
      <c r="H50" s="45"/>
      <c r="I50" s="161"/>
      <c r="J50" s="45"/>
      <c r="K50" s="46">
        <v>1</v>
      </c>
      <c r="L50" s="46">
        <v>1</v>
      </c>
      <c r="M50" s="46">
        <v>1</v>
      </c>
      <c r="N50" s="168">
        <v>1</v>
      </c>
      <c r="O50" s="46"/>
      <c r="P50" s="47">
        <v>7</v>
      </c>
      <c r="Q50" s="47"/>
      <c r="R50" s="47">
        <v>1</v>
      </c>
      <c r="S50" s="165"/>
      <c r="T50" s="47"/>
      <c r="U50" s="11">
        <f>E50*'Phân tiết'!$M$8+G50*('Phân tiết'!$M$21/3)+H50*'Phân tiết'!$L$26+AW50+J50*'Phân tiết'!$M$20+K50*'Phân tiết'!$I$8+M50*('Phân tiết'!$I$21/3)+AX50+O50*'Phân tiết'!$I$20+P50*'Phân tiết'!$E$8+R50*('Phân tiết'!$E$21/3)+AY50+T50*'Phân tiết'!$E$20</f>
        <v>18</v>
      </c>
      <c r="V50" s="8">
        <f>F50*4+L50*4+Q50*4</f>
        <v>4</v>
      </c>
      <c r="W50" s="6"/>
      <c r="X50" s="6" t="s">
        <v>120</v>
      </c>
      <c r="Y50" s="11">
        <v>0</v>
      </c>
      <c r="Z50" s="43">
        <f t="shared" si="12"/>
        <v>22</v>
      </c>
      <c r="AA50" s="34">
        <f>Z50-17</f>
        <v>5</v>
      </c>
      <c r="AB50" s="8">
        <v>2</v>
      </c>
      <c r="AC50" s="8">
        <v>15</v>
      </c>
      <c r="AD50" s="6">
        <f t="shared" si="3"/>
        <v>45</v>
      </c>
      <c r="AE50" s="8"/>
      <c r="AF50" s="8"/>
      <c r="AG50" s="6">
        <f t="shared" si="5"/>
        <v>0</v>
      </c>
      <c r="AH50" s="8"/>
      <c r="AI50" s="8"/>
      <c r="AJ50" s="6">
        <f>AH50*AI50</f>
        <v>0</v>
      </c>
      <c r="AK50" s="6">
        <f t="shared" si="6"/>
        <v>210</v>
      </c>
      <c r="AL50" s="11" t="s">
        <v>121</v>
      </c>
      <c r="AM50" s="11"/>
      <c r="AN50" s="11" t="s">
        <v>46</v>
      </c>
      <c r="AO50" s="11"/>
      <c r="AP50" s="11"/>
      <c r="AQ50" s="12"/>
      <c r="AR50" s="11"/>
      <c r="AS50" s="11"/>
      <c r="AT50" s="11" t="s">
        <v>46</v>
      </c>
      <c r="AU50" s="11"/>
      <c r="AV50" s="8"/>
      <c r="AW50">
        <f>IF(I50="",0,IF(MAP_TNHN!B51="",I50*3,I50*3-2*(IF(ISNUMBER(SEARCH(MAP_TNHN!B51&amp;" (1 tiết)",'PL12'!$S$5)),1,0)+IF(ISNUMBER(SEARCH(MAP_TNHN!B51&amp;" (1 tiết)",'PL12'!$S$6)),1,0)+IF(ISNUMBER(SEARCH(MAP_TNHN!B51&amp;" (1 tiết)",'PL12'!$S$7)),1,0)+IF(ISNUMBER(SEARCH(MAP_TNHN!B51&amp;" (1 tiết)",'PL12'!$S$8)),1,0)+IF(ISNUMBER(SEARCH(MAP_TNHN!B51&amp;" (1 tiết)",'PL12'!$S$9)),1,0)+IF(ISNUMBER(SEARCH(MAP_TNHN!B51&amp;" (1 tiết)",'PL12'!$S$10)),1,0)+IF(ISNUMBER(SEARCH(MAP_TNHN!B51&amp;" (1 tiết)",'PL12'!$S$11)),1,0)+IF(ISNUMBER(SEARCH(MAP_TNHN!B51&amp;" (1 tiết)",'PL12'!$S$12)),1,0)+IF(ISNUMBER(SEARCH(MAP_TNHN!B51&amp;" (1 tiết)",'PL12'!$S$13)),1,0)+IF(ISNUMBER(SEARCH(MAP_TNHN!B51&amp;" (1 tiết)",'PL12'!$S$14)),1,0)+IF(ISNUMBER(SEARCH(MAP_TNHN!B51&amp;" (1 tiết)",'PL12'!$S$15)),1,0)+IF(ISNUMBER(SEARCH(MAP_TNHN!B51&amp;" (1 tiết)",'PL12'!$S$16)),1,0)+IF(ISNUMBER(SEARCH(MAP_TNHN!B51&amp;" (1 tiết)",'PL12'!$S$17)),1,0)+IF(ISNUMBER(SEARCH(MAP_TNHN!B51&amp;" (1 tiết)",'PL12'!$S$18)),1,0)+IF(ISNUMBER(SEARCH(MAP_TNHN!B51&amp;" (1 tiết)",'PL12'!$S$19)),1,0))-(IF(ISNUMBER(SEARCH(MAP_TNHN!B51&amp;" (2 tiết)",'PL12'!$S$5)),1,0)+IF(ISNUMBER(SEARCH(MAP_TNHN!B51&amp;" (2 tiết)",'PL12'!$S$6)),1,0)+IF(ISNUMBER(SEARCH(MAP_TNHN!B51&amp;" (2 tiết)",'PL12'!$S$7)),1,0)+IF(ISNUMBER(SEARCH(MAP_TNHN!B51&amp;" (2 tiết)",'PL12'!$S$8)),1,0)+IF(ISNUMBER(SEARCH(MAP_TNHN!B51&amp;" (2 tiết)",'PL12'!$S$9)),1,0)+IF(ISNUMBER(SEARCH(MAP_TNHN!B51&amp;" (2 tiết)",'PL12'!$S$10)),1,0)+IF(ISNUMBER(SEARCH(MAP_TNHN!B51&amp;" (2 tiết)",'PL12'!$S$11)),1,0)+IF(ISNUMBER(SEARCH(MAP_TNHN!B51&amp;" (2 tiết)",'PL12'!$S$12)),1,0)+IF(ISNUMBER(SEARCH(MAP_TNHN!B51&amp;" (2 tiết)",'PL12'!$S$13)),1,0)+IF(ISNUMBER(SEARCH(MAP_TNHN!B51&amp;" (2 tiết)",'PL12'!$S$14)),1,0)+IF(ISNUMBER(SEARCH(MAP_TNHN!B51&amp;" (2 tiết)",'PL12'!$S$15)),1,0)+IF(ISNUMBER(SEARCH(MAP_TNHN!B51&amp;" (2 tiết)",'PL12'!$S$16)),1,0)+IF(ISNUMBER(SEARCH(MAP_TNHN!B51&amp;" (2 tiết)",'PL12'!$S$17)),1,0)+IF(ISNUMBER(SEARCH(MAP_TNHN!B51&amp;" (2 tiết)",'PL12'!$S$18)),1,0)+IF(ISNUMBER(SEARCH(MAP_TNHN!B51&amp;" (2 tiết)",'PL12'!$S$19)),1,0))))</f>
        <v>0</v>
      </c>
      <c r="AX50">
        <f>IF(N50="",0,IF(MAP_TNHN!C51="",N50*3,N50*3-2*(IF(ISNUMBER(SEARCH(MAP_TNHN!C51&amp;" (1 tiết)",'PL11'!$S$5)),1,0)+IF(ISNUMBER(SEARCH(MAP_TNHN!C51&amp;" (1 tiết)",'PL11'!$S$6)),1,0)+IF(ISNUMBER(SEARCH(MAP_TNHN!C51&amp;" (1 tiết)",'PL11'!$S$7)),1,0)+IF(ISNUMBER(SEARCH(MAP_TNHN!C51&amp;" (1 tiết)",'PL11'!$S$8)),1,0)+IF(ISNUMBER(SEARCH(MAP_TNHN!C51&amp;" (1 tiết)",'PL11'!$S$9)),1,0)+IF(ISNUMBER(SEARCH(MAP_TNHN!C51&amp;" (1 tiết)",'PL11'!$S$10)),1,0)+IF(ISNUMBER(SEARCH(MAP_TNHN!C51&amp;" (1 tiết)",'PL11'!$S$11)),1,0)+IF(ISNUMBER(SEARCH(MAP_TNHN!C51&amp;" (1 tiết)",'PL11'!$S$12)),1,0)+IF(ISNUMBER(SEARCH(MAP_TNHN!C51&amp;" (1 tiết)",'PL11'!$S$13)),1,0)+IF(ISNUMBER(SEARCH(MAP_TNHN!C51&amp;" (1 tiết)",'PL11'!$S$14)),1,0)+IF(ISNUMBER(SEARCH(MAP_TNHN!C51&amp;" (1 tiết)",'PL11'!$S$15)),1,0)+IF(ISNUMBER(SEARCH(MAP_TNHN!C51&amp;" (1 tiết)",'PL11'!$S$16)),1,0)+IF(ISNUMBER(SEARCH(MAP_TNHN!C51&amp;" (1 tiết)",'PL11'!$S$17)),1,0)+IF(ISNUMBER(SEARCH(MAP_TNHN!C51&amp;" (1 tiết)",'PL11'!$S$18)),1,0))-(IF(ISNUMBER(SEARCH(MAP_TNHN!C51&amp;" (2 tiết)",'PL11'!$S$5)),1,0)+IF(ISNUMBER(SEARCH(MAP_TNHN!C51&amp;" (2 tiết)",'PL11'!$S$6)),1,0)+IF(ISNUMBER(SEARCH(MAP_TNHN!C51&amp;" (2 tiết)",'PL11'!$S$7)),1,0)+IF(ISNUMBER(SEARCH(MAP_TNHN!C51&amp;" (2 tiết)",'PL11'!$S$8)),1,0)+IF(ISNUMBER(SEARCH(MAP_TNHN!C51&amp;" (2 tiết)",'PL11'!$S$9)),1,0)+IF(ISNUMBER(SEARCH(MAP_TNHN!C51&amp;" (2 tiết)",'PL11'!$S$10)),1,0)+IF(ISNUMBER(SEARCH(MAP_TNHN!C51&amp;" (2 tiết)",'PL11'!$S$11)),1,0)+IF(ISNUMBER(SEARCH(MAP_TNHN!C51&amp;" (2 tiết)",'PL11'!$S$12)),1,0)+IF(ISNUMBER(SEARCH(MAP_TNHN!C51&amp;" (2 tiết)",'PL11'!$S$13)),1,0)+IF(ISNUMBER(SEARCH(MAP_TNHN!C51&amp;" (2 tiết)",'PL11'!$S$14)),1,0)+IF(ISNUMBER(SEARCH(MAP_TNHN!C51&amp;" (2 tiết)",'PL11'!$S$15)),1,0)+IF(ISNUMBER(SEARCH(MAP_TNHN!C51&amp;" (2 tiết)",'PL11'!$S$16)),1,0)+IF(ISNUMBER(SEARCH(MAP_TNHN!C51&amp;" (2 tiết)",'PL11'!$S$17)),1,0)+IF(ISNUMBER(SEARCH(MAP_TNHN!C51&amp;" (2 tiết)",'PL11'!$S$18)),1,0))))</f>
        <v>1</v>
      </c>
      <c r="AY50">
        <f>IF(S50="",0,IF(MAP_TNHN!D51="",S50*3,S50*3-2*(IF(ISNUMBER(SEARCH(MAP_TNHN!D51&amp;" (1 tiết)",'PL10'!$S$5)),1,0)+IF(ISNUMBER(SEARCH(MAP_TNHN!D51&amp;" (1 tiết)",'PL10'!$S$6)),1,0)+IF(ISNUMBER(SEARCH(MAP_TNHN!D51&amp;" (1 tiết)",'PL10'!$S$7)),1,0)+IF(ISNUMBER(SEARCH(MAP_TNHN!D51&amp;" (1 tiết)",'PL10'!$S$8)),1,0)+IF(ISNUMBER(SEARCH(MAP_TNHN!D51&amp;" (1 tiết)",'PL10'!$S$9)),1,0)+IF(ISNUMBER(SEARCH(MAP_TNHN!D51&amp;" (1 tiết)",'PL10'!$S$10)),1,0)+IF(ISNUMBER(SEARCH(MAP_TNHN!D51&amp;" (1 tiết)",'PL10'!$S$11)),1,0)+IF(ISNUMBER(SEARCH(MAP_TNHN!D51&amp;" (1 tiết)",'PL10'!$S$12)),1,0)+IF(ISNUMBER(SEARCH(MAP_TNHN!D51&amp;" (1 tiết)",'PL10'!$S$13)),1,0)+IF(ISNUMBER(SEARCH(MAP_TNHN!D51&amp;" (1 tiết)",'PL10'!$S$14)),1,0)+IF(ISNUMBER(SEARCH(MAP_TNHN!D51&amp;" (1 tiết)",'PL10'!$S$15)),1,0)+IF(ISNUMBER(SEARCH(MAP_TNHN!D51&amp;" (1 tiết)",'PL10'!$S$16)),1,0)+IF(ISNUMBER(SEARCH(MAP_TNHN!D51&amp;" (1 tiết)",'PL10'!$S$17)),1,0)+IF(ISNUMBER(SEARCH(MAP_TNHN!D51&amp;" (1 tiết)",'PL10'!$S$18)),1,0)+IF(ISNUMBER(SEARCH(MAP_TNHN!D51&amp;" (1 tiết)",'PL10'!$S$19)),1,0)+IF(ISNUMBER(SEARCH(MAP_TNHN!D51&amp;" (1 tiết)",'PL10'!$S$20)),1,0)+IF(ISNUMBER(SEARCH(MAP_TNHN!D51&amp;" (1 tiết)",'PL10'!$S$21)),1,0)+IF(ISNUMBER(SEARCH(MAP_TNHN!D51&amp;" (1 tiết)",'PL10'!$S$22)),1,0)+IF(ISNUMBER(SEARCH(MAP_TNHN!D51&amp;" (1 tiết)",'PL10'!$S$23)),1,0)+IF(ISNUMBER(SEARCH(MAP_TNHN!D51&amp;" (1 tiết)",'PL10'!$S$24)),1,0)+IF(ISNUMBER(SEARCH(MAP_TNHN!D51&amp;" (1 tiết)",'PL10'!$S$25)),1,0))-(IF(ISNUMBER(SEARCH(MAP_TNHN!D51&amp;" (2 tiết)",'PL10'!$S$5)),1,0)+IF(ISNUMBER(SEARCH(MAP_TNHN!D51&amp;" (2 tiết)",'PL10'!$S$6)),1,0)+IF(ISNUMBER(SEARCH(MAP_TNHN!D51&amp;" (2 tiết)",'PL10'!$S$7)),1,0)+IF(ISNUMBER(SEARCH(MAP_TNHN!D51&amp;" (2 tiết)",'PL10'!$S$8)),1,0)+IF(ISNUMBER(SEARCH(MAP_TNHN!D51&amp;" (2 tiết)",'PL10'!$S$9)),1,0)+IF(ISNUMBER(SEARCH(MAP_TNHN!D51&amp;" (2 tiết)",'PL10'!$S$10)),1,0)+IF(ISNUMBER(SEARCH(MAP_TNHN!D51&amp;" (2 tiết)",'PL10'!$S$11)),1,0)+IF(ISNUMBER(SEARCH(MAP_TNHN!D51&amp;" (2 tiết)",'PL10'!$S$12)),1,0)+IF(ISNUMBER(SEARCH(MAP_TNHN!D51&amp;" (2 tiết)",'PL10'!$S$13)),1,0)+IF(ISNUMBER(SEARCH(MAP_TNHN!D51&amp;" (2 tiết)",'PL10'!$S$14)),1,0)+IF(ISNUMBER(SEARCH(MAP_TNHN!D51&amp;" (2 tiết)",'PL10'!$S$15)),1,0)+IF(ISNUMBER(SEARCH(MAP_TNHN!D51&amp;" (2 tiết)",'PL10'!$S$16)),1,0)+IF(ISNUMBER(SEARCH(MAP_TNHN!D51&amp;" (2 tiết)",'PL10'!$S$17)),1,0)+IF(ISNUMBER(SEARCH(MAP_TNHN!D51&amp;" (2 tiết)",'PL10'!$S$18)),1,0)+IF(ISNUMBER(SEARCH(MAP_TNHN!D51&amp;" (2 tiết)",'PL10'!$S$19)),1,0)+IF(ISNUMBER(SEARCH(MAP_TNHN!D51&amp;" (2 tiết)",'PL10'!$S$20)),1,0)+IF(ISNUMBER(SEARCH(MAP_TNHN!D51&amp;" (2 tiết)",'PL10'!$S$21)),1,0)+IF(ISNUMBER(SEARCH(MAP_TNHN!D51&amp;" (2 tiết)",'PL10'!$S$22)),1,0)+IF(ISNUMBER(SEARCH(MAP_TNHN!D51&amp;" (2 tiết)",'PL10'!$S$23)),1,0)+IF(ISNUMBER(SEARCH(MAP_TNHN!D51&amp;" (2 tiết)",'PL10'!$S$24)),1,0)+IF(ISNUMBER(SEARCH(MAP_TNHN!D51&amp;" (2 tiết)",'PL10'!$S$25)),1,0))))</f>
        <v>0</v>
      </c>
    </row>
    <row r="51" spans="1:51" s="89" customFormat="1" x14ac:dyDescent="0.35">
      <c r="A51" s="88"/>
      <c r="B51" s="87"/>
      <c r="C51" s="86" t="s">
        <v>65</v>
      </c>
      <c r="D51" s="87"/>
      <c r="E51" s="87">
        <f>SUM(E46:E50)</f>
        <v>15</v>
      </c>
      <c r="F51" s="87"/>
      <c r="G51" s="87">
        <f>SUM(G46:G50)</f>
        <v>6</v>
      </c>
      <c r="H51" s="87"/>
      <c r="I51" s="162"/>
      <c r="J51" s="87"/>
      <c r="K51" s="87">
        <f>SUM(K46:K50)</f>
        <v>14</v>
      </c>
      <c r="L51" s="87"/>
      <c r="M51" s="87">
        <f>SUM(M46:M50)</f>
        <v>7</v>
      </c>
      <c r="N51" s="162"/>
      <c r="O51" s="87"/>
      <c r="P51" s="87">
        <f>SUM(P46:P50)</f>
        <v>21</v>
      </c>
      <c r="Q51" s="87"/>
      <c r="R51" s="87">
        <f>SUM(R46:R50)</f>
        <v>6</v>
      </c>
      <c r="S51" s="162"/>
      <c r="T51" s="87"/>
      <c r="U51" s="87"/>
      <c r="V51" s="85"/>
      <c r="W51" s="85"/>
      <c r="X51" s="85"/>
      <c r="Y51" s="87"/>
      <c r="Z51" s="88"/>
      <c r="AA51" s="88"/>
      <c r="AB51" s="85"/>
      <c r="AC51" s="85"/>
      <c r="AD51" s="85">
        <f t="shared" si="3"/>
        <v>0</v>
      </c>
      <c r="AE51" s="85"/>
      <c r="AF51" s="85"/>
      <c r="AG51" s="85">
        <f t="shared" si="5"/>
        <v>0</v>
      </c>
      <c r="AH51" s="85"/>
      <c r="AI51" s="85"/>
      <c r="AJ51" s="85"/>
      <c r="AK51" s="85">
        <f t="shared" si="6"/>
        <v>0</v>
      </c>
      <c r="AL51" s="87"/>
      <c r="AM51" s="87"/>
      <c r="AN51" s="87"/>
      <c r="AO51" s="87"/>
      <c r="AP51" s="87"/>
      <c r="AQ51" s="93"/>
      <c r="AR51" s="87"/>
      <c r="AS51" s="87"/>
      <c r="AT51" s="87"/>
      <c r="AU51" s="87"/>
      <c r="AV51" s="85"/>
      <c r="AW51"/>
      <c r="AX51"/>
      <c r="AY51"/>
    </row>
    <row r="52" spans="1:51" ht="75" x14ac:dyDescent="0.35">
      <c r="A52" s="309" t="s">
        <v>122</v>
      </c>
      <c r="B52" s="11">
        <v>1</v>
      </c>
      <c r="C52" s="12" t="s">
        <v>123</v>
      </c>
      <c r="D52" s="21"/>
      <c r="E52" s="45"/>
      <c r="F52" s="45"/>
      <c r="G52" s="45"/>
      <c r="H52" s="45"/>
      <c r="I52" s="161"/>
      <c r="J52" s="45"/>
      <c r="K52" s="46"/>
      <c r="L52" s="46"/>
      <c r="M52" s="46"/>
      <c r="N52" s="164"/>
      <c r="O52" s="46"/>
      <c r="P52" s="47">
        <v>1</v>
      </c>
      <c r="Q52" s="47"/>
      <c r="R52" s="47">
        <v>1</v>
      </c>
      <c r="S52" s="165"/>
      <c r="T52" s="47"/>
      <c r="U52" s="11">
        <f>E52*'Phân tiết'!$M$5+G52*('Phân tiết'!$M$21/3)+H52*'Phân tiết'!$L$26+AW52+J52*'Phân tiết'!$M$20+K52*'Phân tiết'!$I$5+M52*('Phân tiết'!$I$21/3)+AX52+O52*'Phân tiết'!$I$20+P52*'Phân tiết'!$E$5+R52*('Phân tiết'!$E$21/3)+AY52+T52*'Phân tiết'!$E$20</f>
        <v>4</v>
      </c>
      <c r="V52" s="8">
        <f t="shared" ref="V52:V65" si="15">F52*4+L52*4+Q52*4</f>
        <v>0</v>
      </c>
      <c r="W52" s="6" t="s">
        <v>124</v>
      </c>
      <c r="X52" s="6" t="s">
        <v>125</v>
      </c>
      <c r="Y52" s="11">
        <v>0</v>
      </c>
      <c r="Z52" s="43">
        <f t="shared" ref="Z52:Z65" si="16">SUM(U52:Y52)</f>
        <v>4</v>
      </c>
      <c r="AA52" s="34">
        <f>Z52-4</f>
        <v>0</v>
      </c>
      <c r="AB52" s="8">
        <v>2</v>
      </c>
      <c r="AC52" s="8">
        <v>15</v>
      </c>
      <c r="AD52" s="6">
        <f t="shared" si="3"/>
        <v>45</v>
      </c>
      <c r="AE52" s="8">
        <v>2</v>
      </c>
      <c r="AF52" s="8">
        <v>18</v>
      </c>
      <c r="AG52" s="6">
        <f>AE52*AF52*1.5</f>
        <v>54</v>
      </c>
      <c r="AH52" s="8"/>
      <c r="AI52" s="8"/>
      <c r="AJ52" s="6">
        <f t="shared" ref="AJ52:AJ63" si="17">AH52*AI52</f>
        <v>0</v>
      </c>
      <c r="AK52" s="6">
        <f t="shared" si="6"/>
        <v>99</v>
      </c>
      <c r="AL52" s="11" t="s">
        <v>64</v>
      </c>
      <c r="AM52" s="11" t="s">
        <v>105</v>
      </c>
      <c r="AN52" s="11"/>
      <c r="AO52" s="11" t="s">
        <v>46</v>
      </c>
      <c r="AP52" s="11" t="s">
        <v>46</v>
      </c>
      <c r="AQ52" s="11" t="s">
        <v>46</v>
      </c>
      <c r="AR52" s="11"/>
      <c r="AS52" s="11"/>
      <c r="AT52" s="11" t="s">
        <v>46</v>
      </c>
      <c r="AU52" s="11"/>
      <c r="AV52" s="8" t="s">
        <v>126</v>
      </c>
      <c r="AW52">
        <f>IF(I52="",0,IF(MAP_TNHN!B53="",I52*3,I52*3-2*(IF(ISNUMBER(SEARCH(MAP_TNHN!B53&amp;" (1 tiết)",'PL12'!$S$5)),1,0)+IF(ISNUMBER(SEARCH(MAP_TNHN!B53&amp;" (1 tiết)",'PL12'!$S$6)),1,0)+IF(ISNUMBER(SEARCH(MAP_TNHN!B53&amp;" (1 tiết)",'PL12'!$S$7)),1,0)+IF(ISNUMBER(SEARCH(MAP_TNHN!B53&amp;" (1 tiết)",'PL12'!$S$8)),1,0)+IF(ISNUMBER(SEARCH(MAP_TNHN!B53&amp;" (1 tiết)",'PL12'!$S$9)),1,0)+IF(ISNUMBER(SEARCH(MAP_TNHN!B53&amp;" (1 tiết)",'PL12'!$S$10)),1,0)+IF(ISNUMBER(SEARCH(MAP_TNHN!B53&amp;" (1 tiết)",'PL12'!$S$11)),1,0)+IF(ISNUMBER(SEARCH(MAP_TNHN!B53&amp;" (1 tiết)",'PL12'!$S$12)),1,0)+IF(ISNUMBER(SEARCH(MAP_TNHN!B53&amp;" (1 tiết)",'PL12'!$S$13)),1,0)+IF(ISNUMBER(SEARCH(MAP_TNHN!B53&amp;" (1 tiết)",'PL12'!$S$14)),1,0)+IF(ISNUMBER(SEARCH(MAP_TNHN!B53&amp;" (1 tiết)",'PL12'!$S$15)),1,0)+IF(ISNUMBER(SEARCH(MAP_TNHN!B53&amp;" (1 tiết)",'PL12'!$S$16)),1,0)+IF(ISNUMBER(SEARCH(MAP_TNHN!B53&amp;" (1 tiết)",'PL12'!$S$17)),1,0)+IF(ISNUMBER(SEARCH(MAP_TNHN!B53&amp;" (1 tiết)",'PL12'!$S$18)),1,0)+IF(ISNUMBER(SEARCH(MAP_TNHN!B53&amp;" (1 tiết)",'PL12'!$S$19)),1,0))-(IF(ISNUMBER(SEARCH(MAP_TNHN!B53&amp;" (2 tiết)",'PL12'!$S$5)),1,0)+IF(ISNUMBER(SEARCH(MAP_TNHN!B53&amp;" (2 tiết)",'PL12'!$S$6)),1,0)+IF(ISNUMBER(SEARCH(MAP_TNHN!B53&amp;" (2 tiết)",'PL12'!$S$7)),1,0)+IF(ISNUMBER(SEARCH(MAP_TNHN!B53&amp;" (2 tiết)",'PL12'!$S$8)),1,0)+IF(ISNUMBER(SEARCH(MAP_TNHN!B53&amp;" (2 tiết)",'PL12'!$S$9)),1,0)+IF(ISNUMBER(SEARCH(MAP_TNHN!B53&amp;" (2 tiết)",'PL12'!$S$10)),1,0)+IF(ISNUMBER(SEARCH(MAP_TNHN!B53&amp;" (2 tiết)",'PL12'!$S$11)),1,0)+IF(ISNUMBER(SEARCH(MAP_TNHN!B53&amp;" (2 tiết)",'PL12'!$S$12)),1,0)+IF(ISNUMBER(SEARCH(MAP_TNHN!B53&amp;" (2 tiết)",'PL12'!$S$13)),1,0)+IF(ISNUMBER(SEARCH(MAP_TNHN!B53&amp;" (2 tiết)",'PL12'!$S$14)),1,0)+IF(ISNUMBER(SEARCH(MAP_TNHN!B53&amp;" (2 tiết)",'PL12'!$S$15)),1,0)+IF(ISNUMBER(SEARCH(MAP_TNHN!B53&amp;" (2 tiết)",'PL12'!$S$16)),1,0)+IF(ISNUMBER(SEARCH(MAP_TNHN!B53&amp;" (2 tiết)",'PL12'!$S$17)),1,0)+IF(ISNUMBER(SEARCH(MAP_TNHN!B53&amp;" (2 tiết)",'PL12'!$S$18)),1,0)+IF(ISNUMBER(SEARCH(MAP_TNHN!B53&amp;" (2 tiết)",'PL12'!$S$19)),1,0))))</f>
        <v>0</v>
      </c>
      <c r="AX52">
        <f>IF(N52="",0,IF(MAP_TNHN!C53="",N52*3,N52*3-2*(IF(ISNUMBER(SEARCH(MAP_TNHN!C53&amp;" (1 tiết)",'PL11'!$S$5)),1,0)+IF(ISNUMBER(SEARCH(MAP_TNHN!C53&amp;" (1 tiết)",'PL11'!$S$6)),1,0)+IF(ISNUMBER(SEARCH(MAP_TNHN!C53&amp;" (1 tiết)",'PL11'!$S$7)),1,0)+IF(ISNUMBER(SEARCH(MAP_TNHN!C53&amp;" (1 tiết)",'PL11'!$S$8)),1,0)+IF(ISNUMBER(SEARCH(MAP_TNHN!C53&amp;" (1 tiết)",'PL11'!$S$9)),1,0)+IF(ISNUMBER(SEARCH(MAP_TNHN!C53&amp;" (1 tiết)",'PL11'!$S$10)),1,0)+IF(ISNUMBER(SEARCH(MAP_TNHN!C53&amp;" (1 tiết)",'PL11'!$S$11)),1,0)+IF(ISNUMBER(SEARCH(MAP_TNHN!C53&amp;" (1 tiết)",'PL11'!$S$12)),1,0)+IF(ISNUMBER(SEARCH(MAP_TNHN!C53&amp;" (1 tiết)",'PL11'!$S$13)),1,0)+IF(ISNUMBER(SEARCH(MAP_TNHN!C53&amp;" (1 tiết)",'PL11'!$S$14)),1,0)+IF(ISNUMBER(SEARCH(MAP_TNHN!C53&amp;" (1 tiết)",'PL11'!$S$15)),1,0)+IF(ISNUMBER(SEARCH(MAP_TNHN!C53&amp;" (1 tiết)",'PL11'!$S$16)),1,0)+IF(ISNUMBER(SEARCH(MAP_TNHN!C53&amp;" (1 tiết)",'PL11'!$S$17)),1,0)+IF(ISNUMBER(SEARCH(MAP_TNHN!C53&amp;" (1 tiết)",'PL11'!$S$18)),1,0))-(IF(ISNUMBER(SEARCH(MAP_TNHN!C53&amp;" (2 tiết)",'PL11'!$S$5)),1,0)+IF(ISNUMBER(SEARCH(MAP_TNHN!C53&amp;" (2 tiết)",'PL11'!$S$6)),1,0)+IF(ISNUMBER(SEARCH(MAP_TNHN!C53&amp;" (2 tiết)",'PL11'!$S$7)),1,0)+IF(ISNUMBER(SEARCH(MAP_TNHN!C53&amp;" (2 tiết)",'PL11'!$S$8)),1,0)+IF(ISNUMBER(SEARCH(MAP_TNHN!C53&amp;" (2 tiết)",'PL11'!$S$9)),1,0)+IF(ISNUMBER(SEARCH(MAP_TNHN!C53&amp;" (2 tiết)",'PL11'!$S$10)),1,0)+IF(ISNUMBER(SEARCH(MAP_TNHN!C53&amp;" (2 tiết)",'PL11'!$S$11)),1,0)+IF(ISNUMBER(SEARCH(MAP_TNHN!C53&amp;" (2 tiết)",'PL11'!$S$12)),1,0)+IF(ISNUMBER(SEARCH(MAP_TNHN!C53&amp;" (2 tiết)",'PL11'!$S$13)),1,0)+IF(ISNUMBER(SEARCH(MAP_TNHN!C53&amp;" (2 tiết)",'PL11'!$S$14)),1,0)+IF(ISNUMBER(SEARCH(MAP_TNHN!C53&amp;" (2 tiết)",'PL11'!$S$15)),1,0)+IF(ISNUMBER(SEARCH(MAP_TNHN!C53&amp;" (2 tiết)",'PL11'!$S$16)),1,0)+IF(ISNUMBER(SEARCH(MAP_TNHN!C53&amp;" (2 tiết)",'PL11'!$S$17)),1,0)+IF(ISNUMBER(SEARCH(MAP_TNHN!C53&amp;" (2 tiết)",'PL11'!$S$18)),1,0))))</f>
        <v>0</v>
      </c>
      <c r="AY52">
        <f>IF(S52="",0,IF(MAP_TNHN!D53="",S52*3,S52*3-2*(IF(ISNUMBER(SEARCH(MAP_TNHN!D53&amp;" (1 tiết)",'PL10'!$S$5)),1,0)+IF(ISNUMBER(SEARCH(MAP_TNHN!D53&amp;" (1 tiết)",'PL10'!$S$6)),1,0)+IF(ISNUMBER(SEARCH(MAP_TNHN!D53&amp;" (1 tiết)",'PL10'!$S$7)),1,0)+IF(ISNUMBER(SEARCH(MAP_TNHN!D53&amp;" (1 tiết)",'PL10'!$S$8)),1,0)+IF(ISNUMBER(SEARCH(MAP_TNHN!D53&amp;" (1 tiết)",'PL10'!$S$9)),1,0)+IF(ISNUMBER(SEARCH(MAP_TNHN!D53&amp;" (1 tiết)",'PL10'!$S$10)),1,0)+IF(ISNUMBER(SEARCH(MAP_TNHN!D53&amp;" (1 tiết)",'PL10'!$S$11)),1,0)+IF(ISNUMBER(SEARCH(MAP_TNHN!D53&amp;" (1 tiết)",'PL10'!$S$12)),1,0)+IF(ISNUMBER(SEARCH(MAP_TNHN!D53&amp;" (1 tiết)",'PL10'!$S$13)),1,0)+IF(ISNUMBER(SEARCH(MAP_TNHN!D53&amp;" (1 tiết)",'PL10'!$S$14)),1,0)+IF(ISNUMBER(SEARCH(MAP_TNHN!D53&amp;" (1 tiết)",'PL10'!$S$15)),1,0)+IF(ISNUMBER(SEARCH(MAP_TNHN!D53&amp;" (1 tiết)",'PL10'!$S$16)),1,0)+IF(ISNUMBER(SEARCH(MAP_TNHN!D53&amp;" (1 tiết)",'PL10'!$S$17)),1,0)+IF(ISNUMBER(SEARCH(MAP_TNHN!D53&amp;" (1 tiết)",'PL10'!$S$18)),1,0)+IF(ISNUMBER(SEARCH(MAP_TNHN!D53&amp;" (1 tiết)",'PL10'!$S$19)),1,0)+IF(ISNUMBER(SEARCH(MAP_TNHN!D53&amp;" (1 tiết)",'PL10'!$S$20)),1,0)+IF(ISNUMBER(SEARCH(MAP_TNHN!D53&amp;" (1 tiết)",'PL10'!$S$21)),1,0)+IF(ISNUMBER(SEARCH(MAP_TNHN!D53&amp;" (1 tiết)",'PL10'!$S$22)),1,0)+IF(ISNUMBER(SEARCH(MAP_TNHN!D53&amp;" (1 tiết)",'PL10'!$S$23)),1,0)+IF(ISNUMBER(SEARCH(MAP_TNHN!D53&amp;" (1 tiết)",'PL10'!$S$24)),1,0)+IF(ISNUMBER(SEARCH(MAP_TNHN!D53&amp;" (1 tiết)",'PL10'!$S$25)),1,0))-(IF(ISNUMBER(SEARCH(MAP_TNHN!D53&amp;" (2 tiết)",'PL10'!$S$5)),1,0)+IF(ISNUMBER(SEARCH(MAP_TNHN!D53&amp;" (2 tiết)",'PL10'!$S$6)),1,0)+IF(ISNUMBER(SEARCH(MAP_TNHN!D53&amp;" (2 tiết)",'PL10'!$S$7)),1,0)+IF(ISNUMBER(SEARCH(MAP_TNHN!D53&amp;" (2 tiết)",'PL10'!$S$8)),1,0)+IF(ISNUMBER(SEARCH(MAP_TNHN!D53&amp;" (2 tiết)",'PL10'!$S$9)),1,0)+IF(ISNUMBER(SEARCH(MAP_TNHN!D53&amp;" (2 tiết)",'PL10'!$S$10)),1,0)+IF(ISNUMBER(SEARCH(MAP_TNHN!D53&amp;" (2 tiết)",'PL10'!$S$11)),1,0)+IF(ISNUMBER(SEARCH(MAP_TNHN!D53&amp;" (2 tiết)",'PL10'!$S$12)),1,0)+IF(ISNUMBER(SEARCH(MAP_TNHN!D53&amp;" (2 tiết)",'PL10'!$S$13)),1,0)+IF(ISNUMBER(SEARCH(MAP_TNHN!D53&amp;" (2 tiết)",'PL10'!$S$14)),1,0)+IF(ISNUMBER(SEARCH(MAP_TNHN!D53&amp;" (2 tiết)",'PL10'!$S$15)),1,0)+IF(ISNUMBER(SEARCH(MAP_TNHN!D53&amp;" (2 tiết)",'PL10'!$S$16)),1,0)+IF(ISNUMBER(SEARCH(MAP_TNHN!D53&amp;" (2 tiết)",'PL10'!$S$17)),1,0)+IF(ISNUMBER(SEARCH(MAP_TNHN!D53&amp;" (2 tiết)",'PL10'!$S$18)),1,0)+IF(ISNUMBER(SEARCH(MAP_TNHN!D53&amp;" (2 tiết)",'PL10'!$S$19)),1,0)+IF(ISNUMBER(SEARCH(MAP_TNHN!D53&amp;" (2 tiết)",'PL10'!$S$20)),1,0)+IF(ISNUMBER(SEARCH(MAP_TNHN!D53&amp;" (2 tiết)",'PL10'!$S$21)),1,0)+IF(ISNUMBER(SEARCH(MAP_TNHN!D53&amp;" (2 tiết)",'PL10'!$S$22)),1,0)+IF(ISNUMBER(SEARCH(MAP_TNHN!D53&amp;" (2 tiết)",'PL10'!$S$23)),1,0)+IF(ISNUMBER(SEARCH(MAP_TNHN!D53&amp;" (2 tiết)",'PL10'!$S$24)),1,0)+IF(ISNUMBER(SEARCH(MAP_TNHN!D53&amp;" (2 tiết)",'PL10'!$S$25)),1,0))))</f>
        <v>0</v>
      </c>
    </row>
    <row r="53" spans="1:51" ht="45" x14ac:dyDescent="0.35">
      <c r="A53" s="311"/>
      <c r="B53" s="11">
        <v>2</v>
      </c>
      <c r="C53" s="12" t="s">
        <v>127</v>
      </c>
      <c r="D53" s="21"/>
      <c r="E53" s="45"/>
      <c r="F53" s="45"/>
      <c r="G53" s="45"/>
      <c r="H53" s="45"/>
      <c r="I53" s="161"/>
      <c r="J53" s="45"/>
      <c r="K53" s="46"/>
      <c r="L53" s="46"/>
      <c r="M53" s="46"/>
      <c r="N53" s="164"/>
      <c r="O53" s="46"/>
      <c r="P53" s="47"/>
      <c r="Q53" s="47"/>
      <c r="R53" s="47"/>
      <c r="S53" s="165">
        <v>2</v>
      </c>
      <c r="T53" s="47"/>
      <c r="U53" s="11">
        <f>E53*'Phân tiết'!$M$5+G53*('Phân tiết'!$M$21/3)+H53*'Phân tiết'!$L$26+AW53+J53*'Phân tiết'!$M$20+K53*'Phân tiết'!$I$5+M53*('Phân tiết'!$I$21/3)+AX53+O53*'Phân tiết'!$I$20+P53*'Phân tiết'!$E$5+R53*('Phân tiết'!$E$21/3)+AY53+T53*'Phân tiết'!$E$20</f>
        <v>4</v>
      </c>
      <c r="V53" s="8">
        <f t="shared" si="15"/>
        <v>0</v>
      </c>
      <c r="W53" s="6" t="s">
        <v>124</v>
      </c>
      <c r="X53" s="6" t="s">
        <v>128</v>
      </c>
      <c r="Y53" s="11">
        <v>0</v>
      </c>
      <c r="Z53" s="43">
        <f t="shared" si="16"/>
        <v>4</v>
      </c>
      <c r="AA53" s="34">
        <f>Z53-4</f>
        <v>0</v>
      </c>
      <c r="AB53" s="8"/>
      <c r="AC53" s="8"/>
      <c r="AD53" s="6">
        <f t="shared" si="3"/>
        <v>0</v>
      </c>
      <c r="AE53" s="8"/>
      <c r="AF53" s="8"/>
      <c r="AG53" s="6">
        <f t="shared" si="5"/>
        <v>0</v>
      </c>
      <c r="AH53" s="8"/>
      <c r="AI53" s="8"/>
      <c r="AJ53" s="6">
        <f t="shared" si="17"/>
        <v>0</v>
      </c>
      <c r="AK53" s="6">
        <f t="shared" si="6"/>
        <v>0</v>
      </c>
      <c r="AL53" s="11"/>
      <c r="AM53" s="11"/>
      <c r="AN53" s="11"/>
      <c r="AO53" s="11" t="s">
        <v>46</v>
      </c>
      <c r="AP53" s="11" t="s">
        <v>46</v>
      </c>
      <c r="AQ53" s="11" t="s">
        <v>46</v>
      </c>
      <c r="AR53" s="11"/>
      <c r="AS53" s="11"/>
      <c r="AT53" s="11" t="s">
        <v>46</v>
      </c>
      <c r="AU53" s="11"/>
      <c r="AV53" s="8" t="s">
        <v>129</v>
      </c>
      <c r="AW53">
        <f>IF(I53="",0,IF(MAP_TNHN!B54="",I53*3,I53*3-2*(IF(ISNUMBER(SEARCH(MAP_TNHN!B54&amp;" (1 tiết)",'PL12'!$S$5)),1,0)+IF(ISNUMBER(SEARCH(MAP_TNHN!B54&amp;" (1 tiết)",'PL12'!$S$6)),1,0)+IF(ISNUMBER(SEARCH(MAP_TNHN!B54&amp;" (1 tiết)",'PL12'!$S$7)),1,0)+IF(ISNUMBER(SEARCH(MAP_TNHN!B54&amp;" (1 tiết)",'PL12'!$S$8)),1,0)+IF(ISNUMBER(SEARCH(MAP_TNHN!B54&amp;" (1 tiết)",'PL12'!$S$9)),1,0)+IF(ISNUMBER(SEARCH(MAP_TNHN!B54&amp;" (1 tiết)",'PL12'!$S$10)),1,0)+IF(ISNUMBER(SEARCH(MAP_TNHN!B54&amp;" (1 tiết)",'PL12'!$S$11)),1,0)+IF(ISNUMBER(SEARCH(MAP_TNHN!B54&amp;" (1 tiết)",'PL12'!$S$12)),1,0)+IF(ISNUMBER(SEARCH(MAP_TNHN!B54&amp;" (1 tiết)",'PL12'!$S$13)),1,0)+IF(ISNUMBER(SEARCH(MAP_TNHN!B54&amp;" (1 tiết)",'PL12'!$S$14)),1,0)+IF(ISNUMBER(SEARCH(MAP_TNHN!B54&amp;" (1 tiết)",'PL12'!$S$15)),1,0)+IF(ISNUMBER(SEARCH(MAP_TNHN!B54&amp;" (1 tiết)",'PL12'!$S$16)),1,0)+IF(ISNUMBER(SEARCH(MAP_TNHN!B54&amp;" (1 tiết)",'PL12'!$S$17)),1,0)+IF(ISNUMBER(SEARCH(MAP_TNHN!B54&amp;" (1 tiết)",'PL12'!$S$18)),1,0)+IF(ISNUMBER(SEARCH(MAP_TNHN!B54&amp;" (1 tiết)",'PL12'!$S$19)),1,0))-(IF(ISNUMBER(SEARCH(MAP_TNHN!B54&amp;" (2 tiết)",'PL12'!$S$5)),1,0)+IF(ISNUMBER(SEARCH(MAP_TNHN!B54&amp;" (2 tiết)",'PL12'!$S$6)),1,0)+IF(ISNUMBER(SEARCH(MAP_TNHN!B54&amp;" (2 tiết)",'PL12'!$S$7)),1,0)+IF(ISNUMBER(SEARCH(MAP_TNHN!B54&amp;" (2 tiết)",'PL12'!$S$8)),1,0)+IF(ISNUMBER(SEARCH(MAP_TNHN!B54&amp;" (2 tiết)",'PL12'!$S$9)),1,0)+IF(ISNUMBER(SEARCH(MAP_TNHN!B54&amp;" (2 tiết)",'PL12'!$S$10)),1,0)+IF(ISNUMBER(SEARCH(MAP_TNHN!B54&amp;" (2 tiết)",'PL12'!$S$11)),1,0)+IF(ISNUMBER(SEARCH(MAP_TNHN!B54&amp;" (2 tiết)",'PL12'!$S$12)),1,0)+IF(ISNUMBER(SEARCH(MAP_TNHN!B54&amp;" (2 tiết)",'PL12'!$S$13)),1,0)+IF(ISNUMBER(SEARCH(MAP_TNHN!B54&amp;" (2 tiết)",'PL12'!$S$14)),1,0)+IF(ISNUMBER(SEARCH(MAP_TNHN!B54&amp;" (2 tiết)",'PL12'!$S$15)),1,0)+IF(ISNUMBER(SEARCH(MAP_TNHN!B54&amp;" (2 tiết)",'PL12'!$S$16)),1,0)+IF(ISNUMBER(SEARCH(MAP_TNHN!B54&amp;" (2 tiết)",'PL12'!$S$17)),1,0)+IF(ISNUMBER(SEARCH(MAP_TNHN!B54&amp;" (2 tiết)",'PL12'!$S$18)),1,0)+IF(ISNUMBER(SEARCH(MAP_TNHN!B54&amp;" (2 tiết)",'PL12'!$S$19)),1,0))))</f>
        <v>0</v>
      </c>
      <c r="AX53">
        <f>IF(N53="",0,IF(MAP_TNHN!C54="",N53*3,N53*3-2*(IF(ISNUMBER(SEARCH(MAP_TNHN!C54&amp;" (1 tiết)",'PL11'!$S$5)),1,0)+IF(ISNUMBER(SEARCH(MAP_TNHN!C54&amp;" (1 tiết)",'PL11'!$S$6)),1,0)+IF(ISNUMBER(SEARCH(MAP_TNHN!C54&amp;" (1 tiết)",'PL11'!$S$7)),1,0)+IF(ISNUMBER(SEARCH(MAP_TNHN!C54&amp;" (1 tiết)",'PL11'!$S$8)),1,0)+IF(ISNUMBER(SEARCH(MAP_TNHN!C54&amp;" (1 tiết)",'PL11'!$S$9)),1,0)+IF(ISNUMBER(SEARCH(MAP_TNHN!C54&amp;" (1 tiết)",'PL11'!$S$10)),1,0)+IF(ISNUMBER(SEARCH(MAP_TNHN!C54&amp;" (1 tiết)",'PL11'!$S$11)),1,0)+IF(ISNUMBER(SEARCH(MAP_TNHN!C54&amp;" (1 tiết)",'PL11'!$S$12)),1,0)+IF(ISNUMBER(SEARCH(MAP_TNHN!C54&amp;" (1 tiết)",'PL11'!$S$13)),1,0)+IF(ISNUMBER(SEARCH(MAP_TNHN!C54&amp;" (1 tiết)",'PL11'!$S$14)),1,0)+IF(ISNUMBER(SEARCH(MAP_TNHN!C54&amp;" (1 tiết)",'PL11'!$S$15)),1,0)+IF(ISNUMBER(SEARCH(MAP_TNHN!C54&amp;" (1 tiết)",'PL11'!$S$16)),1,0)+IF(ISNUMBER(SEARCH(MAP_TNHN!C54&amp;" (1 tiết)",'PL11'!$S$17)),1,0)+IF(ISNUMBER(SEARCH(MAP_TNHN!C54&amp;" (1 tiết)",'PL11'!$S$18)),1,0))-(IF(ISNUMBER(SEARCH(MAP_TNHN!C54&amp;" (2 tiết)",'PL11'!$S$5)),1,0)+IF(ISNUMBER(SEARCH(MAP_TNHN!C54&amp;" (2 tiết)",'PL11'!$S$6)),1,0)+IF(ISNUMBER(SEARCH(MAP_TNHN!C54&amp;" (2 tiết)",'PL11'!$S$7)),1,0)+IF(ISNUMBER(SEARCH(MAP_TNHN!C54&amp;" (2 tiết)",'PL11'!$S$8)),1,0)+IF(ISNUMBER(SEARCH(MAP_TNHN!C54&amp;" (2 tiết)",'PL11'!$S$9)),1,0)+IF(ISNUMBER(SEARCH(MAP_TNHN!C54&amp;" (2 tiết)",'PL11'!$S$10)),1,0)+IF(ISNUMBER(SEARCH(MAP_TNHN!C54&amp;" (2 tiết)",'PL11'!$S$11)),1,0)+IF(ISNUMBER(SEARCH(MAP_TNHN!C54&amp;" (2 tiết)",'PL11'!$S$12)),1,0)+IF(ISNUMBER(SEARCH(MAP_TNHN!C54&amp;" (2 tiết)",'PL11'!$S$13)),1,0)+IF(ISNUMBER(SEARCH(MAP_TNHN!C54&amp;" (2 tiết)",'PL11'!$S$14)),1,0)+IF(ISNUMBER(SEARCH(MAP_TNHN!C54&amp;" (2 tiết)",'PL11'!$S$15)),1,0)+IF(ISNUMBER(SEARCH(MAP_TNHN!C54&amp;" (2 tiết)",'PL11'!$S$16)),1,0)+IF(ISNUMBER(SEARCH(MAP_TNHN!C54&amp;" (2 tiết)",'PL11'!$S$17)),1,0)+IF(ISNUMBER(SEARCH(MAP_TNHN!C54&amp;" (2 tiết)",'PL11'!$S$18)),1,0))))</f>
        <v>0</v>
      </c>
      <c r="AY53">
        <f>IF(S53="",0,IF(MAP_TNHN!D54="",S53*3,S53*3-2*(IF(ISNUMBER(SEARCH(MAP_TNHN!D54&amp;" (1 tiết)",'PL10'!$S$5)),1,0)+IF(ISNUMBER(SEARCH(MAP_TNHN!D54&amp;" (1 tiết)",'PL10'!$S$6)),1,0)+IF(ISNUMBER(SEARCH(MAP_TNHN!D54&amp;" (1 tiết)",'PL10'!$S$7)),1,0)+IF(ISNUMBER(SEARCH(MAP_TNHN!D54&amp;" (1 tiết)",'PL10'!$S$8)),1,0)+IF(ISNUMBER(SEARCH(MAP_TNHN!D54&amp;" (1 tiết)",'PL10'!$S$9)),1,0)+IF(ISNUMBER(SEARCH(MAP_TNHN!D54&amp;" (1 tiết)",'PL10'!$S$10)),1,0)+IF(ISNUMBER(SEARCH(MAP_TNHN!D54&amp;" (1 tiết)",'PL10'!$S$11)),1,0)+IF(ISNUMBER(SEARCH(MAP_TNHN!D54&amp;" (1 tiết)",'PL10'!$S$12)),1,0)+IF(ISNUMBER(SEARCH(MAP_TNHN!D54&amp;" (1 tiết)",'PL10'!$S$13)),1,0)+IF(ISNUMBER(SEARCH(MAP_TNHN!D54&amp;" (1 tiết)",'PL10'!$S$14)),1,0)+IF(ISNUMBER(SEARCH(MAP_TNHN!D54&amp;" (1 tiết)",'PL10'!$S$15)),1,0)+IF(ISNUMBER(SEARCH(MAP_TNHN!D54&amp;" (1 tiết)",'PL10'!$S$16)),1,0)+IF(ISNUMBER(SEARCH(MAP_TNHN!D54&amp;" (1 tiết)",'PL10'!$S$17)),1,0)+IF(ISNUMBER(SEARCH(MAP_TNHN!D54&amp;" (1 tiết)",'PL10'!$S$18)),1,0)+IF(ISNUMBER(SEARCH(MAP_TNHN!D54&amp;" (1 tiết)",'PL10'!$S$19)),1,0)+IF(ISNUMBER(SEARCH(MAP_TNHN!D54&amp;" (1 tiết)",'PL10'!$S$20)),1,0)+IF(ISNUMBER(SEARCH(MAP_TNHN!D54&amp;" (1 tiết)",'PL10'!$S$21)),1,0)+IF(ISNUMBER(SEARCH(MAP_TNHN!D54&amp;" (1 tiết)",'PL10'!$S$22)),1,0)+IF(ISNUMBER(SEARCH(MAP_TNHN!D54&amp;" (1 tiết)",'PL10'!$S$23)),1,0)+IF(ISNUMBER(SEARCH(MAP_TNHN!D54&amp;" (1 tiết)",'PL10'!$S$24)),1,0)+IF(ISNUMBER(SEARCH(MAP_TNHN!D54&amp;" (1 tiết)",'PL10'!$S$25)),1,0))-(IF(ISNUMBER(SEARCH(MAP_TNHN!D54&amp;" (2 tiết)",'PL10'!$S$5)),1,0)+IF(ISNUMBER(SEARCH(MAP_TNHN!D54&amp;" (2 tiết)",'PL10'!$S$6)),1,0)+IF(ISNUMBER(SEARCH(MAP_TNHN!D54&amp;" (2 tiết)",'PL10'!$S$7)),1,0)+IF(ISNUMBER(SEARCH(MAP_TNHN!D54&amp;" (2 tiết)",'PL10'!$S$8)),1,0)+IF(ISNUMBER(SEARCH(MAP_TNHN!D54&amp;" (2 tiết)",'PL10'!$S$9)),1,0)+IF(ISNUMBER(SEARCH(MAP_TNHN!D54&amp;" (2 tiết)",'PL10'!$S$10)),1,0)+IF(ISNUMBER(SEARCH(MAP_TNHN!D54&amp;" (2 tiết)",'PL10'!$S$11)),1,0)+IF(ISNUMBER(SEARCH(MAP_TNHN!D54&amp;" (2 tiết)",'PL10'!$S$12)),1,0)+IF(ISNUMBER(SEARCH(MAP_TNHN!D54&amp;" (2 tiết)",'PL10'!$S$13)),1,0)+IF(ISNUMBER(SEARCH(MAP_TNHN!D54&amp;" (2 tiết)",'PL10'!$S$14)),1,0)+IF(ISNUMBER(SEARCH(MAP_TNHN!D54&amp;" (2 tiết)",'PL10'!$S$15)),1,0)+IF(ISNUMBER(SEARCH(MAP_TNHN!D54&amp;" (2 tiết)",'PL10'!$S$16)),1,0)+IF(ISNUMBER(SEARCH(MAP_TNHN!D54&amp;" (2 tiết)",'PL10'!$S$17)),1,0)+IF(ISNUMBER(SEARCH(MAP_TNHN!D54&amp;" (2 tiết)",'PL10'!$S$18)),1,0)+IF(ISNUMBER(SEARCH(MAP_TNHN!D54&amp;" (2 tiết)",'PL10'!$S$19)),1,0)+IF(ISNUMBER(SEARCH(MAP_TNHN!D54&amp;" (2 tiết)",'PL10'!$S$20)),1,0)+IF(ISNUMBER(SEARCH(MAP_TNHN!D54&amp;" (2 tiết)",'PL10'!$S$21)),1,0)+IF(ISNUMBER(SEARCH(MAP_TNHN!D54&amp;" (2 tiết)",'PL10'!$S$22)),1,0)+IF(ISNUMBER(SEARCH(MAP_TNHN!D54&amp;" (2 tiết)",'PL10'!$S$23)),1,0)+IF(ISNUMBER(SEARCH(MAP_TNHN!D54&amp;" (2 tiết)",'PL10'!$S$24)),1,0)+IF(ISNUMBER(SEARCH(MAP_TNHN!D54&amp;" (2 tiết)",'PL10'!$S$25)),1,0))))</f>
        <v>4</v>
      </c>
    </row>
    <row r="54" spans="1:51" x14ac:dyDescent="0.35">
      <c r="A54" s="311"/>
      <c r="B54" s="11">
        <v>3</v>
      </c>
      <c r="C54" s="12" t="s">
        <v>130</v>
      </c>
      <c r="D54" s="21"/>
      <c r="E54" s="45">
        <v>2</v>
      </c>
      <c r="F54" s="45"/>
      <c r="G54" s="45">
        <v>1</v>
      </c>
      <c r="H54" s="45">
        <v>2</v>
      </c>
      <c r="I54" s="161"/>
      <c r="J54" s="45"/>
      <c r="K54" s="46"/>
      <c r="L54" s="46"/>
      <c r="M54" s="46"/>
      <c r="N54" s="164"/>
      <c r="O54" s="46"/>
      <c r="P54" s="47">
        <v>2</v>
      </c>
      <c r="Q54" s="47"/>
      <c r="R54" s="47"/>
      <c r="S54" s="165"/>
      <c r="T54" s="47"/>
      <c r="U54" s="11">
        <f>E54*'Phân tiết'!$M$5+G54*('Phân tiết'!$M$21/3)+H54*'Phân tiết'!$L$26+AW54+J54*'Phân tiết'!$M$20+K54*'Phân tiết'!$I$5+M54*('Phân tiết'!$I$21/3)+AX54+O54*'Phân tiết'!$I$20+P54*'Phân tiết'!$E$5+R54*('Phân tiết'!$E$21/3)+AY54+T54*'Phân tiết'!$E$20</f>
        <v>17</v>
      </c>
      <c r="V54" s="8">
        <f t="shared" si="15"/>
        <v>0</v>
      </c>
      <c r="W54" s="6" t="s">
        <v>45</v>
      </c>
      <c r="X54" s="6" t="s">
        <v>131</v>
      </c>
      <c r="Y54" s="11">
        <v>4</v>
      </c>
      <c r="Z54" s="43">
        <f t="shared" si="16"/>
        <v>21</v>
      </c>
      <c r="AA54" s="34">
        <f t="shared" ref="AA54:AA63" si="18">Z54-17</f>
        <v>4</v>
      </c>
      <c r="AB54" s="8">
        <v>2</v>
      </c>
      <c r="AC54" s="8">
        <v>25</v>
      </c>
      <c r="AD54" s="6">
        <f t="shared" si="3"/>
        <v>75</v>
      </c>
      <c r="AE54" s="8"/>
      <c r="AF54" s="8"/>
      <c r="AG54" s="6">
        <f t="shared" si="5"/>
        <v>0</v>
      </c>
      <c r="AH54" s="8"/>
      <c r="AI54" s="8"/>
      <c r="AJ54" s="6">
        <f t="shared" si="17"/>
        <v>0</v>
      </c>
      <c r="AK54" s="6">
        <f t="shared" si="6"/>
        <v>207</v>
      </c>
      <c r="AL54" s="11" t="s">
        <v>132</v>
      </c>
      <c r="AM54" s="11"/>
      <c r="AN54" s="11"/>
      <c r="AO54" s="11" t="s">
        <v>46</v>
      </c>
      <c r="AP54" s="11" t="s">
        <v>46</v>
      </c>
      <c r="AQ54" s="11" t="s">
        <v>46</v>
      </c>
      <c r="AR54" s="11" t="s">
        <v>46</v>
      </c>
      <c r="AS54" s="11" t="s">
        <v>46</v>
      </c>
      <c r="AT54" s="11" t="s">
        <v>46</v>
      </c>
      <c r="AU54" s="11"/>
      <c r="AV54" s="8"/>
      <c r="AW54">
        <f>IF(I54="",0,IF(MAP_TNHN!B55="",I54*3,I54*3-2*(IF(ISNUMBER(SEARCH(MAP_TNHN!B55&amp;" (1 tiết)",'PL12'!$S$5)),1,0)+IF(ISNUMBER(SEARCH(MAP_TNHN!B55&amp;" (1 tiết)",'PL12'!$S$6)),1,0)+IF(ISNUMBER(SEARCH(MAP_TNHN!B55&amp;" (1 tiết)",'PL12'!$S$7)),1,0)+IF(ISNUMBER(SEARCH(MAP_TNHN!B55&amp;" (1 tiết)",'PL12'!$S$8)),1,0)+IF(ISNUMBER(SEARCH(MAP_TNHN!B55&amp;" (1 tiết)",'PL12'!$S$9)),1,0)+IF(ISNUMBER(SEARCH(MAP_TNHN!B55&amp;" (1 tiết)",'PL12'!$S$10)),1,0)+IF(ISNUMBER(SEARCH(MAP_TNHN!B55&amp;" (1 tiết)",'PL12'!$S$11)),1,0)+IF(ISNUMBER(SEARCH(MAP_TNHN!B55&amp;" (1 tiết)",'PL12'!$S$12)),1,0)+IF(ISNUMBER(SEARCH(MAP_TNHN!B55&amp;" (1 tiết)",'PL12'!$S$13)),1,0)+IF(ISNUMBER(SEARCH(MAP_TNHN!B55&amp;" (1 tiết)",'PL12'!$S$14)),1,0)+IF(ISNUMBER(SEARCH(MAP_TNHN!B55&amp;" (1 tiết)",'PL12'!$S$15)),1,0)+IF(ISNUMBER(SEARCH(MAP_TNHN!B55&amp;" (1 tiết)",'PL12'!$S$16)),1,0)+IF(ISNUMBER(SEARCH(MAP_TNHN!B55&amp;" (1 tiết)",'PL12'!$S$17)),1,0)+IF(ISNUMBER(SEARCH(MAP_TNHN!B55&amp;" (1 tiết)",'PL12'!$S$18)),1,0)+IF(ISNUMBER(SEARCH(MAP_TNHN!B55&amp;" (1 tiết)",'PL12'!$S$19)),1,0))-(IF(ISNUMBER(SEARCH(MAP_TNHN!B55&amp;" (2 tiết)",'PL12'!$S$5)),1,0)+IF(ISNUMBER(SEARCH(MAP_TNHN!B55&amp;" (2 tiết)",'PL12'!$S$6)),1,0)+IF(ISNUMBER(SEARCH(MAP_TNHN!B55&amp;" (2 tiết)",'PL12'!$S$7)),1,0)+IF(ISNUMBER(SEARCH(MAP_TNHN!B55&amp;" (2 tiết)",'PL12'!$S$8)),1,0)+IF(ISNUMBER(SEARCH(MAP_TNHN!B55&amp;" (2 tiết)",'PL12'!$S$9)),1,0)+IF(ISNUMBER(SEARCH(MAP_TNHN!B55&amp;" (2 tiết)",'PL12'!$S$10)),1,0)+IF(ISNUMBER(SEARCH(MAP_TNHN!B55&amp;" (2 tiết)",'PL12'!$S$11)),1,0)+IF(ISNUMBER(SEARCH(MAP_TNHN!B55&amp;" (2 tiết)",'PL12'!$S$12)),1,0)+IF(ISNUMBER(SEARCH(MAP_TNHN!B55&amp;" (2 tiết)",'PL12'!$S$13)),1,0)+IF(ISNUMBER(SEARCH(MAP_TNHN!B55&amp;" (2 tiết)",'PL12'!$S$14)),1,0)+IF(ISNUMBER(SEARCH(MAP_TNHN!B55&amp;" (2 tiết)",'PL12'!$S$15)),1,0)+IF(ISNUMBER(SEARCH(MAP_TNHN!B55&amp;" (2 tiết)",'PL12'!$S$16)),1,0)+IF(ISNUMBER(SEARCH(MAP_TNHN!B55&amp;" (2 tiết)",'PL12'!$S$17)),1,0)+IF(ISNUMBER(SEARCH(MAP_TNHN!B55&amp;" (2 tiết)",'PL12'!$S$18)),1,0)+IF(ISNUMBER(SEARCH(MAP_TNHN!B55&amp;" (2 tiết)",'PL12'!$S$19)),1,0))))</f>
        <v>0</v>
      </c>
      <c r="AX54">
        <f>IF(N54="",0,IF(MAP_TNHN!C55="",N54*3,N54*3-2*(IF(ISNUMBER(SEARCH(MAP_TNHN!C55&amp;" (1 tiết)",'PL11'!$S$5)),1,0)+IF(ISNUMBER(SEARCH(MAP_TNHN!C55&amp;" (1 tiết)",'PL11'!$S$6)),1,0)+IF(ISNUMBER(SEARCH(MAP_TNHN!C55&amp;" (1 tiết)",'PL11'!$S$7)),1,0)+IF(ISNUMBER(SEARCH(MAP_TNHN!C55&amp;" (1 tiết)",'PL11'!$S$8)),1,0)+IF(ISNUMBER(SEARCH(MAP_TNHN!C55&amp;" (1 tiết)",'PL11'!$S$9)),1,0)+IF(ISNUMBER(SEARCH(MAP_TNHN!C55&amp;" (1 tiết)",'PL11'!$S$10)),1,0)+IF(ISNUMBER(SEARCH(MAP_TNHN!C55&amp;" (1 tiết)",'PL11'!$S$11)),1,0)+IF(ISNUMBER(SEARCH(MAP_TNHN!C55&amp;" (1 tiết)",'PL11'!$S$12)),1,0)+IF(ISNUMBER(SEARCH(MAP_TNHN!C55&amp;" (1 tiết)",'PL11'!$S$13)),1,0)+IF(ISNUMBER(SEARCH(MAP_TNHN!C55&amp;" (1 tiết)",'PL11'!$S$14)),1,0)+IF(ISNUMBER(SEARCH(MAP_TNHN!C55&amp;" (1 tiết)",'PL11'!$S$15)),1,0)+IF(ISNUMBER(SEARCH(MAP_TNHN!C55&amp;" (1 tiết)",'PL11'!$S$16)),1,0)+IF(ISNUMBER(SEARCH(MAP_TNHN!C55&amp;" (1 tiết)",'PL11'!$S$17)),1,0)+IF(ISNUMBER(SEARCH(MAP_TNHN!C55&amp;" (1 tiết)",'PL11'!$S$18)),1,0))-(IF(ISNUMBER(SEARCH(MAP_TNHN!C55&amp;" (2 tiết)",'PL11'!$S$5)),1,0)+IF(ISNUMBER(SEARCH(MAP_TNHN!C55&amp;" (2 tiết)",'PL11'!$S$6)),1,0)+IF(ISNUMBER(SEARCH(MAP_TNHN!C55&amp;" (2 tiết)",'PL11'!$S$7)),1,0)+IF(ISNUMBER(SEARCH(MAP_TNHN!C55&amp;" (2 tiết)",'PL11'!$S$8)),1,0)+IF(ISNUMBER(SEARCH(MAP_TNHN!C55&amp;" (2 tiết)",'PL11'!$S$9)),1,0)+IF(ISNUMBER(SEARCH(MAP_TNHN!C55&amp;" (2 tiết)",'PL11'!$S$10)),1,0)+IF(ISNUMBER(SEARCH(MAP_TNHN!C55&amp;" (2 tiết)",'PL11'!$S$11)),1,0)+IF(ISNUMBER(SEARCH(MAP_TNHN!C55&amp;" (2 tiết)",'PL11'!$S$12)),1,0)+IF(ISNUMBER(SEARCH(MAP_TNHN!C55&amp;" (2 tiết)",'PL11'!$S$13)),1,0)+IF(ISNUMBER(SEARCH(MAP_TNHN!C55&amp;" (2 tiết)",'PL11'!$S$14)),1,0)+IF(ISNUMBER(SEARCH(MAP_TNHN!C55&amp;" (2 tiết)",'PL11'!$S$15)),1,0)+IF(ISNUMBER(SEARCH(MAP_TNHN!C55&amp;" (2 tiết)",'PL11'!$S$16)),1,0)+IF(ISNUMBER(SEARCH(MAP_TNHN!C55&amp;" (2 tiết)",'PL11'!$S$17)),1,0)+IF(ISNUMBER(SEARCH(MAP_TNHN!C55&amp;" (2 tiết)",'PL11'!$S$18)),1,0))))</f>
        <v>0</v>
      </c>
      <c r="AY54">
        <f>IF(S54="",0,IF(MAP_TNHN!D55="",S54*3,S54*3-2*(IF(ISNUMBER(SEARCH(MAP_TNHN!D55&amp;" (1 tiết)",'PL10'!$S$5)),1,0)+IF(ISNUMBER(SEARCH(MAP_TNHN!D55&amp;" (1 tiết)",'PL10'!$S$6)),1,0)+IF(ISNUMBER(SEARCH(MAP_TNHN!D55&amp;" (1 tiết)",'PL10'!$S$7)),1,0)+IF(ISNUMBER(SEARCH(MAP_TNHN!D55&amp;" (1 tiết)",'PL10'!$S$8)),1,0)+IF(ISNUMBER(SEARCH(MAP_TNHN!D55&amp;" (1 tiết)",'PL10'!$S$9)),1,0)+IF(ISNUMBER(SEARCH(MAP_TNHN!D55&amp;" (1 tiết)",'PL10'!$S$10)),1,0)+IF(ISNUMBER(SEARCH(MAP_TNHN!D55&amp;" (1 tiết)",'PL10'!$S$11)),1,0)+IF(ISNUMBER(SEARCH(MAP_TNHN!D55&amp;" (1 tiết)",'PL10'!$S$12)),1,0)+IF(ISNUMBER(SEARCH(MAP_TNHN!D55&amp;" (1 tiết)",'PL10'!$S$13)),1,0)+IF(ISNUMBER(SEARCH(MAP_TNHN!D55&amp;" (1 tiết)",'PL10'!$S$14)),1,0)+IF(ISNUMBER(SEARCH(MAP_TNHN!D55&amp;" (1 tiết)",'PL10'!$S$15)),1,0)+IF(ISNUMBER(SEARCH(MAP_TNHN!D55&amp;" (1 tiết)",'PL10'!$S$16)),1,0)+IF(ISNUMBER(SEARCH(MAP_TNHN!D55&amp;" (1 tiết)",'PL10'!$S$17)),1,0)+IF(ISNUMBER(SEARCH(MAP_TNHN!D55&amp;" (1 tiết)",'PL10'!$S$18)),1,0)+IF(ISNUMBER(SEARCH(MAP_TNHN!D55&amp;" (1 tiết)",'PL10'!$S$19)),1,0)+IF(ISNUMBER(SEARCH(MAP_TNHN!D55&amp;" (1 tiết)",'PL10'!$S$20)),1,0)+IF(ISNUMBER(SEARCH(MAP_TNHN!D55&amp;" (1 tiết)",'PL10'!$S$21)),1,0)+IF(ISNUMBER(SEARCH(MAP_TNHN!D55&amp;" (1 tiết)",'PL10'!$S$22)),1,0)+IF(ISNUMBER(SEARCH(MAP_TNHN!D55&amp;" (1 tiết)",'PL10'!$S$23)),1,0)+IF(ISNUMBER(SEARCH(MAP_TNHN!D55&amp;" (1 tiết)",'PL10'!$S$24)),1,0)+IF(ISNUMBER(SEARCH(MAP_TNHN!D55&amp;" (1 tiết)",'PL10'!$S$25)),1,0))-(IF(ISNUMBER(SEARCH(MAP_TNHN!D55&amp;" (2 tiết)",'PL10'!$S$5)),1,0)+IF(ISNUMBER(SEARCH(MAP_TNHN!D55&amp;" (2 tiết)",'PL10'!$S$6)),1,0)+IF(ISNUMBER(SEARCH(MAP_TNHN!D55&amp;" (2 tiết)",'PL10'!$S$7)),1,0)+IF(ISNUMBER(SEARCH(MAP_TNHN!D55&amp;" (2 tiết)",'PL10'!$S$8)),1,0)+IF(ISNUMBER(SEARCH(MAP_TNHN!D55&amp;" (2 tiết)",'PL10'!$S$9)),1,0)+IF(ISNUMBER(SEARCH(MAP_TNHN!D55&amp;" (2 tiết)",'PL10'!$S$10)),1,0)+IF(ISNUMBER(SEARCH(MAP_TNHN!D55&amp;" (2 tiết)",'PL10'!$S$11)),1,0)+IF(ISNUMBER(SEARCH(MAP_TNHN!D55&amp;" (2 tiết)",'PL10'!$S$12)),1,0)+IF(ISNUMBER(SEARCH(MAP_TNHN!D55&amp;" (2 tiết)",'PL10'!$S$13)),1,0)+IF(ISNUMBER(SEARCH(MAP_TNHN!D55&amp;" (2 tiết)",'PL10'!$S$14)),1,0)+IF(ISNUMBER(SEARCH(MAP_TNHN!D55&amp;" (2 tiết)",'PL10'!$S$15)),1,0)+IF(ISNUMBER(SEARCH(MAP_TNHN!D55&amp;" (2 tiết)",'PL10'!$S$16)),1,0)+IF(ISNUMBER(SEARCH(MAP_TNHN!D55&amp;" (2 tiết)",'PL10'!$S$17)),1,0)+IF(ISNUMBER(SEARCH(MAP_TNHN!D55&amp;" (2 tiết)",'PL10'!$S$18)),1,0)+IF(ISNUMBER(SEARCH(MAP_TNHN!D55&amp;" (2 tiết)",'PL10'!$S$19)),1,0)+IF(ISNUMBER(SEARCH(MAP_TNHN!D55&amp;" (2 tiết)",'PL10'!$S$20)),1,0)+IF(ISNUMBER(SEARCH(MAP_TNHN!D55&amp;" (2 tiết)",'PL10'!$S$21)),1,0)+IF(ISNUMBER(SEARCH(MAP_TNHN!D55&amp;" (2 tiết)",'PL10'!$S$22)),1,0)+IF(ISNUMBER(SEARCH(MAP_TNHN!D55&amp;" (2 tiết)",'PL10'!$S$23)),1,0)+IF(ISNUMBER(SEARCH(MAP_TNHN!D55&amp;" (2 tiết)",'PL10'!$S$24)),1,0)+IF(ISNUMBER(SEARCH(MAP_TNHN!D55&amp;" (2 tiết)",'PL10'!$S$25)),1,0))))</f>
        <v>0</v>
      </c>
    </row>
    <row r="55" spans="1:51" x14ac:dyDescent="0.35">
      <c r="A55" s="311"/>
      <c r="B55" s="11">
        <v>4</v>
      </c>
      <c r="C55" s="12" t="s">
        <v>133</v>
      </c>
      <c r="D55" s="21">
        <v>12</v>
      </c>
      <c r="E55" s="45">
        <v>2</v>
      </c>
      <c r="F55" s="45">
        <v>1</v>
      </c>
      <c r="G55" s="45"/>
      <c r="H55" s="45">
        <v>2</v>
      </c>
      <c r="I55" s="308"/>
      <c r="J55" s="45"/>
      <c r="K55" s="46"/>
      <c r="L55" s="46"/>
      <c r="M55" s="46"/>
      <c r="N55" s="164"/>
      <c r="O55" s="46"/>
      <c r="P55" s="47">
        <v>3</v>
      </c>
      <c r="Q55" s="47"/>
      <c r="R55" s="225">
        <v>1</v>
      </c>
      <c r="S55" s="165"/>
      <c r="T55" s="47"/>
      <c r="U55" s="11">
        <f>E55*'Phân tiết'!$M$5+G55*('Phân tiết'!$M$21/3)+H55*'Phân tiết'!$L$26+AW55+J55*'Phân tiết'!$M$20+K55*'Phân tiết'!$I$5+M55*('Phân tiết'!$I$21/3)+AX55+O55*'Phân tiết'!$I$20+P55*'Phân tiết'!$E$5+R55*('Phân tiết'!$E$21/3)+AY55+T55*'Phân tiết'!$E$20</f>
        <v>20</v>
      </c>
      <c r="V55" s="8">
        <f t="shared" si="15"/>
        <v>4</v>
      </c>
      <c r="W55" s="6"/>
      <c r="X55" s="6"/>
      <c r="Y55" s="11">
        <v>0</v>
      </c>
      <c r="Z55" s="43">
        <f t="shared" si="16"/>
        <v>24</v>
      </c>
      <c r="AA55" s="34">
        <f t="shared" si="18"/>
        <v>7</v>
      </c>
      <c r="AB55" s="8"/>
      <c r="AC55" s="8"/>
      <c r="AD55" s="6">
        <f t="shared" si="3"/>
        <v>0</v>
      </c>
      <c r="AE55" s="8"/>
      <c r="AF55" s="8"/>
      <c r="AG55" s="6">
        <f t="shared" si="5"/>
        <v>0</v>
      </c>
      <c r="AH55" s="8"/>
      <c r="AI55" s="8"/>
      <c r="AJ55" s="6">
        <f t="shared" si="17"/>
        <v>0</v>
      </c>
      <c r="AK55" s="6">
        <f t="shared" si="6"/>
        <v>231</v>
      </c>
      <c r="AL55" s="11"/>
      <c r="AM55" s="11"/>
      <c r="AN55" s="11"/>
      <c r="AO55" s="11" t="s">
        <v>46</v>
      </c>
      <c r="AP55" s="11" t="s">
        <v>46</v>
      </c>
      <c r="AQ55" s="11" t="s">
        <v>46</v>
      </c>
      <c r="AR55" s="11"/>
      <c r="AS55" s="11"/>
      <c r="AT55" s="11" t="s">
        <v>46</v>
      </c>
      <c r="AU55" s="11"/>
      <c r="AV55" s="8"/>
      <c r="AW55">
        <f>IF(I55="",0,IF(MAP_TNHN!B56="",I55*3,I55*3-2*(IF(ISNUMBER(SEARCH(MAP_TNHN!B56&amp;" (1 tiết)",'PL12'!$S$5)),1,0)+IF(ISNUMBER(SEARCH(MAP_TNHN!B56&amp;" (1 tiết)",'PL12'!$S$6)),1,0)+IF(ISNUMBER(SEARCH(MAP_TNHN!B56&amp;" (1 tiết)",'PL12'!$S$7)),1,0)+IF(ISNUMBER(SEARCH(MAP_TNHN!B56&amp;" (1 tiết)",'PL12'!$S$8)),1,0)+IF(ISNUMBER(SEARCH(MAP_TNHN!B56&amp;" (1 tiết)",'PL12'!$S$9)),1,0)+IF(ISNUMBER(SEARCH(MAP_TNHN!B56&amp;" (1 tiết)",'PL12'!$S$10)),1,0)+IF(ISNUMBER(SEARCH(MAP_TNHN!B56&amp;" (1 tiết)",'PL12'!$S$11)),1,0)+IF(ISNUMBER(SEARCH(MAP_TNHN!B56&amp;" (1 tiết)",'PL12'!$S$12)),1,0)+IF(ISNUMBER(SEARCH(MAP_TNHN!B56&amp;" (1 tiết)",'PL12'!$S$13)),1,0)+IF(ISNUMBER(SEARCH(MAP_TNHN!B56&amp;" (1 tiết)",'PL12'!$S$14)),1,0)+IF(ISNUMBER(SEARCH(MAP_TNHN!B56&amp;" (1 tiết)",'PL12'!$S$15)),1,0)+IF(ISNUMBER(SEARCH(MAP_TNHN!B56&amp;" (1 tiết)",'PL12'!$S$16)),1,0)+IF(ISNUMBER(SEARCH(MAP_TNHN!B56&amp;" (1 tiết)",'PL12'!$S$17)),1,0)+IF(ISNUMBER(SEARCH(MAP_TNHN!B56&amp;" (1 tiết)",'PL12'!$S$18)),1,0)+IF(ISNUMBER(SEARCH(MAP_TNHN!B56&amp;" (1 tiết)",'PL12'!$S$19)),1,0))-(IF(ISNUMBER(SEARCH(MAP_TNHN!B56&amp;" (2 tiết)",'PL12'!$S$5)),1,0)+IF(ISNUMBER(SEARCH(MAP_TNHN!B56&amp;" (2 tiết)",'PL12'!$S$6)),1,0)+IF(ISNUMBER(SEARCH(MAP_TNHN!B56&amp;" (2 tiết)",'PL12'!$S$7)),1,0)+IF(ISNUMBER(SEARCH(MAP_TNHN!B56&amp;" (2 tiết)",'PL12'!$S$8)),1,0)+IF(ISNUMBER(SEARCH(MAP_TNHN!B56&amp;" (2 tiết)",'PL12'!$S$9)),1,0)+IF(ISNUMBER(SEARCH(MAP_TNHN!B56&amp;" (2 tiết)",'PL12'!$S$10)),1,0)+IF(ISNUMBER(SEARCH(MAP_TNHN!B56&amp;" (2 tiết)",'PL12'!$S$11)),1,0)+IF(ISNUMBER(SEARCH(MAP_TNHN!B56&amp;" (2 tiết)",'PL12'!$S$12)),1,0)+IF(ISNUMBER(SEARCH(MAP_TNHN!B56&amp;" (2 tiết)",'PL12'!$S$13)),1,0)+IF(ISNUMBER(SEARCH(MAP_TNHN!B56&amp;" (2 tiết)",'PL12'!$S$14)),1,0)+IF(ISNUMBER(SEARCH(MAP_TNHN!B56&amp;" (2 tiết)",'PL12'!$S$15)),1,0)+IF(ISNUMBER(SEARCH(MAP_TNHN!B56&amp;" (2 tiết)",'PL12'!$S$16)),1,0)+IF(ISNUMBER(SEARCH(MAP_TNHN!B56&amp;" (2 tiết)",'PL12'!$S$17)),1,0)+IF(ISNUMBER(SEARCH(MAP_TNHN!B56&amp;" (2 tiết)",'PL12'!$S$18)),1,0)+IF(ISNUMBER(SEARCH(MAP_TNHN!B56&amp;" (2 tiết)",'PL12'!$S$19)),1,0))))</f>
        <v>0</v>
      </c>
      <c r="AX55">
        <f>IF(N55="",0,IF(MAP_TNHN!C56="",N55*3,N55*3-2*(IF(ISNUMBER(SEARCH(MAP_TNHN!C56&amp;" (1 tiết)",'PL11'!$S$5)),1,0)+IF(ISNUMBER(SEARCH(MAP_TNHN!C56&amp;" (1 tiết)",'PL11'!$S$6)),1,0)+IF(ISNUMBER(SEARCH(MAP_TNHN!C56&amp;" (1 tiết)",'PL11'!$S$7)),1,0)+IF(ISNUMBER(SEARCH(MAP_TNHN!C56&amp;" (1 tiết)",'PL11'!$S$8)),1,0)+IF(ISNUMBER(SEARCH(MAP_TNHN!C56&amp;" (1 tiết)",'PL11'!$S$9)),1,0)+IF(ISNUMBER(SEARCH(MAP_TNHN!C56&amp;" (1 tiết)",'PL11'!$S$10)),1,0)+IF(ISNUMBER(SEARCH(MAP_TNHN!C56&amp;" (1 tiết)",'PL11'!$S$11)),1,0)+IF(ISNUMBER(SEARCH(MAP_TNHN!C56&amp;" (1 tiết)",'PL11'!$S$12)),1,0)+IF(ISNUMBER(SEARCH(MAP_TNHN!C56&amp;" (1 tiết)",'PL11'!$S$13)),1,0)+IF(ISNUMBER(SEARCH(MAP_TNHN!C56&amp;" (1 tiết)",'PL11'!$S$14)),1,0)+IF(ISNUMBER(SEARCH(MAP_TNHN!C56&amp;" (1 tiết)",'PL11'!$S$15)),1,0)+IF(ISNUMBER(SEARCH(MAP_TNHN!C56&amp;" (1 tiết)",'PL11'!$S$16)),1,0)+IF(ISNUMBER(SEARCH(MAP_TNHN!C56&amp;" (1 tiết)",'PL11'!$S$17)),1,0)+IF(ISNUMBER(SEARCH(MAP_TNHN!C56&amp;" (1 tiết)",'PL11'!$S$18)),1,0))-(IF(ISNUMBER(SEARCH(MAP_TNHN!C56&amp;" (2 tiết)",'PL11'!$S$5)),1,0)+IF(ISNUMBER(SEARCH(MAP_TNHN!C56&amp;" (2 tiết)",'PL11'!$S$6)),1,0)+IF(ISNUMBER(SEARCH(MAP_TNHN!C56&amp;" (2 tiết)",'PL11'!$S$7)),1,0)+IF(ISNUMBER(SEARCH(MAP_TNHN!C56&amp;" (2 tiết)",'PL11'!$S$8)),1,0)+IF(ISNUMBER(SEARCH(MAP_TNHN!C56&amp;" (2 tiết)",'PL11'!$S$9)),1,0)+IF(ISNUMBER(SEARCH(MAP_TNHN!C56&amp;" (2 tiết)",'PL11'!$S$10)),1,0)+IF(ISNUMBER(SEARCH(MAP_TNHN!C56&amp;" (2 tiết)",'PL11'!$S$11)),1,0)+IF(ISNUMBER(SEARCH(MAP_TNHN!C56&amp;" (2 tiết)",'PL11'!$S$12)),1,0)+IF(ISNUMBER(SEARCH(MAP_TNHN!C56&amp;" (2 tiết)",'PL11'!$S$13)),1,0)+IF(ISNUMBER(SEARCH(MAP_TNHN!C56&amp;" (2 tiết)",'PL11'!$S$14)),1,0)+IF(ISNUMBER(SEARCH(MAP_TNHN!C56&amp;" (2 tiết)",'PL11'!$S$15)),1,0)+IF(ISNUMBER(SEARCH(MAP_TNHN!C56&amp;" (2 tiết)",'PL11'!$S$16)),1,0)+IF(ISNUMBER(SEARCH(MAP_TNHN!C56&amp;" (2 tiết)",'PL11'!$S$17)),1,0)+IF(ISNUMBER(SEARCH(MAP_TNHN!C56&amp;" (2 tiết)",'PL11'!$S$18)),1,0))))</f>
        <v>0</v>
      </c>
      <c r="AY55">
        <f>IF(S55="",0,IF(MAP_TNHN!D56="",S55*3,S55*3-2*(IF(ISNUMBER(SEARCH(MAP_TNHN!D56&amp;" (1 tiết)",'PL10'!$S$5)),1,0)+IF(ISNUMBER(SEARCH(MAP_TNHN!D56&amp;" (1 tiết)",'PL10'!$S$6)),1,0)+IF(ISNUMBER(SEARCH(MAP_TNHN!D56&amp;" (1 tiết)",'PL10'!$S$7)),1,0)+IF(ISNUMBER(SEARCH(MAP_TNHN!D56&amp;" (1 tiết)",'PL10'!$S$8)),1,0)+IF(ISNUMBER(SEARCH(MAP_TNHN!D56&amp;" (1 tiết)",'PL10'!$S$9)),1,0)+IF(ISNUMBER(SEARCH(MAP_TNHN!D56&amp;" (1 tiết)",'PL10'!$S$10)),1,0)+IF(ISNUMBER(SEARCH(MAP_TNHN!D56&amp;" (1 tiết)",'PL10'!$S$11)),1,0)+IF(ISNUMBER(SEARCH(MAP_TNHN!D56&amp;" (1 tiết)",'PL10'!$S$12)),1,0)+IF(ISNUMBER(SEARCH(MAP_TNHN!D56&amp;" (1 tiết)",'PL10'!$S$13)),1,0)+IF(ISNUMBER(SEARCH(MAP_TNHN!D56&amp;" (1 tiết)",'PL10'!$S$14)),1,0)+IF(ISNUMBER(SEARCH(MAP_TNHN!D56&amp;" (1 tiết)",'PL10'!$S$15)),1,0)+IF(ISNUMBER(SEARCH(MAP_TNHN!D56&amp;" (1 tiết)",'PL10'!$S$16)),1,0)+IF(ISNUMBER(SEARCH(MAP_TNHN!D56&amp;" (1 tiết)",'PL10'!$S$17)),1,0)+IF(ISNUMBER(SEARCH(MAP_TNHN!D56&amp;" (1 tiết)",'PL10'!$S$18)),1,0)+IF(ISNUMBER(SEARCH(MAP_TNHN!D56&amp;" (1 tiết)",'PL10'!$S$19)),1,0)+IF(ISNUMBER(SEARCH(MAP_TNHN!D56&amp;" (1 tiết)",'PL10'!$S$20)),1,0)+IF(ISNUMBER(SEARCH(MAP_TNHN!D56&amp;" (1 tiết)",'PL10'!$S$21)),1,0)+IF(ISNUMBER(SEARCH(MAP_TNHN!D56&amp;" (1 tiết)",'PL10'!$S$22)),1,0)+IF(ISNUMBER(SEARCH(MAP_TNHN!D56&amp;" (1 tiết)",'PL10'!$S$23)),1,0)+IF(ISNUMBER(SEARCH(MAP_TNHN!D56&amp;" (1 tiết)",'PL10'!$S$24)),1,0)+IF(ISNUMBER(SEARCH(MAP_TNHN!D56&amp;" (1 tiết)",'PL10'!$S$25)),1,0))-(IF(ISNUMBER(SEARCH(MAP_TNHN!D56&amp;" (2 tiết)",'PL10'!$S$5)),1,0)+IF(ISNUMBER(SEARCH(MAP_TNHN!D56&amp;" (2 tiết)",'PL10'!$S$6)),1,0)+IF(ISNUMBER(SEARCH(MAP_TNHN!D56&amp;" (2 tiết)",'PL10'!$S$7)),1,0)+IF(ISNUMBER(SEARCH(MAP_TNHN!D56&amp;" (2 tiết)",'PL10'!$S$8)),1,0)+IF(ISNUMBER(SEARCH(MAP_TNHN!D56&amp;" (2 tiết)",'PL10'!$S$9)),1,0)+IF(ISNUMBER(SEARCH(MAP_TNHN!D56&amp;" (2 tiết)",'PL10'!$S$10)),1,0)+IF(ISNUMBER(SEARCH(MAP_TNHN!D56&amp;" (2 tiết)",'PL10'!$S$11)),1,0)+IF(ISNUMBER(SEARCH(MAP_TNHN!D56&amp;" (2 tiết)",'PL10'!$S$12)),1,0)+IF(ISNUMBER(SEARCH(MAP_TNHN!D56&amp;" (2 tiết)",'PL10'!$S$13)),1,0)+IF(ISNUMBER(SEARCH(MAP_TNHN!D56&amp;" (2 tiết)",'PL10'!$S$14)),1,0)+IF(ISNUMBER(SEARCH(MAP_TNHN!D56&amp;" (2 tiết)",'PL10'!$S$15)),1,0)+IF(ISNUMBER(SEARCH(MAP_TNHN!D56&amp;" (2 tiết)",'PL10'!$S$16)),1,0)+IF(ISNUMBER(SEARCH(MAP_TNHN!D56&amp;" (2 tiết)",'PL10'!$S$17)),1,0)+IF(ISNUMBER(SEARCH(MAP_TNHN!D56&amp;" (2 tiết)",'PL10'!$S$18)),1,0)+IF(ISNUMBER(SEARCH(MAP_TNHN!D56&amp;" (2 tiết)",'PL10'!$S$19)),1,0)+IF(ISNUMBER(SEARCH(MAP_TNHN!D56&amp;" (2 tiết)",'PL10'!$S$20)),1,0)+IF(ISNUMBER(SEARCH(MAP_TNHN!D56&amp;" (2 tiết)",'PL10'!$S$21)),1,0)+IF(ISNUMBER(SEARCH(MAP_TNHN!D56&amp;" (2 tiết)",'PL10'!$S$22)),1,0)+IF(ISNUMBER(SEARCH(MAP_TNHN!D56&amp;" (2 tiết)",'PL10'!$S$23)),1,0)+IF(ISNUMBER(SEARCH(MAP_TNHN!D56&amp;" (2 tiết)",'PL10'!$S$24)),1,0)+IF(ISNUMBER(SEARCH(MAP_TNHN!D56&amp;" (2 tiết)",'PL10'!$S$25)),1,0))))</f>
        <v>0</v>
      </c>
    </row>
    <row r="56" spans="1:51" x14ac:dyDescent="0.35">
      <c r="A56" s="311"/>
      <c r="B56" s="11">
        <v>5</v>
      </c>
      <c r="C56" s="12" t="s">
        <v>134</v>
      </c>
      <c r="D56" s="21">
        <v>11</v>
      </c>
      <c r="E56" s="45"/>
      <c r="F56" s="45"/>
      <c r="G56" s="45"/>
      <c r="H56" s="45"/>
      <c r="I56" s="161"/>
      <c r="J56" s="45"/>
      <c r="K56" s="46">
        <v>2</v>
      </c>
      <c r="L56" s="46">
        <v>1</v>
      </c>
      <c r="M56" s="46">
        <v>1</v>
      </c>
      <c r="N56" s="168">
        <v>1</v>
      </c>
      <c r="O56" s="46"/>
      <c r="P56" s="47">
        <v>3</v>
      </c>
      <c r="Q56" s="47"/>
      <c r="R56" s="47">
        <v>2</v>
      </c>
      <c r="S56" s="165"/>
      <c r="T56" s="47"/>
      <c r="U56" s="11">
        <f>E56*'Phân tiết'!$M$5+G56*('Phân tiết'!$M$21/3)+H56*'Phân tiết'!$L$26+AW56+J56*'Phân tiết'!$M$20+K56*'Phân tiết'!$I$5+M56*('Phân tiết'!$I$21/3)+AX56+O56*'Phân tiết'!$I$20+P56*'Phân tiết'!$E$5+R56*('Phân tiết'!$E$21/3)+AY56+T56*'Phân tiết'!$E$20</f>
        <v>19</v>
      </c>
      <c r="V56" s="8">
        <f t="shared" si="15"/>
        <v>4</v>
      </c>
      <c r="W56" s="6"/>
      <c r="X56" s="6"/>
      <c r="Y56" s="11"/>
      <c r="Z56" s="43">
        <f t="shared" si="16"/>
        <v>23</v>
      </c>
      <c r="AA56" s="34">
        <f t="shared" si="18"/>
        <v>6</v>
      </c>
      <c r="AB56" s="8"/>
      <c r="AC56" s="8"/>
      <c r="AD56" s="6">
        <f t="shared" si="3"/>
        <v>0</v>
      </c>
      <c r="AE56" s="8"/>
      <c r="AF56" s="8"/>
      <c r="AG56" s="6">
        <f t="shared" si="5"/>
        <v>0</v>
      </c>
      <c r="AH56" s="8"/>
      <c r="AI56" s="8"/>
      <c r="AJ56" s="6">
        <f t="shared" si="17"/>
        <v>0</v>
      </c>
      <c r="AK56" s="6">
        <f t="shared" si="6"/>
        <v>198</v>
      </c>
      <c r="AL56" s="11"/>
      <c r="AM56"/>
      <c r="AN56" s="11"/>
      <c r="AO56" s="11" t="s">
        <v>46</v>
      </c>
      <c r="AP56" s="11" t="s">
        <v>46</v>
      </c>
      <c r="AQ56" s="11" t="s">
        <v>46</v>
      </c>
      <c r="AR56" s="11"/>
      <c r="AS56" s="11"/>
      <c r="AT56" s="11" t="s">
        <v>46</v>
      </c>
      <c r="AU56" s="11"/>
      <c r="AV56" s="8"/>
      <c r="AW56">
        <f>IF(I56="",0,IF(MAP_TNHN!B57="",I56*3,I56*3-2*(IF(ISNUMBER(SEARCH(MAP_TNHN!B57&amp;" (1 tiết)",'PL12'!$S$5)),1,0)+IF(ISNUMBER(SEARCH(MAP_TNHN!B57&amp;" (1 tiết)",'PL12'!$S$6)),1,0)+IF(ISNUMBER(SEARCH(MAP_TNHN!B57&amp;" (1 tiết)",'PL12'!$S$7)),1,0)+IF(ISNUMBER(SEARCH(MAP_TNHN!B57&amp;" (1 tiết)",'PL12'!$S$8)),1,0)+IF(ISNUMBER(SEARCH(MAP_TNHN!B57&amp;" (1 tiết)",'PL12'!$S$9)),1,0)+IF(ISNUMBER(SEARCH(MAP_TNHN!B57&amp;" (1 tiết)",'PL12'!$S$10)),1,0)+IF(ISNUMBER(SEARCH(MAP_TNHN!B57&amp;" (1 tiết)",'PL12'!$S$11)),1,0)+IF(ISNUMBER(SEARCH(MAP_TNHN!B57&amp;" (1 tiết)",'PL12'!$S$12)),1,0)+IF(ISNUMBER(SEARCH(MAP_TNHN!B57&amp;" (1 tiết)",'PL12'!$S$13)),1,0)+IF(ISNUMBER(SEARCH(MAP_TNHN!B57&amp;" (1 tiết)",'PL12'!$S$14)),1,0)+IF(ISNUMBER(SEARCH(MAP_TNHN!B57&amp;" (1 tiết)",'PL12'!$S$15)),1,0)+IF(ISNUMBER(SEARCH(MAP_TNHN!B57&amp;" (1 tiết)",'PL12'!$S$16)),1,0)+IF(ISNUMBER(SEARCH(MAP_TNHN!B57&amp;" (1 tiết)",'PL12'!$S$17)),1,0)+IF(ISNUMBER(SEARCH(MAP_TNHN!B57&amp;" (1 tiết)",'PL12'!$S$18)),1,0)+IF(ISNUMBER(SEARCH(MAP_TNHN!B57&amp;" (1 tiết)",'PL12'!$S$19)),1,0))-(IF(ISNUMBER(SEARCH(MAP_TNHN!B57&amp;" (2 tiết)",'PL12'!$S$5)),1,0)+IF(ISNUMBER(SEARCH(MAP_TNHN!B57&amp;" (2 tiết)",'PL12'!$S$6)),1,0)+IF(ISNUMBER(SEARCH(MAP_TNHN!B57&amp;" (2 tiết)",'PL12'!$S$7)),1,0)+IF(ISNUMBER(SEARCH(MAP_TNHN!B57&amp;" (2 tiết)",'PL12'!$S$8)),1,0)+IF(ISNUMBER(SEARCH(MAP_TNHN!B57&amp;" (2 tiết)",'PL12'!$S$9)),1,0)+IF(ISNUMBER(SEARCH(MAP_TNHN!B57&amp;" (2 tiết)",'PL12'!$S$10)),1,0)+IF(ISNUMBER(SEARCH(MAP_TNHN!B57&amp;" (2 tiết)",'PL12'!$S$11)),1,0)+IF(ISNUMBER(SEARCH(MAP_TNHN!B57&amp;" (2 tiết)",'PL12'!$S$12)),1,0)+IF(ISNUMBER(SEARCH(MAP_TNHN!B57&amp;" (2 tiết)",'PL12'!$S$13)),1,0)+IF(ISNUMBER(SEARCH(MAP_TNHN!B57&amp;" (2 tiết)",'PL12'!$S$14)),1,0)+IF(ISNUMBER(SEARCH(MAP_TNHN!B57&amp;" (2 tiết)",'PL12'!$S$15)),1,0)+IF(ISNUMBER(SEARCH(MAP_TNHN!B57&amp;" (2 tiết)",'PL12'!$S$16)),1,0)+IF(ISNUMBER(SEARCH(MAP_TNHN!B57&amp;" (2 tiết)",'PL12'!$S$17)),1,0)+IF(ISNUMBER(SEARCH(MAP_TNHN!B57&amp;" (2 tiết)",'PL12'!$S$18)),1,0)+IF(ISNUMBER(SEARCH(MAP_TNHN!B57&amp;" (2 tiết)",'PL12'!$S$19)),1,0))))</f>
        <v>0</v>
      </c>
      <c r="AX56">
        <f>IF(N56="",0,IF(MAP_TNHN!C57="",N56*3,N56*3-2*(IF(ISNUMBER(SEARCH(MAP_TNHN!C57&amp;" (1 tiết)",'PL11'!$S$5)),1,0)+IF(ISNUMBER(SEARCH(MAP_TNHN!C57&amp;" (1 tiết)",'PL11'!$S$6)),1,0)+IF(ISNUMBER(SEARCH(MAP_TNHN!C57&amp;" (1 tiết)",'PL11'!$S$7)),1,0)+IF(ISNUMBER(SEARCH(MAP_TNHN!C57&amp;" (1 tiết)",'PL11'!$S$8)),1,0)+IF(ISNUMBER(SEARCH(MAP_TNHN!C57&amp;" (1 tiết)",'PL11'!$S$9)),1,0)+IF(ISNUMBER(SEARCH(MAP_TNHN!C57&amp;" (1 tiết)",'PL11'!$S$10)),1,0)+IF(ISNUMBER(SEARCH(MAP_TNHN!C57&amp;" (1 tiết)",'PL11'!$S$11)),1,0)+IF(ISNUMBER(SEARCH(MAP_TNHN!C57&amp;" (1 tiết)",'PL11'!$S$12)),1,0)+IF(ISNUMBER(SEARCH(MAP_TNHN!C57&amp;" (1 tiết)",'PL11'!$S$13)),1,0)+IF(ISNUMBER(SEARCH(MAP_TNHN!C57&amp;" (1 tiết)",'PL11'!$S$14)),1,0)+IF(ISNUMBER(SEARCH(MAP_TNHN!C57&amp;" (1 tiết)",'PL11'!$S$15)),1,0)+IF(ISNUMBER(SEARCH(MAP_TNHN!C57&amp;" (1 tiết)",'PL11'!$S$16)),1,0)+IF(ISNUMBER(SEARCH(MAP_TNHN!C57&amp;" (1 tiết)",'PL11'!$S$17)),1,0)+IF(ISNUMBER(SEARCH(MAP_TNHN!C57&amp;" (1 tiết)",'PL11'!$S$18)),1,0))-(IF(ISNUMBER(SEARCH(MAP_TNHN!C57&amp;" (2 tiết)",'PL11'!$S$5)),1,0)+IF(ISNUMBER(SEARCH(MAP_TNHN!C57&amp;" (2 tiết)",'PL11'!$S$6)),1,0)+IF(ISNUMBER(SEARCH(MAP_TNHN!C57&amp;" (2 tiết)",'PL11'!$S$7)),1,0)+IF(ISNUMBER(SEARCH(MAP_TNHN!C57&amp;" (2 tiết)",'PL11'!$S$8)),1,0)+IF(ISNUMBER(SEARCH(MAP_TNHN!C57&amp;" (2 tiết)",'PL11'!$S$9)),1,0)+IF(ISNUMBER(SEARCH(MAP_TNHN!C57&amp;" (2 tiết)",'PL11'!$S$10)),1,0)+IF(ISNUMBER(SEARCH(MAP_TNHN!C57&amp;" (2 tiết)",'PL11'!$S$11)),1,0)+IF(ISNUMBER(SEARCH(MAP_TNHN!C57&amp;" (2 tiết)",'PL11'!$S$12)),1,0)+IF(ISNUMBER(SEARCH(MAP_TNHN!C57&amp;" (2 tiết)",'PL11'!$S$13)),1,0)+IF(ISNUMBER(SEARCH(MAP_TNHN!C57&amp;" (2 tiết)",'PL11'!$S$14)),1,0)+IF(ISNUMBER(SEARCH(MAP_TNHN!C57&amp;" (2 tiết)",'PL11'!$S$15)),1,0)+IF(ISNUMBER(SEARCH(MAP_TNHN!C57&amp;" (2 tiết)",'PL11'!$S$16)),1,0)+IF(ISNUMBER(SEARCH(MAP_TNHN!C57&amp;" (2 tiết)",'PL11'!$S$17)),1,0)+IF(ISNUMBER(SEARCH(MAP_TNHN!C57&amp;" (2 tiết)",'PL11'!$S$18)),1,0))))</f>
        <v>1</v>
      </c>
      <c r="AY56">
        <f>IF(S56="",0,IF(MAP_TNHN!D57="",S56*3,S56*3-2*(IF(ISNUMBER(SEARCH(MAP_TNHN!D57&amp;" (1 tiết)",'PL10'!$S$5)),1,0)+IF(ISNUMBER(SEARCH(MAP_TNHN!D57&amp;" (1 tiết)",'PL10'!$S$6)),1,0)+IF(ISNUMBER(SEARCH(MAP_TNHN!D57&amp;" (1 tiết)",'PL10'!$S$7)),1,0)+IF(ISNUMBER(SEARCH(MAP_TNHN!D57&amp;" (1 tiết)",'PL10'!$S$8)),1,0)+IF(ISNUMBER(SEARCH(MAP_TNHN!D57&amp;" (1 tiết)",'PL10'!$S$9)),1,0)+IF(ISNUMBER(SEARCH(MAP_TNHN!D57&amp;" (1 tiết)",'PL10'!$S$10)),1,0)+IF(ISNUMBER(SEARCH(MAP_TNHN!D57&amp;" (1 tiết)",'PL10'!$S$11)),1,0)+IF(ISNUMBER(SEARCH(MAP_TNHN!D57&amp;" (1 tiết)",'PL10'!$S$12)),1,0)+IF(ISNUMBER(SEARCH(MAP_TNHN!D57&amp;" (1 tiết)",'PL10'!$S$13)),1,0)+IF(ISNUMBER(SEARCH(MAP_TNHN!D57&amp;" (1 tiết)",'PL10'!$S$14)),1,0)+IF(ISNUMBER(SEARCH(MAP_TNHN!D57&amp;" (1 tiết)",'PL10'!$S$15)),1,0)+IF(ISNUMBER(SEARCH(MAP_TNHN!D57&amp;" (1 tiết)",'PL10'!$S$16)),1,0)+IF(ISNUMBER(SEARCH(MAP_TNHN!D57&amp;" (1 tiết)",'PL10'!$S$17)),1,0)+IF(ISNUMBER(SEARCH(MAP_TNHN!D57&amp;" (1 tiết)",'PL10'!$S$18)),1,0)+IF(ISNUMBER(SEARCH(MAP_TNHN!D57&amp;" (1 tiết)",'PL10'!$S$19)),1,0)+IF(ISNUMBER(SEARCH(MAP_TNHN!D57&amp;" (1 tiết)",'PL10'!$S$20)),1,0)+IF(ISNUMBER(SEARCH(MAP_TNHN!D57&amp;" (1 tiết)",'PL10'!$S$21)),1,0)+IF(ISNUMBER(SEARCH(MAP_TNHN!D57&amp;" (1 tiết)",'PL10'!$S$22)),1,0)+IF(ISNUMBER(SEARCH(MAP_TNHN!D57&amp;" (1 tiết)",'PL10'!$S$23)),1,0)+IF(ISNUMBER(SEARCH(MAP_TNHN!D57&amp;" (1 tiết)",'PL10'!$S$24)),1,0)+IF(ISNUMBER(SEARCH(MAP_TNHN!D57&amp;" (1 tiết)",'PL10'!$S$25)),1,0))-(IF(ISNUMBER(SEARCH(MAP_TNHN!D57&amp;" (2 tiết)",'PL10'!$S$5)),1,0)+IF(ISNUMBER(SEARCH(MAP_TNHN!D57&amp;" (2 tiết)",'PL10'!$S$6)),1,0)+IF(ISNUMBER(SEARCH(MAP_TNHN!D57&amp;" (2 tiết)",'PL10'!$S$7)),1,0)+IF(ISNUMBER(SEARCH(MAP_TNHN!D57&amp;" (2 tiết)",'PL10'!$S$8)),1,0)+IF(ISNUMBER(SEARCH(MAP_TNHN!D57&amp;" (2 tiết)",'PL10'!$S$9)),1,0)+IF(ISNUMBER(SEARCH(MAP_TNHN!D57&amp;" (2 tiết)",'PL10'!$S$10)),1,0)+IF(ISNUMBER(SEARCH(MAP_TNHN!D57&amp;" (2 tiết)",'PL10'!$S$11)),1,0)+IF(ISNUMBER(SEARCH(MAP_TNHN!D57&amp;" (2 tiết)",'PL10'!$S$12)),1,0)+IF(ISNUMBER(SEARCH(MAP_TNHN!D57&amp;" (2 tiết)",'PL10'!$S$13)),1,0)+IF(ISNUMBER(SEARCH(MAP_TNHN!D57&amp;" (2 tiết)",'PL10'!$S$14)),1,0)+IF(ISNUMBER(SEARCH(MAP_TNHN!D57&amp;" (2 tiết)",'PL10'!$S$15)),1,0)+IF(ISNUMBER(SEARCH(MAP_TNHN!D57&amp;" (2 tiết)",'PL10'!$S$16)),1,0)+IF(ISNUMBER(SEARCH(MAP_TNHN!D57&amp;" (2 tiết)",'PL10'!$S$17)),1,0)+IF(ISNUMBER(SEARCH(MAP_TNHN!D57&amp;" (2 tiết)",'PL10'!$S$18)),1,0)+IF(ISNUMBER(SEARCH(MAP_TNHN!D57&amp;" (2 tiết)",'PL10'!$S$19)),1,0)+IF(ISNUMBER(SEARCH(MAP_TNHN!D57&amp;" (2 tiết)",'PL10'!$S$20)),1,0)+IF(ISNUMBER(SEARCH(MAP_TNHN!D57&amp;" (2 tiết)",'PL10'!$S$21)),1,0)+IF(ISNUMBER(SEARCH(MAP_TNHN!D57&amp;" (2 tiết)",'PL10'!$S$22)),1,0)+IF(ISNUMBER(SEARCH(MAP_TNHN!D57&amp;" (2 tiết)",'PL10'!$S$23)),1,0)+IF(ISNUMBER(SEARCH(MAP_TNHN!D57&amp;" (2 tiết)",'PL10'!$S$24)),1,0)+IF(ISNUMBER(SEARCH(MAP_TNHN!D57&amp;" (2 tiết)",'PL10'!$S$25)),1,0))))</f>
        <v>0</v>
      </c>
    </row>
    <row r="57" spans="1:51" x14ac:dyDescent="0.35">
      <c r="A57" s="311"/>
      <c r="B57" s="11">
        <v>6</v>
      </c>
      <c r="C57" s="12" t="s">
        <v>135</v>
      </c>
      <c r="D57" s="21"/>
      <c r="E57" s="45"/>
      <c r="F57" s="45"/>
      <c r="G57" s="45"/>
      <c r="H57" s="45"/>
      <c r="I57" s="161"/>
      <c r="J57" s="45"/>
      <c r="K57" s="46">
        <v>2</v>
      </c>
      <c r="L57" s="46"/>
      <c r="M57" s="46">
        <v>2</v>
      </c>
      <c r="N57" s="164">
        <v>1</v>
      </c>
      <c r="O57" s="46"/>
      <c r="P57" s="47">
        <v>3</v>
      </c>
      <c r="Q57" s="47"/>
      <c r="R57" s="47">
        <v>2</v>
      </c>
      <c r="S57" s="165"/>
      <c r="T57" s="47"/>
      <c r="U57" s="11">
        <f>E57*'Phân tiết'!$M$5+G57*('Phân tiết'!$M$21/3)+H57*'Phân tiết'!$L$26+AW57+J57*'Phân tiết'!$M$20+K57*'Phân tiết'!$I$5+M57*('Phân tiết'!$I$21/3)+AX57+O57*'Phân tiết'!$I$20+P57*'Phân tiết'!$E$5+R57*('Phân tiết'!$E$21/3)+AY57+T57*'Phân tiết'!$E$20</f>
        <v>21</v>
      </c>
      <c r="V57" s="8">
        <f t="shared" si="15"/>
        <v>0</v>
      </c>
      <c r="W57" s="6" t="s">
        <v>51</v>
      </c>
      <c r="X57" s="6"/>
      <c r="Y57" s="11">
        <v>1</v>
      </c>
      <c r="Z57" s="43">
        <f t="shared" si="16"/>
        <v>22</v>
      </c>
      <c r="AA57" s="34">
        <f t="shared" si="18"/>
        <v>5</v>
      </c>
      <c r="AB57" s="8"/>
      <c r="AC57" s="8"/>
      <c r="AD57" s="6">
        <f t="shared" si="3"/>
        <v>0</v>
      </c>
      <c r="AE57" s="8"/>
      <c r="AF57" s="8"/>
      <c r="AG57" s="6">
        <f t="shared" si="5"/>
        <v>0</v>
      </c>
      <c r="AH57" s="8"/>
      <c r="AI57" s="8"/>
      <c r="AJ57" s="6">
        <f t="shared" si="17"/>
        <v>0</v>
      </c>
      <c r="AK57" s="6">
        <f t="shared" si="6"/>
        <v>165</v>
      </c>
      <c r="AL57" s="11"/>
      <c r="AM57" s="8"/>
      <c r="AN57" s="11"/>
      <c r="AO57" s="11" t="s">
        <v>46</v>
      </c>
      <c r="AP57" s="11"/>
      <c r="AQ57" s="11" t="s">
        <v>46</v>
      </c>
      <c r="AR57" s="11" t="s">
        <v>46</v>
      </c>
      <c r="AS57" s="11" t="s">
        <v>46</v>
      </c>
      <c r="AT57" s="11" t="s">
        <v>46</v>
      </c>
      <c r="AU57" s="11"/>
      <c r="AV57" s="8"/>
      <c r="AW57">
        <f>IF(I57="",0,IF(MAP_TNHN!B58="",I57*3,I57*3-2*(IF(ISNUMBER(SEARCH(MAP_TNHN!B58&amp;" (1 tiết)",'PL12'!$S$5)),1,0)+IF(ISNUMBER(SEARCH(MAP_TNHN!B58&amp;" (1 tiết)",'PL12'!$S$6)),1,0)+IF(ISNUMBER(SEARCH(MAP_TNHN!B58&amp;" (1 tiết)",'PL12'!$S$7)),1,0)+IF(ISNUMBER(SEARCH(MAP_TNHN!B58&amp;" (1 tiết)",'PL12'!$S$8)),1,0)+IF(ISNUMBER(SEARCH(MAP_TNHN!B58&amp;" (1 tiết)",'PL12'!$S$9)),1,0)+IF(ISNUMBER(SEARCH(MAP_TNHN!B58&amp;" (1 tiết)",'PL12'!$S$10)),1,0)+IF(ISNUMBER(SEARCH(MAP_TNHN!B58&amp;" (1 tiết)",'PL12'!$S$11)),1,0)+IF(ISNUMBER(SEARCH(MAP_TNHN!B58&amp;" (1 tiết)",'PL12'!$S$12)),1,0)+IF(ISNUMBER(SEARCH(MAP_TNHN!B58&amp;" (1 tiết)",'PL12'!$S$13)),1,0)+IF(ISNUMBER(SEARCH(MAP_TNHN!B58&amp;" (1 tiết)",'PL12'!$S$14)),1,0)+IF(ISNUMBER(SEARCH(MAP_TNHN!B58&amp;" (1 tiết)",'PL12'!$S$15)),1,0)+IF(ISNUMBER(SEARCH(MAP_TNHN!B58&amp;" (1 tiết)",'PL12'!$S$16)),1,0)+IF(ISNUMBER(SEARCH(MAP_TNHN!B58&amp;" (1 tiết)",'PL12'!$S$17)),1,0)+IF(ISNUMBER(SEARCH(MAP_TNHN!B58&amp;" (1 tiết)",'PL12'!$S$18)),1,0)+IF(ISNUMBER(SEARCH(MAP_TNHN!B58&amp;" (1 tiết)",'PL12'!$S$19)),1,0))-(IF(ISNUMBER(SEARCH(MAP_TNHN!B58&amp;" (2 tiết)",'PL12'!$S$5)),1,0)+IF(ISNUMBER(SEARCH(MAP_TNHN!B58&amp;" (2 tiết)",'PL12'!$S$6)),1,0)+IF(ISNUMBER(SEARCH(MAP_TNHN!B58&amp;" (2 tiết)",'PL12'!$S$7)),1,0)+IF(ISNUMBER(SEARCH(MAP_TNHN!B58&amp;" (2 tiết)",'PL12'!$S$8)),1,0)+IF(ISNUMBER(SEARCH(MAP_TNHN!B58&amp;" (2 tiết)",'PL12'!$S$9)),1,0)+IF(ISNUMBER(SEARCH(MAP_TNHN!B58&amp;" (2 tiết)",'PL12'!$S$10)),1,0)+IF(ISNUMBER(SEARCH(MAP_TNHN!B58&amp;" (2 tiết)",'PL12'!$S$11)),1,0)+IF(ISNUMBER(SEARCH(MAP_TNHN!B58&amp;" (2 tiết)",'PL12'!$S$12)),1,0)+IF(ISNUMBER(SEARCH(MAP_TNHN!B58&amp;" (2 tiết)",'PL12'!$S$13)),1,0)+IF(ISNUMBER(SEARCH(MAP_TNHN!B58&amp;" (2 tiết)",'PL12'!$S$14)),1,0)+IF(ISNUMBER(SEARCH(MAP_TNHN!B58&amp;" (2 tiết)",'PL12'!$S$15)),1,0)+IF(ISNUMBER(SEARCH(MAP_TNHN!B58&amp;" (2 tiết)",'PL12'!$S$16)),1,0)+IF(ISNUMBER(SEARCH(MAP_TNHN!B58&amp;" (2 tiết)",'PL12'!$S$17)),1,0)+IF(ISNUMBER(SEARCH(MAP_TNHN!B58&amp;" (2 tiết)",'PL12'!$S$18)),1,0)+IF(ISNUMBER(SEARCH(MAP_TNHN!B58&amp;" (2 tiết)",'PL12'!$S$19)),1,0))))</f>
        <v>0</v>
      </c>
      <c r="AX57">
        <f>IF(N57="",0,IF(MAP_TNHN!C58="",N57*3,N57*3-2*(IF(ISNUMBER(SEARCH(MAP_TNHN!C58&amp;" (1 tiết)",'PL11'!$S$5)),1,0)+IF(ISNUMBER(SEARCH(MAP_TNHN!C58&amp;" (1 tiết)",'PL11'!$S$6)),1,0)+IF(ISNUMBER(SEARCH(MAP_TNHN!C58&amp;" (1 tiết)",'PL11'!$S$7)),1,0)+IF(ISNUMBER(SEARCH(MAP_TNHN!C58&amp;" (1 tiết)",'PL11'!$S$8)),1,0)+IF(ISNUMBER(SEARCH(MAP_TNHN!C58&amp;" (1 tiết)",'PL11'!$S$9)),1,0)+IF(ISNUMBER(SEARCH(MAP_TNHN!C58&amp;" (1 tiết)",'PL11'!$S$10)),1,0)+IF(ISNUMBER(SEARCH(MAP_TNHN!C58&amp;" (1 tiết)",'PL11'!$S$11)),1,0)+IF(ISNUMBER(SEARCH(MAP_TNHN!C58&amp;" (1 tiết)",'PL11'!$S$12)),1,0)+IF(ISNUMBER(SEARCH(MAP_TNHN!C58&amp;" (1 tiết)",'PL11'!$S$13)),1,0)+IF(ISNUMBER(SEARCH(MAP_TNHN!C58&amp;" (1 tiết)",'PL11'!$S$14)),1,0)+IF(ISNUMBER(SEARCH(MAP_TNHN!C58&amp;" (1 tiết)",'PL11'!$S$15)),1,0)+IF(ISNUMBER(SEARCH(MAP_TNHN!C58&amp;" (1 tiết)",'PL11'!$S$16)),1,0)+IF(ISNUMBER(SEARCH(MAP_TNHN!C58&amp;" (1 tiết)",'PL11'!$S$17)),1,0)+IF(ISNUMBER(SEARCH(MAP_TNHN!C58&amp;" (1 tiết)",'PL11'!$S$18)),1,0))-(IF(ISNUMBER(SEARCH(MAP_TNHN!C58&amp;" (2 tiết)",'PL11'!$S$5)),1,0)+IF(ISNUMBER(SEARCH(MAP_TNHN!C58&amp;" (2 tiết)",'PL11'!$S$6)),1,0)+IF(ISNUMBER(SEARCH(MAP_TNHN!C58&amp;" (2 tiết)",'PL11'!$S$7)),1,0)+IF(ISNUMBER(SEARCH(MAP_TNHN!C58&amp;" (2 tiết)",'PL11'!$S$8)),1,0)+IF(ISNUMBER(SEARCH(MAP_TNHN!C58&amp;" (2 tiết)",'PL11'!$S$9)),1,0)+IF(ISNUMBER(SEARCH(MAP_TNHN!C58&amp;" (2 tiết)",'PL11'!$S$10)),1,0)+IF(ISNUMBER(SEARCH(MAP_TNHN!C58&amp;" (2 tiết)",'PL11'!$S$11)),1,0)+IF(ISNUMBER(SEARCH(MAP_TNHN!C58&amp;" (2 tiết)",'PL11'!$S$12)),1,0)+IF(ISNUMBER(SEARCH(MAP_TNHN!C58&amp;" (2 tiết)",'PL11'!$S$13)),1,0)+IF(ISNUMBER(SEARCH(MAP_TNHN!C58&amp;" (2 tiết)",'PL11'!$S$14)),1,0)+IF(ISNUMBER(SEARCH(MAP_TNHN!C58&amp;" (2 tiết)",'PL11'!$S$15)),1,0)+IF(ISNUMBER(SEARCH(MAP_TNHN!C58&amp;" (2 tiết)",'PL11'!$S$16)),1,0)+IF(ISNUMBER(SEARCH(MAP_TNHN!C58&amp;" (2 tiết)",'PL11'!$S$17)),1,0)+IF(ISNUMBER(SEARCH(MAP_TNHN!C58&amp;" (2 tiết)",'PL11'!$S$18)),1,0))))</f>
        <v>2</v>
      </c>
      <c r="AY57">
        <f>IF(S57="",0,IF(MAP_TNHN!D58="",S57*3,S57*3-2*(IF(ISNUMBER(SEARCH(MAP_TNHN!D58&amp;" (1 tiết)",'PL10'!$S$5)),1,0)+IF(ISNUMBER(SEARCH(MAP_TNHN!D58&amp;" (1 tiết)",'PL10'!$S$6)),1,0)+IF(ISNUMBER(SEARCH(MAP_TNHN!D58&amp;" (1 tiết)",'PL10'!$S$7)),1,0)+IF(ISNUMBER(SEARCH(MAP_TNHN!D58&amp;" (1 tiết)",'PL10'!$S$8)),1,0)+IF(ISNUMBER(SEARCH(MAP_TNHN!D58&amp;" (1 tiết)",'PL10'!$S$9)),1,0)+IF(ISNUMBER(SEARCH(MAP_TNHN!D58&amp;" (1 tiết)",'PL10'!$S$10)),1,0)+IF(ISNUMBER(SEARCH(MAP_TNHN!D58&amp;" (1 tiết)",'PL10'!$S$11)),1,0)+IF(ISNUMBER(SEARCH(MAP_TNHN!D58&amp;" (1 tiết)",'PL10'!$S$12)),1,0)+IF(ISNUMBER(SEARCH(MAP_TNHN!D58&amp;" (1 tiết)",'PL10'!$S$13)),1,0)+IF(ISNUMBER(SEARCH(MAP_TNHN!D58&amp;" (1 tiết)",'PL10'!$S$14)),1,0)+IF(ISNUMBER(SEARCH(MAP_TNHN!D58&amp;" (1 tiết)",'PL10'!$S$15)),1,0)+IF(ISNUMBER(SEARCH(MAP_TNHN!D58&amp;" (1 tiết)",'PL10'!$S$16)),1,0)+IF(ISNUMBER(SEARCH(MAP_TNHN!D58&amp;" (1 tiết)",'PL10'!$S$17)),1,0)+IF(ISNUMBER(SEARCH(MAP_TNHN!D58&amp;" (1 tiết)",'PL10'!$S$18)),1,0)+IF(ISNUMBER(SEARCH(MAP_TNHN!D58&amp;" (1 tiết)",'PL10'!$S$19)),1,0)+IF(ISNUMBER(SEARCH(MAP_TNHN!D58&amp;" (1 tiết)",'PL10'!$S$20)),1,0)+IF(ISNUMBER(SEARCH(MAP_TNHN!D58&amp;" (1 tiết)",'PL10'!$S$21)),1,0)+IF(ISNUMBER(SEARCH(MAP_TNHN!D58&amp;" (1 tiết)",'PL10'!$S$22)),1,0)+IF(ISNUMBER(SEARCH(MAP_TNHN!D58&amp;" (1 tiết)",'PL10'!$S$23)),1,0)+IF(ISNUMBER(SEARCH(MAP_TNHN!D58&amp;" (1 tiết)",'PL10'!$S$24)),1,0)+IF(ISNUMBER(SEARCH(MAP_TNHN!D58&amp;" (1 tiết)",'PL10'!$S$25)),1,0))-(IF(ISNUMBER(SEARCH(MAP_TNHN!D58&amp;" (2 tiết)",'PL10'!$S$5)),1,0)+IF(ISNUMBER(SEARCH(MAP_TNHN!D58&amp;" (2 tiết)",'PL10'!$S$6)),1,0)+IF(ISNUMBER(SEARCH(MAP_TNHN!D58&amp;" (2 tiết)",'PL10'!$S$7)),1,0)+IF(ISNUMBER(SEARCH(MAP_TNHN!D58&amp;" (2 tiết)",'PL10'!$S$8)),1,0)+IF(ISNUMBER(SEARCH(MAP_TNHN!D58&amp;" (2 tiết)",'PL10'!$S$9)),1,0)+IF(ISNUMBER(SEARCH(MAP_TNHN!D58&amp;" (2 tiết)",'PL10'!$S$10)),1,0)+IF(ISNUMBER(SEARCH(MAP_TNHN!D58&amp;" (2 tiết)",'PL10'!$S$11)),1,0)+IF(ISNUMBER(SEARCH(MAP_TNHN!D58&amp;" (2 tiết)",'PL10'!$S$12)),1,0)+IF(ISNUMBER(SEARCH(MAP_TNHN!D58&amp;" (2 tiết)",'PL10'!$S$13)),1,0)+IF(ISNUMBER(SEARCH(MAP_TNHN!D58&amp;" (2 tiết)",'PL10'!$S$14)),1,0)+IF(ISNUMBER(SEARCH(MAP_TNHN!D58&amp;" (2 tiết)",'PL10'!$S$15)),1,0)+IF(ISNUMBER(SEARCH(MAP_TNHN!D58&amp;" (2 tiết)",'PL10'!$S$16)),1,0)+IF(ISNUMBER(SEARCH(MAP_TNHN!D58&amp;" (2 tiết)",'PL10'!$S$17)),1,0)+IF(ISNUMBER(SEARCH(MAP_TNHN!D58&amp;" (2 tiết)",'PL10'!$S$18)),1,0)+IF(ISNUMBER(SEARCH(MAP_TNHN!D58&amp;" (2 tiết)",'PL10'!$S$19)),1,0)+IF(ISNUMBER(SEARCH(MAP_TNHN!D58&amp;" (2 tiết)",'PL10'!$S$20)),1,0)+IF(ISNUMBER(SEARCH(MAP_TNHN!D58&amp;" (2 tiết)",'PL10'!$S$21)),1,0)+IF(ISNUMBER(SEARCH(MAP_TNHN!D58&amp;" (2 tiết)",'PL10'!$S$22)),1,0)+IF(ISNUMBER(SEARCH(MAP_TNHN!D58&amp;" (2 tiết)",'PL10'!$S$23)),1,0)+IF(ISNUMBER(SEARCH(MAP_TNHN!D58&amp;" (2 tiết)",'PL10'!$S$24)),1,0)+IF(ISNUMBER(SEARCH(MAP_TNHN!D58&amp;" (2 tiết)",'PL10'!$S$25)),1,0))))</f>
        <v>0</v>
      </c>
    </row>
    <row r="58" spans="1:51" x14ac:dyDescent="0.35">
      <c r="A58" s="311"/>
      <c r="B58" s="11">
        <v>7</v>
      </c>
      <c r="C58" s="12" t="s">
        <v>136</v>
      </c>
      <c r="D58" s="21">
        <v>11</v>
      </c>
      <c r="E58" s="45">
        <v>2</v>
      </c>
      <c r="F58" s="45"/>
      <c r="G58" s="45">
        <v>1</v>
      </c>
      <c r="H58" s="45">
        <v>2</v>
      </c>
      <c r="I58" s="161"/>
      <c r="J58" s="45"/>
      <c r="K58" s="46">
        <v>2</v>
      </c>
      <c r="L58" s="46">
        <v>1</v>
      </c>
      <c r="M58" s="46">
        <v>1</v>
      </c>
      <c r="N58" s="168">
        <v>1</v>
      </c>
      <c r="O58" s="46"/>
      <c r="P58" s="47"/>
      <c r="Q58" s="47"/>
      <c r="R58" s="47"/>
      <c r="S58" s="165"/>
      <c r="T58" s="47"/>
      <c r="U58" s="11">
        <f>E58*'Phân tiết'!$M$5+G58*('Phân tiết'!$M$21/3)+H58*'Phân tiết'!$L$26+AW58+J58*'Phân tiết'!$M$20+K58*'Phân tiết'!$I$5+M58*('Phân tiết'!$I$21/3)+AX58+O58*'Phân tiết'!$I$20+P58*'Phân tiết'!$E$5+R58*('Phân tiết'!$E$21/3)+AY58+T58*'Phân tiết'!$E$20</f>
        <v>19</v>
      </c>
      <c r="V58" s="8">
        <f t="shared" si="15"/>
        <v>4</v>
      </c>
      <c r="W58" s="6"/>
      <c r="X58" s="6"/>
      <c r="Y58" s="11">
        <v>0</v>
      </c>
      <c r="Z58" s="43">
        <f t="shared" si="16"/>
        <v>23</v>
      </c>
      <c r="AA58" s="34">
        <f t="shared" si="18"/>
        <v>6</v>
      </c>
      <c r="AB58" s="8">
        <v>2</v>
      </c>
      <c r="AC58" s="8">
        <v>10</v>
      </c>
      <c r="AD58" s="6">
        <f t="shared" si="3"/>
        <v>30</v>
      </c>
      <c r="AE58" s="8"/>
      <c r="AF58" s="8"/>
      <c r="AG58" s="6">
        <f t="shared" si="5"/>
        <v>0</v>
      </c>
      <c r="AH58" s="8"/>
      <c r="AI58" s="8"/>
      <c r="AJ58" s="6">
        <f t="shared" si="17"/>
        <v>0</v>
      </c>
      <c r="AK58" s="6">
        <f t="shared" si="6"/>
        <v>228</v>
      </c>
      <c r="AL58" s="11" t="s">
        <v>48</v>
      </c>
      <c r="AM58" s="8"/>
      <c r="AN58" s="11"/>
      <c r="AO58" s="11" t="s">
        <v>46</v>
      </c>
      <c r="AP58" s="11" t="s">
        <v>46</v>
      </c>
      <c r="AQ58" s="11" t="s">
        <v>46</v>
      </c>
      <c r="AR58" s="11"/>
      <c r="AS58" s="11"/>
      <c r="AT58" s="11" t="s">
        <v>46</v>
      </c>
      <c r="AU58" s="11"/>
      <c r="AV58" s="8"/>
      <c r="AW58">
        <f>IF(I58="",0,IF(MAP_TNHN!B59="",I58*3,I58*3-2*(IF(ISNUMBER(SEARCH(MAP_TNHN!B59&amp;" (1 tiết)",'PL12'!$S$5)),1,0)+IF(ISNUMBER(SEARCH(MAP_TNHN!B59&amp;" (1 tiết)",'PL12'!$S$6)),1,0)+IF(ISNUMBER(SEARCH(MAP_TNHN!B59&amp;" (1 tiết)",'PL12'!$S$7)),1,0)+IF(ISNUMBER(SEARCH(MAP_TNHN!B59&amp;" (1 tiết)",'PL12'!$S$8)),1,0)+IF(ISNUMBER(SEARCH(MAP_TNHN!B59&amp;" (1 tiết)",'PL12'!$S$9)),1,0)+IF(ISNUMBER(SEARCH(MAP_TNHN!B59&amp;" (1 tiết)",'PL12'!$S$10)),1,0)+IF(ISNUMBER(SEARCH(MAP_TNHN!B59&amp;" (1 tiết)",'PL12'!$S$11)),1,0)+IF(ISNUMBER(SEARCH(MAP_TNHN!B59&amp;" (1 tiết)",'PL12'!$S$12)),1,0)+IF(ISNUMBER(SEARCH(MAP_TNHN!B59&amp;" (1 tiết)",'PL12'!$S$13)),1,0)+IF(ISNUMBER(SEARCH(MAP_TNHN!B59&amp;" (1 tiết)",'PL12'!$S$14)),1,0)+IF(ISNUMBER(SEARCH(MAP_TNHN!B59&amp;" (1 tiết)",'PL12'!$S$15)),1,0)+IF(ISNUMBER(SEARCH(MAP_TNHN!B59&amp;" (1 tiết)",'PL12'!$S$16)),1,0)+IF(ISNUMBER(SEARCH(MAP_TNHN!B59&amp;" (1 tiết)",'PL12'!$S$17)),1,0)+IF(ISNUMBER(SEARCH(MAP_TNHN!B59&amp;" (1 tiết)",'PL12'!$S$18)),1,0)+IF(ISNUMBER(SEARCH(MAP_TNHN!B59&amp;" (1 tiết)",'PL12'!$S$19)),1,0))-(IF(ISNUMBER(SEARCH(MAP_TNHN!B59&amp;" (2 tiết)",'PL12'!$S$5)),1,0)+IF(ISNUMBER(SEARCH(MAP_TNHN!B59&amp;" (2 tiết)",'PL12'!$S$6)),1,0)+IF(ISNUMBER(SEARCH(MAP_TNHN!B59&amp;" (2 tiết)",'PL12'!$S$7)),1,0)+IF(ISNUMBER(SEARCH(MAP_TNHN!B59&amp;" (2 tiết)",'PL12'!$S$8)),1,0)+IF(ISNUMBER(SEARCH(MAP_TNHN!B59&amp;" (2 tiết)",'PL12'!$S$9)),1,0)+IF(ISNUMBER(SEARCH(MAP_TNHN!B59&amp;" (2 tiết)",'PL12'!$S$10)),1,0)+IF(ISNUMBER(SEARCH(MAP_TNHN!B59&amp;" (2 tiết)",'PL12'!$S$11)),1,0)+IF(ISNUMBER(SEARCH(MAP_TNHN!B59&amp;" (2 tiết)",'PL12'!$S$12)),1,0)+IF(ISNUMBER(SEARCH(MAP_TNHN!B59&amp;" (2 tiết)",'PL12'!$S$13)),1,0)+IF(ISNUMBER(SEARCH(MAP_TNHN!B59&amp;" (2 tiết)",'PL12'!$S$14)),1,0)+IF(ISNUMBER(SEARCH(MAP_TNHN!B59&amp;" (2 tiết)",'PL12'!$S$15)),1,0)+IF(ISNUMBER(SEARCH(MAP_TNHN!B59&amp;" (2 tiết)",'PL12'!$S$16)),1,0)+IF(ISNUMBER(SEARCH(MAP_TNHN!B59&amp;" (2 tiết)",'PL12'!$S$17)),1,0)+IF(ISNUMBER(SEARCH(MAP_TNHN!B59&amp;" (2 tiết)",'PL12'!$S$18)),1,0)+IF(ISNUMBER(SEARCH(MAP_TNHN!B59&amp;" (2 tiết)",'PL12'!$S$19)),1,0))))</f>
        <v>0</v>
      </c>
      <c r="AX58">
        <f>IF(N58="",0,IF(MAP_TNHN!C59="",N58*3,N58*3-2*(IF(ISNUMBER(SEARCH(MAP_TNHN!C59&amp;" (1 tiết)",'PL11'!$S$5)),1,0)+IF(ISNUMBER(SEARCH(MAP_TNHN!C59&amp;" (1 tiết)",'PL11'!$S$6)),1,0)+IF(ISNUMBER(SEARCH(MAP_TNHN!C59&amp;" (1 tiết)",'PL11'!$S$7)),1,0)+IF(ISNUMBER(SEARCH(MAP_TNHN!C59&amp;" (1 tiết)",'PL11'!$S$8)),1,0)+IF(ISNUMBER(SEARCH(MAP_TNHN!C59&amp;" (1 tiết)",'PL11'!$S$9)),1,0)+IF(ISNUMBER(SEARCH(MAP_TNHN!C59&amp;" (1 tiết)",'PL11'!$S$10)),1,0)+IF(ISNUMBER(SEARCH(MAP_TNHN!C59&amp;" (1 tiết)",'PL11'!$S$11)),1,0)+IF(ISNUMBER(SEARCH(MAP_TNHN!C59&amp;" (1 tiết)",'PL11'!$S$12)),1,0)+IF(ISNUMBER(SEARCH(MAP_TNHN!C59&amp;" (1 tiết)",'PL11'!$S$13)),1,0)+IF(ISNUMBER(SEARCH(MAP_TNHN!C59&amp;" (1 tiết)",'PL11'!$S$14)),1,0)+IF(ISNUMBER(SEARCH(MAP_TNHN!C59&amp;" (1 tiết)",'PL11'!$S$15)),1,0)+IF(ISNUMBER(SEARCH(MAP_TNHN!C59&amp;" (1 tiết)",'PL11'!$S$16)),1,0)+IF(ISNUMBER(SEARCH(MAP_TNHN!C59&amp;" (1 tiết)",'PL11'!$S$17)),1,0)+IF(ISNUMBER(SEARCH(MAP_TNHN!C59&amp;" (1 tiết)",'PL11'!$S$18)),1,0))-(IF(ISNUMBER(SEARCH(MAP_TNHN!C59&amp;" (2 tiết)",'PL11'!$S$5)),1,0)+IF(ISNUMBER(SEARCH(MAP_TNHN!C59&amp;" (2 tiết)",'PL11'!$S$6)),1,0)+IF(ISNUMBER(SEARCH(MAP_TNHN!C59&amp;" (2 tiết)",'PL11'!$S$7)),1,0)+IF(ISNUMBER(SEARCH(MAP_TNHN!C59&amp;" (2 tiết)",'PL11'!$S$8)),1,0)+IF(ISNUMBER(SEARCH(MAP_TNHN!C59&amp;" (2 tiết)",'PL11'!$S$9)),1,0)+IF(ISNUMBER(SEARCH(MAP_TNHN!C59&amp;" (2 tiết)",'PL11'!$S$10)),1,0)+IF(ISNUMBER(SEARCH(MAP_TNHN!C59&amp;" (2 tiết)",'PL11'!$S$11)),1,0)+IF(ISNUMBER(SEARCH(MAP_TNHN!C59&amp;" (2 tiết)",'PL11'!$S$12)),1,0)+IF(ISNUMBER(SEARCH(MAP_TNHN!C59&amp;" (2 tiết)",'PL11'!$S$13)),1,0)+IF(ISNUMBER(SEARCH(MAP_TNHN!C59&amp;" (2 tiết)",'PL11'!$S$14)),1,0)+IF(ISNUMBER(SEARCH(MAP_TNHN!C59&amp;" (2 tiết)",'PL11'!$S$15)),1,0)+IF(ISNUMBER(SEARCH(MAP_TNHN!C59&amp;" (2 tiết)",'PL11'!$S$16)),1,0)+IF(ISNUMBER(SEARCH(MAP_TNHN!C59&amp;" (2 tiết)",'PL11'!$S$17)),1,0)+IF(ISNUMBER(SEARCH(MAP_TNHN!C59&amp;" (2 tiết)",'PL11'!$S$18)),1,0))))</f>
        <v>1</v>
      </c>
      <c r="AY58">
        <f>IF(S58="",0,IF(MAP_TNHN!D59="",S58*3,S58*3-2*(IF(ISNUMBER(SEARCH(MAP_TNHN!D59&amp;" (1 tiết)",'PL10'!$S$5)),1,0)+IF(ISNUMBER(SEARCH(MAP_TNHN!D59&amp;" (1 tiết)",'PL10'!$S$6)),1,0)+IF(ISNUMBER(SEARCH(MAP_TNHN!D59&amp;" (1 tiết)",'PL10'!$S$7)),1,0)+IF(ISNUMBER(SEARCH(MAP_TNHN!D59&amp;" (1 tiết)",'PL10'!$S$8)),1,0)+IF(ISNUMBER(SEARCH(MAP_TNHN!D59&amp;" (1 tiết)",'PL10'!$S$9)),1,0)+IF(ISNUMBER(SEARCH(MAP_TNHN!D59&amp;" (1 tiết)",'PL10'!$S$10)),1,0)+IF(ISNUMBER(SEARCH(MAP_TNHN!D59&amp;" (1 tiết)",'PL10'!$S$11)),1,0)+IF(ISNUMBER(SEARCH(MAP_TNHN!D59&amp;" (1 tiết)",'PL10'!$S$12)),1,0)+IF(ISNUMBER(SEARCH(MAP_TNHN!D59&amp;" (1 tiết)",'PL10'!$S$13)),1,0)+IF(ISNUMBER(SEARCH(MAP_TNHN!D59&amp;" (1 tiết)",'PL10'!$S$14)),1,0)+IF(ISNUMBER(SEARCH(MAP_TNHN!D59&amp;" (1 tiết)",'PL10'!$S$15)),1,0)+IF(ISNUMBER(SEARCH(MAP_TNHN!D59&amp;" (1 tiết)",'PL10'!$S$16)),1,0)+IF(ISNUMBER(SEARCH(MAP_TNHN!D59&amp;" (1 tiết)",'PL10'!$S$17)),1,0)+IF(ISNUMBER(SEARCH(MAP_TNHN!D59&amp;" (1 tiết)",'PL10'!$S$18)),1,0)+IF(ISNUMBER(SEARCH(MAP_TNHN!D59&amp;" (1 tiết)",'PL10'!$S$19)),1,0)+IF(ISNUMBER(SEARCH(MAP_TNHN!D59&amp;" (1 tiết)",'PL10'!$S$20)),1,0)+IF(ISNUMBER(SEARCH(MAP_TNHN!D59&amp;" (1 tiết)",'PL10'!$S$21)),1,0)+IF(ISNUMBER(SEARCH(MAP_TNHN!D59&amp;" (1 tiết)",'PL10'!$S$22)),1,0)+IF(ISNUMBER(SEARCH(MAP_TNHN!D59&amp;" (1 tiết)",'PL10'!$S$23)),1,0)+IF(ISNUMBER(SEARCH(MAP_TNHN!D59&amp;" (1 tiết)",'PL10'!$S$24)),1,0)+IF(ISNUMBER(SEARCH(MAP_TNHN!D59&amp;" (1 tiết)",'PL10'!$S$25)),1,0))-(IF(ISNUMBER(SEARCH(MAP_TNHN!D59&amp;" (2 tiết)",'PL10'!$S$5)),1,0)+IF(ISNUMBER(SEARCH(MAP_TNHN!D59&amp;" (2 tiết)",'PL10'!$S$6)),1,0)+IF(ISNUMBER(SEARCH(MAP_TNHN!D59&amp;" (2 tiết)",'PL10'!$S$7)),1,0)+IF(ISNUMBER(SEARCH(MAP_TNHN!D59&amp;" (2 tiết)",'PL10'!$S$8)),1,0)+IF(ISNUMBER(SEARCH(MAP_TNHN!D59&amp;" (2 tiết)",'PL10'!$S$9)),1,0)+IF(ISNUMBER(SEARCH(MAP_TNHN!D59&amp;" (2 tiết)",'PL10'!$S$10)),1,0)+IF(ISNUMBER(SEARCH(MAP_TNHN!D59&amp;" (2 tiết)",'PL10'!$S$11)),1,0)+IF(ISNUMBER(SEARCH(MAP_TNHN!D59&amp;" (2 tiết)",'PL10'!$S$12)),1,0)+IF(ISNUMBER(SEARCH(MAP_TNHN!D59&amp;" (2 tiết)",'PL10'!$S$13)),1,0)+IF(ISNUMBER(SEARCH(MAP_TNHN!D59&amp;" (2 tiết)",'PL10'!$S$14)),1,0)+IF(ISNUMBER(SEARCH(MAP_TNHN!D59&amp;" (2 tiết)",'PL10'!$S$15)),1,0)+IF(ISNUMBER(SEARCH(MAP_TNHN!D59&amp;" (2 tiết)",'PL10'!$S$16)),1,0)+IF(ISNUMBER(SEARCH(MAP_TNHN!D59&amp;" (2 tiết)",'PL10'!$S$17)),1,0)+IF(ISNUMBER(SEARCH(MAP_TNHN!D59&amp;" (2 tiết)",'PL10'!$S$18)),1,0)+IF(ISNUMBER(SEARCH(MAP_TNHN!D59&amp;" (2 tiết)",'PL10'!$S$19)),1,0)+IF(ISNUMBER(SEARCH(MAP_TNHN!D59&amp;" (2 tiết)",'PL10'!$S$20)),1,0)+IF(ISNUMBER(SEARCH(MAP_TNHN!D59&amp;" (2 tiết)",'PL10'!$S$21)),1,0)+IF(ISNUMBER(SEARCH(MAP_TNHN!D59&amp;" (2 tiết)",'PL10'!$S$22)),1,0)+IF(ISNUMBER(SEARCH(MAP_TNHN!D59&amp;" (2 tiết)",'PL10'!$S$23)),1,0)+IF(ISNUMBER(SEARCH(MAP_TNHN!D59&amp;" (2 tiết)",'PL10'!$S$24)),1,0)+IF(ISNUMBER(SEARCH(MAP_TNHN!D59&amp;" (2 tiết)",'PL10'!$S$25)),1,0))))</f>
        <v>0</v>
      </c>
    </row>
    <row r="59" spans="1:51" x14ac:dyDescent="0.35">
      <c r="A59" s="311"/>
      <c r="B59" s="11">
        <v>8</v>
      </c>
      <c r="C59" s="12" t="s">
        <v>137</v>
      </c>
      <c r="D59" s="21"/>
      <c r="E59" s="45">
        <v>1</v>
      </c>
      <c r="F59" s="45"/>
      <c r="G59" s="45"/>
      <c r="H59" s="45">
        <v>1</v>
      </c>
      <c r="I59" s="161"/>
      <c r="J59" s="45"/>
      <c r="K59" s="46"/>
      <c r="L59" s="46"/>
      <c r="M59" s="46"/>
      <c r="N59" s="164"/>
      <c r="O59" s="46"/>
      <c r="P59" s="47"/>
      <c r="Q59" s="47"/>
      <c r="R59" s="47"/>
      <c r="S59" s="165"/>
      <c r="T59" s="47"/>
      <c r="U59" s="11">
        <f>E59*'Phân tiết'!$M$5+G59*('Phân tiết'!$M$21/3)+H59*'Phân tiết'!$L$26+AW59+J59*'Phân tiết'!$M$20+K59*'Phân tiết'!$I$5+M59*('Phân tiết'!$I$21/3)+AX59+O59*'Phân tiết'!$I$20+P59*'Phân tiết'!$E$5+R59*('Phân tiết'!$E$21/3)+AY59+T59*'Phân tiết'!$E$20</f>
        <v>5</v>
      </c>
      <c r="V59" s="8">
        <f t="shared" si="15"/>
        <v>0</v>
      </c>
      <c r="W59" s="6" t="s">
        <v>138</v>
      </c>
      <c r="X59" s="6" t="s">
        <v>125</v>
      </c>
      <c r="Y59" s="11">
        <v>0</v>
      </c>
      <c r="Z59" s="43">
        <f t="shared" si="16"/>
        <v>5</v>
      </c>
      <c r="AA59" s="34">
        <f>Z59-2</f>
        <v>3</v>
      </c>
      <c r="AB59" s="8">
        <v>2</v>
      </c>
      <c r="AC59" s="8">
        <v>20</v>
      </c>
      <c r="AD59" s="6">
        <f t="shared" si="3"/>
        <v>60</v>
      </c>
      <c r="AE59" s="8"/>
      <c r="AF59" s="8"/>
      <c r="AG59" s="6">
        <f t="shared" si="5"/>
        <v>0</v>
      </c>
      <c r="AH59" s="8"/>
      <c r="AI59" s="8"/>
      <c r="AJ59" s="6">
        <f t="shared" si="17"/>
        <v>0</v>
      </c>
      <c r="AK59" s="6">
        <f t="shared" si="6"/>
        <v>159</v>
      </c>
      <c r="AL59" s="11" t="s">
        <v>121</v>
      </c>
      <c r="AM59" s="11"/>
      <c r="AN59" s="11" t="s">
        <v>46</v>
      </c>
      <c r="AO59" s="11" t="s">
        <v>46</v>
      </c>
      <c r="AP59" s="11" t="s">
        <v>46</v>
      </c>
      <c r="AQ59" s="11" t="s">
        <v>46</v>
      </c>
      <c r="AR59" s="11"/>
      <c r="AS59" s="11"/>
      <c r="AT59" s="11" t="s">
        <v>46</v>
      </c>
      <c r="AU59" s="11" t="s">
        <v>139</v>
      </c>
      <c r="AV59" s="8"/>
      <c r="AW59">
        <f>IF(I59="",0,IF(MAP_TNHN!B60="",I59*3,I59*3-2*(IF(ISNUMBER(SEARCH(MAP_TNHN!B60&amp;" (1 tiết)",'PL12'!$S$5)),1,0)+IF(ISNUMBER(SEARCH(MAP_TNHN!B60&amp;" (1 tiết)",'PL12'!$S$6)),1,0)+IF(ISNUMBER(SEARCH(MAP_TNHN!B60&amp;" (1 tiết)",'PL12'!$S$7)),1,0)+IF(ISNUMBER(SEARCH(MAP_TNHN!B60&amp;" (1 tiết)",'PL12'!$S$8)),1,0)+IF(ISNUMBER(SEARCH(MAP_TNHN!B60&amp;" (1 tiết)",'PL12'!$S$9)),1,0)+IF(ISNUMBER(SEARCH(MAP_TNHN!B60&amp;" (1 tiết)",'PL12'!$S$10)),1,0)+IF(ISNUMBER(SEARCH(MAP_TNHN!B60&amp;" (1 tiết)",'PL12'!$S$11)),1,0)+IF(ISNUMBER(SEARCH(MAP_TNHN!B60&amp;" (1 tiết)",'PL12'!$S$12)),1,0)+IF(ISNUMBER(SEARCH(MAP_TNHN!B60&amp;" (1 tiết)",'PL12'!$S$13)),1,0)+IF(ISNUMBER(SEARCH(MAP_TNHN!B60&amp;" (1 tiết)",'PL12'!$S$14)),1,0)+IF(ISNUMBER(SEARCH(MAP_TNHN!B60&amp;" (1 tiết)",'PL12'!$S$15)),1,0)+IF(ISNUMBER(SEARCH(MAP_TNHN!B60&amp;" (1 tiết)",'PL12'!$S$16)),1,0)+IF(ISNUMBER(SEARCH(MAP_TNHN!B60&amp;" (1 tiết)",'PL12'!$S$17)),1,0)+IF(ISNUMBER(SEARCH(MAP_TNHN!B60&amp;" (1 tiết)",'PL12'!$S$18)),1,0)+IF(ISNUMBER(SEARCH(MAP_TNHN!B60&amp;" (1 tiết)",'PL12'!$S$19)),1,0))-(IF(ISNUMBER(SEARCH(MAP_TNHN!B60&amp;" (2 tiết)",'PL12'!$S$5)),1,0)+IF(ISNUMBER(SEARCH(MAP_TNHN!B60&amp;" (2 tiết)",'PL12'!$S$6)),1,0)+IF(ISNUMBER(SEARCH(MAP_TNHN!B60&amp;" (2 tiết)",'PL12'!$S$7)),1,0)+IF(ISNUMBER(SEARCH(MAP_TNHN!B60&amp;" (2 tiết)",'PL12'!$S$8)),1,0)+IF(ISNUMBER(SEARCH(MAP_TNHN!B60&amp;" (2 tiết)",'PL12'!$S$9)),1,0)+IF(ISNUMBER(SEARCH(MAP_TNHN!B60&amp;" (2 tiết)",'PL12'!$S$10)),1,0)+IF(ISNUMBER(SEARCH(MAP_TNHN!B60&amp;" (2 tiết)",'PL12'!$S$11)),1,0)+IF(ISNUMBER(SEARCH(MAP_TNHN!B60&amp;" (2 tiết)",'PL12'!$S$12)),1,0)+IF(ISNUMBER(SEARCH(MAP_TNHN!B60&amp;" (2 tiết)",'PL12'!$S$13)),1,0)+IF(ISNUMBER(SEARCH(MAP_TNHN!B60&amp;" (2 tiết)",'PL12'!$S$14)),1,0)+IF(ISNUMBER(SEARCH(MAP_TNHN!B60&amp;" (2 tiết)",'PL12'!$S$15)),1,0)+IF(ISNUMBER(SEARCH(MAP_TNHN!B60&amp;" (2 tiết)",'PL12'!$S$16)),1,0)+IF(ISNUMBER(SEARCH(MAP_TNHN!B60&amp;" (2 tiết)",'PL12'!$S$17)),1,0)+IF(ISNUMBER(SEARCH(MAP_TNHN!B60&amp;" (2 tiết)",'PL12'!$S$18)),1,0)+IF(ISNUMBER(SEARCH(MAP_TNHN!B60&amp;" (2 tiết)",'PL12'!$S$19)),1,0))))</f>
        <v>0</v>
      </c>
      <c r="AX59">
        <f>IF(N59="",0,IF(MAP_TNHN!C60="",N59*3,N59*3-2*(IF(ISNUMBER(SEARCH(MAP_TNHN!C60&amp;" (1 tiết)",'PL11'!$S$5)),1,0)+IF(ISNUMBER(SEARCH(MAP_TNHN!C60&amp;" (1 tiết)",'PL11'!$S$6)),1,0)+IF(ISNUMBER(SEARCH(MAP_TNHN!C60&amp;" (1 tiết)",'PL11'!$S$7)),1,0)+IF(ISNUMBER(SEARCH(MAP_TNHN!C60&amp;" (1 tiết)",'PL11'!$S$8)),1,0)+IF(ISNUMBER(SEARCH(MAP_TNHN!C60&amp;" (1 tiết)",'PL11'!$S$9)),1,0)+IF(ISNUMBER(SEARCH(MAP_TNHN!C60&amp;" (1 tiết)",'PL11'!$S$10)),1,0)+IF(ISNUMBER(SEARCH(MAP_TNHN!C60&amp;" (1 tiết)",'PL11'!$S$11)),1,0)+IF(ISNUMBER(SEARCH(MAP_TNHN!C60&amp;" (1 tiết)",'PL11'!$S$12)),1,0)+IF(ISNUMBER(SEARCH(MAP_TNHN!C60&amp;" (1 tiết)",'PL11'!$S$13)),1,0)+IF(ISNUMBER(SEARCH(MAP_TNHN!C60&amp;" (1 tiết)",'PL11'!$S$14)),1,0)+IF(ISNUMBER(SEARCH(MAP_TNHN!C60&amp;" (1 tiết)",'PL11'!$S$15)),1,0)+IF(ISNUMBER(SEARCH(MAP_TNHN!C60&amp;" (1 tiết)",'PL11'!$S$16)),1,0)+IF(ISNUMBER(SEARCH(MAP_TNHN!C60&amp;" (1 tiết)",'PL11'!$S$17)),1,0)+IF(ISNUMBER(SEARCH(MAP_TNHN!C60&amp;" (1 tiết)",'PL11'!$S$18)),1,0))-(IF(ISNUMBER(SEARCH(MAP_TNHN!C60&amp;" (2 tiết)",'PL11'!$S$5)),1,0)+IF(ISNUMBER(SEARCH(MAP_TNHN!C60&amp;" (2 tiết)",'PL11'!$S$6)),1,0)+IF(ISNUMBER(SEARCH(MAP_TNHN!C60&amp;" (2 tiết)",'PL11'!$S$7)),1,0)+IF(ISNUMBER(SEARCH(MAP_TNHN!C60&amp;" (2 tiết)",'PL11'!$S$8)),1,0)+IF(ISNUMBER(SEARCH(MAP_TNHN!C60&amp;" (2 tiết)",'PL11'!$S$9)),1,0)+IF(ISNUMBER(SEARCH(MAP_TNHN!C60&amp;" (2 tiết)",'PL11'!$S$10)),1,0)+IF(ISNUMBER(SEARCH(MAP_TNHN!C60&amp;" (2 tiết)",'PL11'!$S$11)),1,0)+IF(ISNUMBER(SEARCH(MAP_TNHN!C60&amp;" (2 tiết)",'PL11'!$S$12)),1,0)+IF(ISNUMBER(SEARCH(MAP_TNHN!C60&amp;" (2 tiết)",'PL11'!$S$13)),1,0)+IF(ISNUMBER(SEARCH(MAP_TNHN!C60&amp;" (2 tiết)",'PL11'!$S$14)),1,0)+IF(ISNUMBER(SEARCH(MAP_TNHN!C60&amp;" (2 tiết)",'PL11'!$S$15)),1,0)+IF(ISNUMBER(SEARCH(MAP_TNHN!C60&amp;" (2 tiết)",'PL11'!$S$16)),1,0)+IF(ISNUMBER(SEARCH(MAP_TNHN!C60&amp;" (2 tiết)",'PL11'!$S$17)),1,0)+IF(ISNUMBER(SEARCH(MAP_TNHN!C60&amp;" (2 tiết)",'PL11'!$S$18)),1,0))))</f>
        <v>0</v>
      </c>
      <c r="AY59">
        <f>IF(S59="",0,IF(MAP_TNHN!D60="",S59*3,S59*3-2*(IF(ISNUMBER(SEARCH(MAP_TNHN!D60&amp;" (1 tiết)",'PL10'!$S$5)),1,0)+IF(ISNUMBER(SEARCH(MAP_TNHN!D60&amp;" (1 tiết)",'PL10'!$S$6)),1,0)+IF(ISNUMBER(SEARCH(MAP_TNHN!D60&amp;" (1 tiết)",'PL10'!$S$7)),1,0)+IF(ISNUMBER(SEARCH(MAP_TNHN!D60&amp;" (1 tiết)",'PL10'!$S$8)),1,0)+IF(ISNUMBER(SEARCH(MAP_TNHN!D60&amp;" (1 tiết)",'PL10'!$S$9)),1,0)+IF(ISNUMBER(SEARCH(MAP_TNHN!D60&amp;" (1 tiết)",'PL10'!$S$10)),1,0)+IF(ISNUMBER(SEARCH(MAP_TNHN!D60&amp;" (1 tiết)",'PL10'!$S$11)),1,0)+IF(ISNUMBER(SEARCH(MAP_TNHN!D60&amp;" (1 tiết)",'PL10'!$S$12)),1,0)+IF(ISNUMBER(SEARCH(MAP_TNHN!D60&amp;" (1 tiết)",'PL10'!$S$13)),1,0)+IF(ISNUMBER(SEARCH(MAP_TNHN!D60&amp;" (1 tiết)",'PL10'!$S$14)),1,0)+IF(ISNUMBER(SEARCH(MAP_TNHN!D60&amp;" (1 tiết)",'PL10'!$S$15)),1,0)+IF(ISNUMBER(SEARCH(MAP_TNHN!D60&amp;" (1 tiết)",'PL10'!$S$16)),1,0)+IF(ISNUMBER(SEARCH(MAP_TNHN!D60&amp;" (1 tiết)",'PL10'!$S$17)),1,0)+IF(ISNUMBER(SEARCH(MAP_TNHN!D60&amp;" (1 tiết)",'PL10'!$S$18)),1,0)+IF(ISNUMBER(SEARCH(MAP_TNHN!D60&amp;" (1 tiết)",'PL10'!$S$19)),1,0)+IF(ISNUMBER(SEARCH(MAP_TNHN!D60&amp;" (1 tiết)",'PL10'!$S$20)),1,0)+IF(ISNUMBER(SEARCH(MAP_TNHN!D60&amp;" (1 tiết)",'PL10'!$S$21)),1,0)+IF(ISNUMBER(SEARCH(MAP_TNHN!D60&amp;" (1 tiết)",'PL10'!$S$22)),1,0)+IF(ISNUMBER(SEARCH(MAP_TNHN!D60&amp;" (1 tiết)",'PL10'!$S$23)),1,0)+IF(ISNUMBER(SEARCH(MAP_TNHN!D60&amp;" (1 tiết)",'PL10'!$S$24)),1,0)+IF(ISNUMBER(SEARCH(MAP_TNHN!D60&amp;" (1 tiết)",'PL10'!$S$25)),1,0))-(IF(ISNUMBER(SEARCH(MAP_TNHN!D60&amp;" (2 tiết)",'PL10'!$S$5)),1,0)+IF(ISNUMBER(SEARCH(MAP_TNHN!D60&amp;" (2 tiết)",'PL10'!$S$6)),1,0)+IF(ISNUMBER(SEARCH(MAP_TNHN!D60&amp;" (2 tiết)",'PL10'!$S$7)),1,0)+IF(ISNUMBER(SEARCH(MAP_TNHN!D60&amp;" (2 tiết)",'PL10'!$S$8)),1,0)+IF(ISNUMBER(SEARCH(MAP_TNHN!D60&amp;" (2 tiết)",'PL10'!$S$9)),1,0)+IF(ISNUMBER(SEARCH(MAP_TNHN!D60&amp;" (2 tiết)",'PL10'!$S$10)),1,0)+IF(ISNUMBER(SEARCH(MAP_TNHN!D60&amp;" (2 tiết)",'PL10'!$S$11)),1,0)+IF(ISNUMBER(SEARCH(MAP_TNHN!D60&amp;" (2 tiết)",'PL10'!$S$12)),1,0)+IF(ISNUMBER(SEARCH(MAP_TNHN!D60&amp;" (2 tiết)",'PL10'!$S$13)),1,0)+IF(ISNUMBER(SEARCH(MAP_TNHN!D60&amp;" (2 tiết)",'PL10'!$S$14)),1,0)+IF(ISNUMBER(SEARCH(MAP_TNHN!D60&amp;" (2 tiết)",'PL10'!$S$15)),1,0)+IF(ISNUMBER(SEARCH(MAP_TNHN!D60&amp;" (2 tiết)",'PL10'!$S$16)),1,0)+IF(ISNUMBER(SEARCH(MAP_TNHN!D60&amp;" (2 tiết)",'PL10'!$S$17)),1,0)+IF(ISNUMBER(SEARCH(MAP_TNHN!D60&amp;" (2 tiết)",'PL10'!$S$18)),1,0)+IF(ISNUMBER(SEARCH(MAP_TNHN!D60&amp;" (2 tiết)",'PL10'!$S$19)),1,0)+IF(ISNUMBER(SEARCH(MAP_TNHN!D60&amp;" (2 tiết)",'PL10'!$S$20)),1,0)+IF(ISNUMBER(SEARCH(MAP_TNHN!D60&amp;" (2 tiết)",'PL10'!$S$21)),1,0)+IF(ISNUMBER(SEARCH(MAP_TNHN!D60&amp;" (2 tiết)",'PL10'!$S$22)),1,0)+IF(ISNUMBER(SEARCH(MAP_TNHN!D60&amp;" (2 tiết)",'PL10'!$S$23)),1,0)+IF(ISNUMBER(SEARCH(MAP_TNHN!D60&amp;" (2 tiết)",'PL10'!$S$24)),1,0)+IF(ISNUMBER(SEARCH(MAP_TNHN!D60&amp;" (2 tiết)",'PL10'!$S$25)),1,0))))</f>
        <v>0</v>
      </c>
    </row>
    <row r="60" spans="1:51" x14ac:dyDescent="0.35">
      <c r="A60" s="311"/>
      <c r="B60" s="11">
        <v>9</v>
      </c>
      <c r="C60" s="12" t="s">
        <v>140</v>
      </c>
      <c r="D60" s="21">
        <v>12</v>
      </c>
      <c r="E60" s="45">
        <v>2</v>
      </c>
      <c r="F60" s="45">
        <v>1</v>
      </c>
      <c r="G60" s="45">
        <v>1</v>
      </c>
      <c r="H60" s="45">
        <v>2</v>
      </c>
      <c r="I60" s="308"/>
      <c r="J60" s="45"/>
      <c r="K60" s="46"/>
      <c r="L60" s="46"/>
      <c r="M60" s="46"/>
      <c r="N60" s="164"/>
      <c r="O60" s="46"/>
      <c r="P60" s="83">
        <v>2</v>
      </c>
      <c r="Q60" s="83"/>
      <c r="R60" s="83">
        <v>1</v>
      </c>
      <c r="S60" s="165"/>
      <c r="T60" s="47"/>
      <c r="U60" s="11">
        <f>E60*'Phân tiết'!$M$5+G60*('Phân tiết'!$M$21/3)+H60*'Phân tiết'!$L$26+AW60+J60*'Phân tiết'!$M$20+K60*'Phân tiết'!$I$5+M60*('Phân tiết'!$I$21/3)+AX60+O60*'Phân tiết'!$I$20+P60*'Phân tiết'!$E$5+R60*('Phân tiết'!$E$21/3)+AY60+T60*'Phân tiết'!$E$20</f>
        <v>18</v>
      </c>
      <c r="V60" s="8">
        <f t="shared" si="15"/>
        <v>4</v>
      </c>
      <c r="W60" s="6"/>
      <c r="X60" s="6" t="s">
        <v>54</v>
      </c>
      <c r="Y60" s="11">
        <v>1</v>
      </c>
      <c r="Z60" s="43">
        <f t="shared" si="16"/>
        <v>23</v>
      </c>
      <c r="AA60" s="34">
        <f t="shared" si="18"/>
        <v>6</v>
      </c>
      <c r="AB60" s="8"/>
      <c r="AC60" s="8"/>
      <c r="AD60" s="6">
        <f t="shared" si="3"/>
        <v>0</v>
      </c>
      <c r="AE60" s="8"/>
      <c r="AF60" s="8"/>
      <c r="AG60" s="6">
        <f t="shared" si="5"/>
        <v>0</v>
      </c>
      <c r="AH60" s="8"/>
      <c r="AI60" s="8"/>
      <c r="AJ60" s="6">
        <f t="shared" si="17"/>
        <v>0</v>
      </c>
      <c r="AK60" s="6">
        <f t="shared" si="6"/>
        <v>198</v>
      </c>
      <c r="AL60" s="11"/>
      <c r="AM60" s="11"/>
      <c r="AN60" s="11"/>
      <c r="AO60" s="11" t="s">
        <v>46</v>
      </c>
      <c r="AP60" s="11" t="s">
        <v>46</v>
      </c>
      <c r="AQ60" s="11" t="s">
        <v>46</v>
      </c>
      <c r="AR60" s="11"/>
      <c r="AS60" s="11"/>
      <c r="AT60" s="11" t="s">
        <v>46</v>
      </c>
      <c r="AU60" s="11"/>
      <c r="AV60" s="8"/>
      <c r="AW60">
        <f>IF(I60="",0,IF(MAP_TNHN!B61="",I60*3,I60*3-2*(IF(ISNUMBER(SEARCH(MAP_TNHN!B61&amp;" (1 tiết)",'PL12'!$S$5)),1,0)+IF(ISNUMBER(SEARCH(MAP_TNHN!B61&amp;" (1 tiết)",'PL12'!$S$6)),1,0)+IF(ISNUMBER(SEARCH(MAP_TNHN!B61&amp;" (1 tiết)",'PL12'!$S$7)),1,0)+IF(ISNUMBER(SEARCH(MAP_TNHN!B61&amp;" (1 tiết)",'PL12'!$S$8)),1,0)+IF(ISNUMBER(SEARCH(MAP_TNHN!B61&amp;" (1 tiết)",'PL12'!$S$9)),1,0)+IF(ISNUMBER(SEARCH(MAP_TNHN!B61&amp;" (1 tiết)",'PL12'!$S$10)),1,0)+IF(ISNUMBER(SEARCH(MAP_TNHN!B61&amp;" (1 tiết)",'PL12'!$S$11)),1,0)+IF(ISNUMBER(SEARCH(MAP_TNHN!B61&amp;" (1 tiết)",'PL12'!$S$12)),1,0)+IF(ISNUMBER(SEARCH(MAP_TNHN!B61&amp;" (1 tiết)",'PL12'!$S$13)),1,0)+IF(ISNUMBER(SEARCH(MAP_TNHN!B61&amp;" (1 tiết)",'PL12'!$S$14)),1,0)+IF(ISNUMBER(SEARCH(MAP_TNHN!B61&amp;" (1 tiết)",'PL12'!$S$15)),1,0)+IF(ISNUMBER(SEARCH(MAP_TNHN!B61&amp;" (1 tiết)",'PL12'!$S$16)),1,0)+IF(ISNUMBER(SEARCH(MAP_TNHN!B61&amp;" (1 tiết)",'PL12'!$S$17)),1,0)+IF(ISNUMBER(SEARCH(MAP_TNHN!B61&amp;" (1 tiết)",'PL12'!$S$18)),1,0)+IF(ISNUMBER(SEARCH(MAP_TNHN!B61&amp;" (1 tiết)",'PL12'!$S$19)),1,0))-(IF(ISNUMBER(SEARCH(MAP_TNHN!B61&amp;" (2 tiết)",'PL12'!$S$5)),1,0)+IF(ISNUMBER(SEARCH(MAP_TNHN!B61&amp;" (2 tiết)",'PL12'!$S$6)),1,0)+IF(ISNUMBER(SEARCH(MAP_TNHN!B61&amp;" (2 tiết)",'PL12'!$S$7)),1,0)+IF(ISNUMBER(SEARCH(MAP_TNHN!B61&amp;" (2 tiết)",'PL12'!$S$8)),1,0)+IF(ISNUMBER(SEARCH(MAP_TNHN!B61&amp;" (2 tiết)",'PL12'!$S$9)),1,0)+IF(ISNUMBER(SEARCH(MAP_TNHN!B61&amp;" (2 tiết)",'PL12'!$S$10)),1,0)+IF(ISNUMBER(SEARCH(MAP_TNHN!B61&amp;" (2 tiết)",'PL12'!$S$11)),1,0)+IF(ISNUMBER(SEARCH(MAP_TNHN!B61&amp;" (2 tiết)",'PL12'!$S$12)),1,0)+IF(ISNUMBER(SEARCH(MAP_TNHN!B61&amp;" (2 tiết)",'PL12'!$S$13)),1,0)+IF(ISNUMBER(SEARCH(MAP_TNHN!B61&amp;" (2 tiết)",'PL12'!$S$14)),1,0)+IF(ISNUMBER(SEARCH(MAP_TNHN!B61&amp;" (2 tiết)",'PL12'!$S$15)),1,0)+IF(ISNUMBER(SEARCH(MAP_TNHN!B61&amp;" (2 tiết)",'PL12'!$S$16)),1,0)+IF(ISNUMBER(SEARCH(MAP_TNHN!B61&amp;" (2 tiết)",'PL12'!$S$17)),1,0)+IF(ISNUMBER(SEARCH(MAP_TNHN!B61&amp;" (2 tiết)",'PL12'!$S$18)),1,0)+IF(ISNUMBER(SEARCH(MAP_TNHN!B61&amp;" (2 tiết)",'PL12'!$S$19)),1,0))))</f>
        <v>0</v>
      </c>
      <c r="AX60">
        <f>IF(N60="",0,IF(MAP_TNHN!C61="",N60*3,N60*3-2*(IF(ISNUMBER(SEARCH(MAP_TNHN!C61&amp;" (1 tiết)",'PL11'!$S$5)),1,0)+IF(ISNUMBER(SEARCH(MAP_TNHN!C61&amp;" (1 tiết)",'PL11'!$S$6)),1,0)+IF(ISNUMBER(SEARCH(MAP_TNHN!C61&amp;" (1 tiết)",'PL11'!$S$7)),1,0)+IF(ISNUMBER(SEARCH(MAP_TNHN!C61&amp;" (1 tiết)",'PL11'!$S$8)),1,0)+IF(ISNUMBER(SEARCH(MAP_TNHN!C61&amp;" (1 tiết)",'PL11'!$S$9)),1,0)+IF(ISNUMBER(SEARCH(MAP_TNHN!C61&amp;" (1 tiết)",'PL11'!$S$10)),1,0)+IF(ISNUMBER(SEARCH(MAP_TNHN!C61&amp;" (1 tiết)",'PL11'!$S$11)),1,0)+IF(ISNUMBER(SEARCH(MAP_TNHN!C61&amp;" (1 tiết)",'PL11'!$S$12)),1,0)+IF(ISNUMBER(SEARCH(MAP_TNHN!C61&amp;" (1 tiết)",'PL11'!$S$13)),1,0)+IF(ISNUMBER(SEARCH(MAP_TNHN!C61&amp;" (1 tiết)",'PL11'!$S$14)),1,0)+IF(ISNUMBER(SEARCH(MAP_TNHN!C61&amp;" (1 tiết)",'PL11'!$S$15)),1,0)+IF(ISNUMBER(SEARCH(MAP_TNHN!C61&amp;" (1 tiết)",'PL11'!$S$16)),1,0)+IF(ISNUMBER(SEARCH(MAP_TNHN!C61&amp;" (1 tiết)",'PL11'!$S$17)),1,0)+IF(ISNUMBER(SEARCH(MAP_TNHN!C61&amp;" (1 tiết)",'PL11'!$S$18)),1,0))-(IF(ISNUMBER(SEARCH(MAP_TNHN!C61&amp;" (2 tiết)",'PL11'!$S$5)),1,0)+IF(ISNUMBER(SEARCH(MAP_TNHN!C61&amp;" (2 tiết)",'PL11'!$S$6)),1,0)+IF(ISNUMBER(SEARCH(MAP_TNHN!C61&amp;" (2 tiết)",'PL11'!$S$7)),1,0)+IF(ISNUMBER(SEARCH(MAP_TNHN!C61&amp;" (2 tiết)",'PL11'!$S$8)),1,0)+IF(ISNUMBER(SEARCH(MAP_TNHN!C61&amp;" (2 tiết)",'PL11'!$S$9)),1,0)+IF(ISNUMBER(SEARCH(MAP_TNHN!C61&amp;" (2 tiết)",'PL11'!$S$10)),1,0)+IF(ISNUMBER(SEARCH(MAP_TNHN!C61&amp;" (2 tiết)",'PL11'!$S$11)),1,0)+IF(ISNUMBER(SEARCH(MAP_TNHN!C61&amp;" (2 tiết)",'PL11'!$S$12)),1,0)+IF(ISNUMBER(SEARCH(MAP_TNHN!C61&amp;" (2 tiết)",'PL11'!$S$13)),1,0)+IF(ISNUMBER(SEARCH(MAP_TNHN!C61&amp;" (2 tiết)",'PL11'!$S$14)),1,0)+IF(ISNUMBER(SEARCH(MAP_TNHN!C61&amp;" (2 tiết)",'PL11'!$S$15)),1,0)+IF(ISNUMBER(SEARCH(MAP_TNHN!C61&amp;" (2 tiết)",'PL11'!$S$16)),1,0)+IF(ISNUMBER(SEARCH(MAP_TNHN!C61&amp;" (2 tiết)",'PL11'!$S$17)),1,0)+IF(ISNUMBER(SEARCH(MAP_TNHN!C61&amp;" (2 tiết)",'PL11'!$S$18)),1,0))))</f>
        <v>0</v>
      </c>
      <c r="AY60">
        <f>IF(S60="",0,IF(MAP_TNHN!D61="",S60*3,S60*3-2*(IF(ISNUMBER(SEARCH(MAP_TNHN!D61&amp;" (1 tiết)",'PL10'!$S$5)),1,0)+IF(ISNUMBER(SEARCH(MAP_TNHN!D61&amp;" (1 tiết)",'PL10'!$S$6)),1,0)+IF(ISNUMBER(SEARCH(MAP_TNHN!D61&amp;" (1 tiết)",'PL10'!$S$7)),1,0)+IF(ISNUMBER(SEARCH(MAP_TNHN!D61&amp;" (1 tiết)",'PL10'!$S$8)),1,0)+IF(ISNUMBER(SEARCH(MAP_TNHN!D61&amp;" (1 tiết)",'PL10'!$S$9)),1,0)+IF(ISNUMBER(SEARCH(MAP_TNHN!D61&amp;" (1 tiết)",'PL10'!$S$10)),1,0)+IF(ISNUMBER(SEARCH(MAP_TNHN!D61&amp;" (1 tiết)",'PL10'!$S$11)),1,0)+IF(ISNUMBER(SEARCH(MAP_TNHN!D61&amp;" (1 tiết)",'PL10'!$S$12)),1,0)+IF(ISNUMBER(SEARCH(MAP_TNHN!D61&amp;" (1 tiết)",'PL10'!$S$13)),1,0)+IF(ISNUMBER(SEARCH(MAP_TNHN!D61&amp;" (1 tiết)",'PL10'!$S$14)),1,0)+IF(ISNUMBER(SEARCH(MAP_TNHN!D61&amp;" (1 tiết)",'PL10'!$S$15)),1,0)+IF(ISNUMBER(SEARCH(MAP_TNHN!D61&amp;" (1 tiết)",'PL10'!$S$16)),1,0)+IF(ISNUMBER(SEARCH(MAP_TNHN!D61&amp;" (1 tiết)",'PL10'!$S$17)),1,0)+IF(ISNUMBER(SEARCH(MAP_TNHN!D61&amp;" (1 tiết)",'PL10'!$S$18)),1,0)+IF(ISNUMBER(SEARCH(MAP_TNHN!D61&amp;" (1 tiết)",'PL10'!$S$19)),1,0)+IF(ISNUMBER(SEARCH(MAP_TNHN!D61&amp;" (1 tiết)",'PL10'!$S$20)),1,0)+IF(ISNUMBER(SEARCH(MAP_TNHN!D61&amp;" (1 tiết)",'PL10'!$S$21)),1,0)+IF(ISNUMBER(SEARCH(MAP_TNHN!D61&amp;" (1 tiết)",'PL10'!$S$22)),1,0)+IF(ISNUMBER(SEARCH(MAP_TNHN!D61&amp;" (1 tiết)",'PL10'!$S$23)),1,0)+IF(ISNUMBER(SEARCH(MAP_TNHN!D61&amp;" (1 tiết)",'PL10'!$S$24)),1,0)+IF(ISNUMBER(SEARCH(MAP_TNHN!D61&amp;" (1 tiết)",'PL10'!$S$25)),1,0))-(IF(ISNUMBER(SEARCH(MAP_TNHN!D61&amp;" (2 tiết)",'PL10'!$S$5)),1,0)+IF(ISNUMBER(SEARCH(MAP_TNHN!D61&amp;" (2 tiết)",'PL10'!$S$6)),1,0)+IF(ISNUMBER(SEARCH(MAP_TNHN!D61&amp;" (2 tiết)",'PL10'!$S$7)),1,0)+IF(ISNUMBER(SEARCH(MAP_TNHN!D61&amp;" (2 tiết)",'PL10'!$S$8)),1,0)+IF(ISNUMBER(SEARCH(MAP_TNHN!D61&amp;" (2 tiết)",'PL10'!$S$9)),1,0)+IF(ISNUMBER(SEARCH(MAP_TNHN!D61&amp;" (2 tiết)",'PL10'!$S$10)),1,0)+IF(ISNUMBER(SEARCH(MAP_TNHN!D61&amp;" (2 tiết)",'PL10'!$S$11)),1,0)+IF(ISNUMBER(SEARCH(MAP_TNHN!D61&amp;" (2 tiết)",'PL10'!$S$12)),1,0)+IF(ISNUMBER(SEARCH(MAP_TNHN!D61&amp;" (2 tiết)",'PL10'!$S$13)),1,0)+IF(ISNUMBER(SEARCH(MAP_TNHN!D61&amp;" (2 tiết)",'PL10'!$S$14)),1,0)+IF(ISNUMBER(SEARCH(MAP_TNHN!D61&amp;" (2 tiết)",'PL10'!$S$15)),1,0)+IF(ISNUMBER(SEARCH(MAP_TNHN!D61&amp;" (2 tiết)",'PL10'!$S$16)),1,0)+IF(ISNUMBER(SEARCH(MAP_TNHN!D61&amp;" (2 tiết)",'PL10'!$S$17)),1,0)+IF(ISNUMBER(SEARCH(MAP_TNHN!D61&amp;" (2 tiết)",'PL10'!$S$18)),1,0)+IF(ISNUMBER(SEARCH(MAP_TNHN!D61&amp;" (2 tiết)",'PL10'!$S$19)),1,0)+IF(ISNUMBER(SEARCH(MAP_TNHN!D61&amp;" (2 tiết)",'PL10'!$S$20)),1,0)+IF(ISNUMBER(SEARCH(MAP_TNHN!D61&amp;" (2 tiết)",'PL10'!$S$21)),1,0)+IF(ISNUMBER(SEARCH(MAP_TNHN!D61&amp;" (2 tiết)",'PL10'!$S$22)),1,0)+IF(ISNUMBER(SEARCH(MAP_TNHN!D61&amp;" (2 tiết)",'PL10'!$S$23)),1,0)+IF(ISNUMBER(SEARCH(MAP_TNHN!D61&amp;" (2 tiết)",'PL10'!$S$24)),1,0)+IF(ISNUMBER(SEARCH(MAP_TNHN!D61&amp;" (2 tiết)",'PL10'!$S$25)),1,0))))</f>
        <v>0</v>
      </c>
    </row>
    <row r="61" spans="1:51" x14ac:dyDescent="0.35">
      <c r="A61" s="311"/>
      <c r="B61" s="11">
        <v>10</v>
      </c>
      <c r="C61" s="12" t="s">
        <v>141</v>
      </c>
      <c r="D61" s="21">
        <v>10</v>
      </c>
      <c r="E61" s="45">
        <v>2</v>
      </c>
      <c r="F61" s="45"/>
      <c r="G61" s="45">
        <v>1</v>
      </c>
      <c r="H61" s="45">
        <v>2</v>
      </c>
      <c r="I61" s="161"/>
      <c r="J61" s="45"/>
      <c r="K61" s="46"/>
      <c r="L61" s="46"/>
      <c r="M61" s="46"/>
      <c r="N61" s="164"/>
      <c r="O61" s="46"/>
      <c r="P61" s="47">
        <v>2</v>
      </c>
      <c r="Q61" s="47">
        <v>1</v>
      </c>
      <c r="R61" s="47">
        <v>2</v>
      </c>
      <c r="S61" s="167">
        <v>1</v>
      </c>
      <c r="T61" s="47"/>
      <c r="U61" s="11">
        <f>E61*'Phân tiết'!$M$5+G61*('Phân tiết'!$M$21/3)+H61*'Phân tiết'!$L$26+AW61+J61*'Phân tiết'!$M$20+K61*'Phân tiết'!$I$5+M61*('Phân tiết'!$I$21/3)+AX61+O61*'Phân tiết'!$I$20+P61*'Phân tiết'!$E$5+R61*('Phân tiết'!$E$21/3)+AY61+T61*'Phân tiết'!$E$20</f>
        <v>20</v>
      </c>
      <c r="V61" s="8">
        <f t="shared" si="15"/>
        <v>4</v>
      </c>
      <c r="W61" s="6"/>
      <c r="X61" s="6"/>
      <c r="Y61" s="11">
        <v>0</v>
      </c>
      <c r="Z61" s="43">
        <f t="shared" si="16"/>
        <v>24</v>
      </c>
      <c r="AA61" s="34">
        <f t="shared" si="18"/>
        <v>7</v>
      </c>
      <c r="AB61" s="8"/>
      <c r="AC61" s="8"/>
      <c r="AD61" s="6">
        <f t="shared" si="3"/>
        <v>0</v>
      </c>
      <c r="AE61" s="8"/>
      <c r="AF61" s="8"/>
      <c r="AG61" s="6">
        <f t="shared" si="5"/>
        <v>0</v>
      </c>
      <c r="AH61" s="8"/>
      <c r="AI61" s="8"/>
      <c r="AJ61" s="6">
        <f t="shared" si="17"/>
        <v>0</v>
      </c>
      <c r="AK61" s="6">
        <f t="shared" si="6"/>
        <v>231</v>
      </c>
      <c r="AL61" s="11"/>
      <c r="AM61" s="11"/>
      <c r="AN61" s="11"/>
      <c r="AO61" s="11" t="s">
        <v>46</v>
      </c>
      <c r="AP61" s="11" t="s">
        <v>46</v>
      </c>
      <c r="AQ61" s="11" t="s">
        <v>46</v>
      </c>
      <c r="AR61" s="11"/>
      <c r="AS61" s="11"/>
      <c r="AT61" s="11" t="s">
        <v>46</v>
      </c>
      <c r="AU61" s="11"/>
      <c r="AV61" s="8"/>
      <c r="AW61">
        <f>IF(I61="",0,IF(MAP_TNHN!B62="",I61*3,I61*3-2*(IF(ISNUMBER(SEARCH(MAP_TNHN!B62&amp;" (1 tiết)",'PL12'!$S$5)),1,0)+IF(ISNUMBER(SEARCH(MAP_TNHN!B62&amp;" (1 tiết)",'PL12'!$S$6)),1,0)+IF(ISNUMBER(SEARCH(MAP_TNHN!B62&amp;" (1 tiết)",'PL12'!$S$7)),1,0)+IF(ISNUMBER(SEARCH(MAP_TNHN!B62&amp;" (1 tiết)",'PL12'!$S$8)),1,0)+IF(ISNUMBER(SEARCH(MAP_TNHN!B62&amp;" (1 tiết)",'PL12'!$S$9)),1,0)+IF(ISNUMBER(SEARCH(MAP_TNHN!B62&amp;" (1 tiết)",'PL12'!$S$10)),1,0)+IF(ISNUMBER(SEARCH(MAP_TNHN!B62&amp;" (1 tiết)",'PL12'!$S$11)),1,0)+IF(ISNUMBER(SEARCH(MAP_TNHN!B62&amp;" (1 tiết)",'PL12'!$S$12)),1,0)+IF(ISNUMBER(SEARCH(MAP_TNHN!B62&amp;" (1 tiết)",'PL12'!$S$13)),1,0)+IF(ISNUMBER(SEARCH(MAP_TNHN!B62&amp;" (1 tiết)",'PL12'!$S$14)),1,0)+IF(ISNUMBER(SEARCH(MAP_TNHN!B62&amp;" (1 tiết)",'PL12'!$S$15)),1,0)+IF(ISNUMBER(SEARCH(MAP_TNHN!B62&amp;" (1 tiết)",'PL12'!$S$16)),1,0)+IF(ISNUMBER(SEARCH(MAP_TNHN!B62&amp;" (1 tiết)",'PL12'!$S$17)),1,0)+IF(ISNUMBER(SEARCH(MAP_TNHN!B62&amp;" (1 tiết)",'PL12'!$S$18)),1,0)+IF(ISNUMBER(SEARCH(MAP_TNHN!B62&amp;" (1 tiết)",'PL12'!$S$19)),1,0))-(IF(ISNUMBER(SEARCH(MAP_TNHN!B62&amp;" (2 tiết)",'PL12'!$S$5)),1,0)+IF(ISNUMBER(SEARCH(MAP_TNHN!B62&amp;" (2 tiết)",'PL12'!$S$6)),1,0)+IF(ISNUMBER(SEARCH(MAP_TNHN!B62&amp;" (2 tiết)",'PL12'!$S$7)),1,0)+IF(ISNUMBER(SEARCH(MAP_TNHN!B62&amp;" (2 tiết)",'PL12'!$S$8)),1,0)+IF(ISNUMBER(SEARCH(MAP_TNHN!B62&amp;" (2 tiết)",'PL12'!$S$9)),1,0)+IF(ISNUMBER(SEARCH(MAP_TNHN!B62&amp;" (2 tiết)",'PL12'!$S$10)),1,0)+IF(ISNUMBER(SEARCH(MAP_TNHN!B62&amp;" (2 tiết)",'PL12'!$S$11)),1,0)+IF(ISNUMBER(SEARCH(MAP_TNHN!B62&amp;" (2 tiết)",'PL12'!$S$12)),1,0)+IF(ISNUMBER(SEARCH(MAP_TNHN!B62&amp;" (2 tiết)",'PL12'!$S$13)),1,0)+IF(ISNUMBER(SEARCH(MAP_TNHN!B62&amp;" (2 tiết)",'PL12'!$S$14)),1,0)+IF(ISNUMBER(SEARCH(MAP_TNHN!B62&amp;" (2 tiết)",'PL12'!$S$15)),1,0)+IF(ISNUMBER(SEARCH(MAP_TNHN!B62&amp;" (2 tiết)",'PL12'!$S$16)),1,0)+IF(ISNUMBER(SEARCH(MAP_TNHN!B62&amp;" (2 tiết)",'PL12'!$S$17)),1,0)+IF(ISNUMBER(SEARCH(MAP_TNHN!B62&amp;" (2 tiết)",'PL12'!$S$18)),1,0)+IF(ISNUMBER(SEARCH(MAP_TNHN!B62&amp;" (2 tiết)",'PL12'!$S$19)),1,0))))</f>
        <v>0</v>
      </c>
      <c r="AX61">
        <f>IF(N61="",0,IF(MAP_TNHN!C62="",N61*3,N61*3-2*(IF(ISNUMBER(SEARCH(MAP_TNHN!C62&amp;" (1 tiết)",'PL11'!$S$5)),1,0)+IF(ISNUMBER(SEARCH(MAP_TNHN!C62&amp;" (1 tiết)",'PL11'!$S$6)),1,0)+IF(ISNUMBER(SEARCH(MAP_TNHN!C62&amp;" (1 tiết)",'PL11'!$S$7)),1,0)+IF(ISNUMBER(SEARCH(MAP_TNHN!C62&amp;" (1 tiết)",'PL11'!$S$8)),1,0)+IF(ISNUMBER(SEARCH(MAP_TNHN!C62&amp;" (1 tiết)",'PL11'!$S$9)),1,0)+IF(ISNUMBER(SEARCH(MAP_TNHN!C62&amp;" (1 tiết)",'PL11'!$S$10)),1,0)+IF(ISNUMBER(SEARCH(MAP_TNHN!C62&amp;" (1 tiết)",'PL11'!$S$11)),1,0)+IF(ISNUMBER(SEARCH(MAP_TNHN!C62&amp;" (1 tiết)",'PL11'!$S$12)),1,0)+IF(ISNUMBER(SEARCH(MAP_TNHN!C62&amp;" (1 tiết)",'PL11'!$S$13)),1,0)+IF(ISNUMBER(SEARCH(MAP_TNHN!C62&amp;" (1 tiết)",'PL11'!$S$14)),1,0)+IF(ISNUMBER(SEARCH(MAP_TNHN!C62&amp;" (1 tiết)",'PL11'!$S$15)),1,0)+IF(ISNUMBER(SEARCH(MAP_TNHN!C62&amp;" (1 tiết)",'PL11'!$S$16)),1,0)+IF(ISNUMBER(SEARCH(MAP_TNHN!C62&amp;" (1 tiết)",'PL11'!$S$17)),1,0)+IF(ISNUMBER(SEARCH(MAP_TNHN!C62&amp;" (1 tiết)",'PL11'!$S$18)),1,0))-(IF(ISNUMBER(SEARCH(MAP_TNHN!C62&amp;" (2 tiết)",'PL11'!$S$5)),1,0)+IF(ISNUMBER(SEARCH(MAP_TNHN!C62&amp;" (2 tiết)",'PL11'!$S$6)),1,0)+IF(ISNUMBER(SEARCH(MAP_TNHN!C62&amp;" (2 tiết)",'PL11'!$S$7)),1,0)+IF(ISNUMBER(SEARCH(MAP_TNHN!C62&amp;" (2 tiết)",'PL11'!$S$8)),1,0)+IF(ISNUMBER(SEARCH(MAP_TNHN!C62&amp;" (2 tiết)",'PL11'!$S$9)),1,0)+IF(ISNUMBER(SEARCH(MAP_TNHN!C62&amp;" (2 tiết)",'PL11'!$S$10)),1,0)+IF(ISNUMBER(SEARCH(MAP_TNHN!C62&amp;" (2 tiết)",'PL11'!$S$11)),1,0)+IF(ISNUMBER(SEARCH(MAP_TNHN!C62&amp;" (2 tiết)",'PL11'!$S$12)),1,0)+IF(ISNUMBER(SEARCH(MAP_TNHN!C62&amp;" (2 tiết)",'PL11'!$S$13)),1,0)+IF(ISNUMBER(SEARCH(MAP_TNHN!C62&amp;" (2 tiết)",'PL11'!$S$14)),1,0)+IF(ISNUMBER(SEARCH(MAP_TNHN!C62&amp;" (2 tiết)",'PL11'!$S$15)),1,0)+IF(ISNUMBER(SEARCH(MAP_TNHN!C62&amp;" (2 tiết)",'PL11'!$S$16)),1,0)+IF(ISNUMBER(SEARCH(MAP_TNHN!C62&amp;" (2 tiết)",'PL11'!$S$17)),1,0)+IF(ISNUMBER(SEARCH(MAP_TNHN!C62&amp;" (2 tiết)",'PL11'!$S$18)),1,0))))</f>
        <v>0</v>
      </c>
      <c r="AY61">
        <f>IF(S61="",0,IF(MAP_TNHN!D62="",S61*3,S61*3-2*(IF(ISNUMBER(SEARCH(MAP_TNHN!D62&amp;" (1 tiết)",'PL10'!$S$5)),1,0)+IF(ISNUMBER(SEARCH(MAP_TNHN!D62&amp;" (1 tiết)",'PL10'!$S$6)),1,0)+IF(ISNUMBER(SEARCH(MAP_TNHN!D62&amp;" (1 tiết)",'PL10'!$S$7)),1,0)+IF(ISNUMBER(SEARCH(MAP_TNHN!D62&amp;" (1 tiết)",'PL10'!$S$8)),1,0)+IF(ISNUMBER(SEARCH(MAP_TNHN!D62&amp;" (1 tiết)",'PL10'!$S$9)),1,0)+IF(ISNUMBER(SEARCH(MAP_TNHN!D62&amp;" (1 tiết)",'PL10'!$S$10)),1,0)+IF(ISNUMBER(SEARCH(MAP_TNHN!D62&amp;" (1 tiết)",'PL10'!$S$11)),1,0)+IF(ISNUMBER(SEARCH(MAP_TNHN!D62&amp;" (1 tiết)",'PL10'!$S$12)),1,0)+IF(ISNUMBER(SEARCH(MAP_TNHN!D62&amp;" (1 tiết)",'PL10'!$S$13)),1,0)+IF(ISNUMBER(SEARCH(MAP_TNHN!D62&amp;" (1 tiết)",'PL10'!$S$14)),1,0)+IF(ISNUMBER(SEARCH(MAP_TNHN!D62&amp;" (1 tiết)",'PL10'!$S$15)),1,0)+IF(ISNUMBER(SEARCH(MAP_TNHN!D62&amp;" (1 tiết)",'PL10'!$S$16)),1,0)+IF(ISNUMBER(SEARCH(MAP_TNHN!D62&amp;" (1 tiết)",'PL10'!$S$17)),1,0)+IF(ISNUMBER(SEARCH(MAP_TNHN!D62&amp;" (1 tiết)",'PL10'!$S$18)),1,0)+IF(ISNUMBER(SEARCH(MAP_TNHN!D62&amp;" (1 tiết)",'PL10'!$S$19)),1,0)+IF(ISNUMBER(SEARCH(MAP_TNHN!D62&amp;" (1 tiết)",'PL10'!$S$20)),1,0)+IF(ISNUMBER(SEARCH(MAP_TNHN!D62&amp;" (1 tiết)",'PL10'!$S$21)),1,0)+IF(ISNUMBER(SEARCH(MAP_TNHN!D62&amp;" (1 tiết)",'PL10'!$S$22)),1,0)+IF(ISNUMBER(SEARCH(MAP_TNHN!D62&amp;" (1 tiết)",'PL10'!$S$23)),1,0)+IF(ISNUMBER(SEARCH(MAP_TNHN!D62&amp;" (1 tiết)",'PL10'!$S$24)),1,0)+IF(ISNUMBER(SEARCH(MAP_TNHN!D62&amp;" (1 tiết)",'PL10'!$S$25)),1,0))-(IF(ISNUMBER(SEARCH(MAP_TNHN!D62&amp;" (2 tiết)",'PL10'!$S$5)),1,0)+IF(ISNUMBER(SEARCH(MAP_TNHN!D62&amp;" (2 tiết)",'PL10'!$S$6)),1,0)+IF(ISNUMBER(SEARCH(MAP_TNHN!D62&amp;" (2 tiết)",'PL10'!$S$7)),1,0)+IF(ISNUMBER(SEARCH(MAP_TNHN!D62&amp;" (2 tiết)",'PL10'!$S$8)),1,0)+IF(ISNUMBER(SEARCH(MAP_TNHN!D62&amp;" (2 tiết)",'PL10'!$S$9)),1,0)+IF(ISNUMBER(SEARCH(MAP_TNHN!D62&amp;" (2 tiết)",'PL10'!$S$10)),1,0)+IF(ISNUMBER(SEARCH(MAP_TNHN!D62&amp;" (2 tiết)",'PL10'!$S$11)),1,0)+IF(ISNUMBER(SEARCH(MAP_TNHN!D62&amp;" (2 tiết)",'PL10'!$S$12)),1,0)+IF(ISNUMBER(SEARCH(MAP_TNHN!D62&amp;" (2 tiết)",'PL10'!$S$13)),1,0)+IF(ISNUMBER(SEARCH(MAP_TNHN!D62&amp;" (2 tiết)",'PL10'!$S$14)),1,0)+IF(ISNUMBER(SEARCH(MAP_TNHN!D62&amp;" (2 tiết)",'PL10'!$S$15)),1,0)+IF(ISNUMBER(SEARCH(MAP_TNHN!D62&amp;" (2 tiết)",'PL10'!$S$16)),1,0)+IF(ISNUMBER(SEARCH(MAP_TNHN!D62&amp;" (2 tiết)",'PL10'!$S$17)),1,0)+IF(ISNUMBER(SEARCH(MAP_TNHN!D62&amp;" (2 tiết)",'PL10'!$S$18)),1,0)+IF(ISNUMBER(SEARCH(MAP_TNHN!D62&amp;" (2 tiết)",'PL10'!$S$19)),1,0)+IF(ISNUMBER(SEARCH(MAP_TNHN!D62&amp;" (2 tiết)",'PL10'!$S$20)),1,0)+IF(ISNUMBER(SEARCH(MAP_TNHN!D62&amp;" (2 tiết)",'PL10'!$S$21)),1,0)+IF(ISNUMBER(SEARCH(MAP_TNHN!D62&amp;" (2 tiết)",'PL10'!$S$22)),1,0)+IF(ISNUMBER(SEARCH(MAP_TNHN!D62&amp;" (2 tiết)",'PL10'!$S$23)),1,0)+IF(ISNUMBER(SEARCH(MAP_TNHN!D62&amp;" (2 tiết)",'PL10'!$S$24)),1,0)+IF(ISNUMBER(SEARCH(MAP_TNHN!D62&amp;" (2 tiết)",'PL10'!$S$25)),1,0))))</f>
        <v>1</v>
      </c>
    </row>
    <row r="62" spans="1:51" ht="15.5" x14ac:dyDescent="0.35">
      <c r="A62" s="311"/>
      <c r="B62" s="11">
        <v>11</v>
      </c>
      <c r="C62" s="12" t="s">
        <v>142</v>
      </c>
      <c r="D62" s="21">
        <v>12</v>
      </c>
      <c r="E62" s="45">
        <v>2</v>
      </c>
      <c r="F62" s="45">
        <v>1</v>
      </c>
      <c r="G62" s="45">
        <v>1</v>
      </c>
      <c r="H62" s="45">
        <v>2</v>
      </c>
      <c r="I62" s="308"/>
      <c r="J62" s="45"/>
      <c r="K62" s="46">
        <v>2</v>
      </c>
      <c r="L62" s="46"/>
      <c r="M62" s="46">
        <v>1</v>
      </c>
      <c r="N62" s="164"/>
      <c r="O62" s="46"/>
      <c r="P62" s="47"/>
      <c r="Q62" s="47"/>
      <c r="R62" s="47"/>
      <c r="S62" s="165"/>
      <c r="T62" s="47"/>
      <c r="U62" s="11">
        <f>E62*'Phân tiết'!$M$5+G62*('Phân tiết'!$M$21/3)+H62*'Phân tiết'!$L$26+AW62+J62*'Phân tiết'!$M$20+K62*'Phân tiết'!$I$5+M62*('Phân tiết'!$I$21/3)+AX62+O62*'Phân tiết'!$I$20+P62*'Phân tiết'!$E$5+R62*('Phân tiết'!$E$21/3)+AY62+T62*'Phân tiết'!$E$20</f>
        <v>18</v>
      </c>
      <c r="V62" s="8">
        <f t="shared" si="15"/>
        <v>4</v>
      </c>
      <c r="W62" s="6"/>
      <c r="X62" s="6"/>
      <c r="Y62" s="11"/>
      <c r="Z62" s="43">
        <f t="shared" si="16"/>
        <v>22</v>
      </c>
      <c r="AA62" s="34">
        <f t="shared" si="18"/>
        <v>5</v>
      </c>
      <c r="AB62" s="8"/>
      <c r="AC62" s="8"/>
      <c r="AD62" s="6">
        <f t="shared" si="3"/>
        <v>0</v>
      </c>
      <c r="AE62" s="8"/>
      <c r="AF62" s="8"/>
      <c r="AG62" s="6">
        <f>AE62*AF62*1.5</f>
        <v>0</v>
      </c>
      <c r="AH62" s="8"/>
      <c r="AI62" s="8"/>
      <c r="AJ62" s="6">
        <f t="shared" si="17"/>
        <v>0</v>
      </c>
      <c r="AK62" s="6">
        <f t="shared" si="6"/>
        <v>165</v>
      </c>
      <c r="AL62" s="11"/>
      <c r="AM62"/>
      <c r="AN62" s="11"/>
      <c r="AO62" s="11" t="s">
        <v>46</v>
      </c>
      <c r="AP62" s="11" t="s">
        <v>46</v>
      </c>
      <c r="AQ62" s="11" t="s">
        <v>46</v>
      </c>
      <c r="AR62" s="11"/>
      <c r="AS62" s="11"/>
      <c r="AT62" s="11" t="s">
        <v>46</v>
      </c>
      <c r="AU62" s="11"/>
      <c r="AV62" s="28"/>
      <c r="AW62">
        <f>IF(I62="",0,IF(MAP_TNHN!B63="",I62*3,I62*3-2*(IF(ISNUMBER(SEARCH(MAP_TNHN!B63&amp;" (1 tiết)",'PL12'!$S$5)),1,0)+IF(ISNUMBER(SEARCH(MAP_TNHN!B63&amp;" (1 tiết)",'PL12'!$S$6)),1,0)+IF(ISNUMBER(SEARCH(MAP_TNHN!B63&amp;" (1 tiết)",'PL12'!$S$7)),1,0)+IF(ISNUMBER(SEARCH(MAP_TNHN!B63&amp;" (1 tiết)",'PL12'!$S$8)),1,0)+IF(ISNUMBER(SEARCH(MAP_TNHN!B63&amp;" (1 tiết)",'PL12'!$S$9)),1,0)+IF(ISNUMBER(SEARCH(MAP_TNHN!B63&amp;" (1 tiết)",'PL12'!$S$10)),1,0)+IF(ISNUMBER(SEARCH(MAP_TNHN!B63&amp;" (1 tiết)",'PL12'!$S$11)),1,0)+IF(ISNUMBER(SEARCH(MAP_TNHN!B63&amp;" (1 tiết)",'PL12'!$S$12)),1,0)+IF(ISNUMBER(SEARCH(MAP_TNHN!B63&amp;" (1 tiết)",'PL12'!$S$13)),1,0)+IF(ISNUMBER(SEARCH(MAP_TNHN!B63&amp;" (1 tiết)",'PL12'!$S$14)),1,0)+IF(ISNUMBER(SEARCH(MAP_TNHN!B63&amp;" (1 tiết)",'PL12'!$S$15)),1,0)+IF(ISNUMBER(SEARCH(MAP_TNHN!B63&amp;" (1 tiết)",'PL12'!$S$16)),1,0)+IF(ISNUMBER(SEARCH(MAP_TNHN!B63&amp;" (1 tiết)",'PL12'!$S$17)),1,0)+IF(ISNUMBER(SEARCH(MAP_TNHN!B63&amp;" (1 tiết)",'PL12'!$S$18)),1,0)+IF(ISNUMBER(SEARCH(MAP_TNHN!B63&amp;" (1 tiết)",'PL12'!$S$19)),1,0))-(IF(ISNUMBER(SEARCH(MAP_TNHN!B63&amp;" (2 tiết)",'PL12'!$S$5)),1,0)+IF(ISNUMBER(SEARCH(MAP_TNHN!B63&amp;" (2 tiết)",'PL12'!$S$6)),1,0)+IF(ISNUMBER(SEARCH(MAP_TNHN!B63&amp;" (2 tiết)",'PL12'!$S$7)),1,0)+IF(ISNUMBER(SEARCH(MAP_TNHN!B63&amp;" (2 tiết)",'PL12'!$S$8)),1,0)+IF(ISNUMBER(SEARCH(MAP_TNHN!B63&amp;" (2 tiết)",'PL12'!$S$9)),1,0)+IF(ISNUMBER(SEARCH(MAP_TNHN!B63&amp;" (2 tiết)",'PL12'!$S$10)),1,0)+IF(ISNUMBER(SEARCH(MAP_TNHN!B63&amp;" (2 tiết)",'PL12'!$S$11)),1,0)+IF(ISNUMBER(SEARCH(MAP_TNHN!B63&amp;" (2 tiết)",'PL12'!$S$12)),1,0)+IF(ISNUMBER(SEARCH(MAP_TNHN!B63&amp;" (2 tiết)",'PL12'!$S$13)),1,0)+IF(ISNUMBER(SEARCH(MAP_TNHN!B63&amp;" (2 tiết)",'PL12'!$S$14)),1,0)+IF(ISNUMBER(SEARCH(MAP_TNHN!B63&amp;" (2 tiết)",'PL12'!$S$15)),1,0)+IF(ISNUMBER(SEARCH(MAP_TNHN!B63&amp;" (2 tiết)",'PL12'!$S$16)),1,0)+IF(ISNUMBER(SEARCH(MAP_TNHN!B63&amp;" (2 tiết)",'PL12'!$S$17)),1,0)+IF(ISNUMBER(SEARCH(MAP_TNHN!B63&amp;" (2 tiết)",'PL12'!$S$18)),1,0)+IF(ISNUMBER(SEARCH(MAP_TNHN!B63&amp;" (2 tiết)",'PL12'!$S$19)),1,0))))</f>
        <v>0</v>
      </c>
      <c r="AX62">
        <f>IF(N62="",0,IF(MAP_TNHN!C63="",N62*3,N62*3-2*(IF(ISNUMBER(SEARCH(MAP_TNHN!C63&amp;" (1 tiết)",'PL11'!$S$5)),1,0)+IF(ISNUMBER(SEARCH(MAP_TNHN!C63&amp;" (1 tiết)",'PL11'!$S$6)),1,0)+IF(ISNUMBER(SEARCH(MAP_TNHN!C63&amp;" (1 tiết)",'PL11'!$S$7)),1,0)+IF(ISNUMBER(SEARCH(MAP_TNHN!C63&amp;" (1 tiết)",'PL11'!$S$8)),1,0)+IF(ISNUMBER(SEARCH(MAP_TNHN!C63&amp;" (1 tiết)",'PL11'!$S$9)),1,0)+IF(ISNUMBER(SEARCH(MAP_TNHN!C63&amp;" (1 tiết)",'PL11'!$S$10)),1,0)+IF(ISNUMBER(SEARCH(MAP_TNHN!C63&amp;" (1 tiết)",'PL11'!$S$11)),1,0)+IF(ISNUMBER(SEARCH(MAP_TNHN!C63&amp;" (1 tiết)",'PL11'!$S$12)),1,0)+IF(ISNUMBER(SEARCH(MAP_TNHN!C63&amp;" (1 tiết)",'PL11'!$S$13)),1,0)+IF(ISNUMBER(SEARCH(MAP_TNHN!C63&amp;" (1 tiết)",'PL11'!$S$14)),1,0)+IF(ISNUMBER(SEARCH(MAP_TNHN!C63&amp;" (1 tiết)",'PL11'!$S$15)),1,0)+IF(ISNUMBER(SEARCH(MAP_TNHN!C63&amp;" (1 tiết)",'PL11'!$S$16)),1,0)+IF(ISNUMBER(SEARCH(MAP_TNHN!C63&amp;" (1 tiết)",'PL11'!$S$17)),1,0)+IF(ISNUMBER(SEARCH(MAP_TNHN!C63&amp;" (1 tiết)",'PL11'!$S$18)),1,0))-(IF(ISNUMBER(SEARCH(MAP_TNHN!C63&amp;" (2 tiết)",'PL11'!$S$5)),1,0)+IF(ISNUMBER(SEARCH(MAP_TNHN!C63&amp;" (2 tiết)",'PL11'!$S$6)),1,0)+IF(ISNUMBER(SEARCH(MAP_TNHN!C63&amp;" (2 tiết)",'PL11'!$S$7)),1,0)+IF(ISNUMBER(SEARCH(MAP_TNHN!C63&amp;" (2 tiết)",'PL11'!$S$8)),1,0)+IF(ISNUMBER(SEARCH(MAP_TNHN!C63&amp;" (2 tiết)",'PL11'!$S$9)),1,0)+IF(ISNUMBER(SEARCH(MAP_TNHN!C63&amp;" (2 tiết)",'PL11'!$S$10)),1,0)+IF(ISNUMBER(SEARCH(MAP_TNHN!C63&amp;" (2 tiết)",'PL11'!$S$11)),1,0)+IF(ISNUMBER(SEARCH(MAP_TNHN!C63&amp;" (2 tiết)",'PL11'!$S$12)),1,0)+IF(ISNUMBER(SEARCH(MAP_TNHN!C63&amp;" (2 tiết)",'PL11'!$S$13)),1,0)+IF(ISNUMBER(SEARCH(MAP_TNHN!C63&amp;" (2 tiết)",'PL11'!$S$14)),1,0)+IF(ISNUMBER(SEARCH(MAP_TNHN!C63&amp;" (2 tiết)",'PL11'!$S$15)),1,0)+IF(ISNUMBER(SEARCH(MAP_TNHN!C63&amp;" (2 tiết)",'PL11'!$S$16)),1,0)+IF(ISNUMBER(SEARCH(MAP_TNHN!C63&amp;" (2 tiết)",'PL11'!$S$17)),1,0)+IF(ISNUMBER(SEARCH(MAP_TNHN!C63&amp;" (2 tiết)",'PL11'!$S$18)),1,0))))</f>
        <v>0</v>
      </c>
      <c r="AY62">
        <f>IF(S62="",0,IF(MAP_TNHN!D63="",S62*3,S62*3-2*(IF(ISNUMBER(SEARCH(MAP_TNHN!D63&amp;" (1 tiết)",'PL10'!$S$5)),1,0)+IF(ISNUMBER(SEARCH(MAP_TNHN!D63&amp;" (1 tiết)",'PL10'!$S$6)),1,0)+IF(ISNUMBER(SEARCH(MAP_TNHN!D63&amp;" (1 tiết)",'PL10'!$S$7)),1,0)+IF(ISNUMBER(SEARCH(MAP_TNHN!D63&amp;" (1 tiết)",'PL10'!$S$8)),1,0)+IF(ISNUMBER(SEARCH(MAP_TNHN!D63&amp;" (1 tiết)",'PL10'!$S$9)),1,0)+IF(ISNUMBER(SEARCH(MAP_TNHN!D63&amp;" (1 tiết)",'PL10'!$S$10)),1,0)+IF(ISNUMBER(SEARCH(MAP_TNHN!D63&amp;" (1 tiết)",'PL10'!$S$11)),1,0)+IF(ISNUMBER(SEARCH(MAP_TNHN!D63&amp;" (1 tiết)",'PL10'!$S$12)),1,0)+IF(ISNUMBER(SEARCH(MAP_TNHN!D63&amp;" (1 tiết)",'PL10'!$S$13)),1,0)+IF(ISNUMBER(SEARCH(MAP_TNHN!D63&amp;" (1 tiết)",'PL10'!$S$14)),1,0)+IF(ISNUMBER(SEARCH(MAP_TNHN!D63&amp;" (1 tiết)",'PL10'!$S$15)),1,0)+IF(ISNUMBER(SEARCH(MAP_TNHN!D63&amp;" (1 tiết)",'PL10'!$S$16)),1,0)+IF(ISNUMBER(SEARCH(MAP_TNHN!D63&amp;" (1 tiết)",'PL10'!$S$17)),1,0)+IF(ISNUMBER(SEARCH(MAP_TNHN!D63&amp;" (1 tiết)",'PL10'!$S$18)),1,0)+IF(ISNUMBER(SEARCH(MAP_TNHN!D63&amp;" (1 tiết)",'PL10'!$S$19)),1,0)+IF(ISNUMBER(SEARCH(MAP_TNHN!D63&amp;" (1 tiết)",'PL10'!$S$20)),1,0)+IF(ISNUMBER(SEARCH(MAP_TNHN!D63&amp;" (1 tiết)",'PL10'!$S$21)),1,0)+IF(ISNUMBER(SEARCH(MAP_TNHN!D63&amp;" (1 tiết)",'PL10'!$S$22)),1,0)+IF(ISNUMBER(SEARCH(MAP_TNHN!D63&amp;" (1 tiết)",'PL10'!$S$23)),1,0)+IF(ISNUMBER(SEARCH(MAP_TNHN!D63&amp;" (1 tiết)",'PL10'!$S$24)),1,0)+IF(ISNUMBER(SEARCH(MAP_TNHN!D63&amp;" (1 tiết)",'PL10'!$S$25)),1,0))-(IF(ISNUMBER(SEARCH(MAP_TNHN!D63&amp;" (2 tiết)",'PL10'!$S$5)),1,0)+IF(ISNUMBER(SEARCH(MAP_TNHN!D63&amp;" (2 tiết)",'PL10'!$S$6)),1,0)+IF(ISNUMBER(SEARCH(MAP_TNHN!D63&amp;" (2 tiết)",'PL10'!$S$7)),1,0)+IF(ISNUMBER(SEARCH(MAP_TNHN!D63&amp;" (2 tiết)",'PL10'!$S$8)),1,0)+IF(ISNUMBER(SEARCH(MAP_TNHN!D63&amp;" (2 tiết)",'PL10'!$S$9)),1,0)+IF(ISNUMBER(SEARCH(MAP_TNHN!D63&amp;" (2 tiết)",'PL10'!$S$10)),1,0)+IF(ISNUMBER(SEARCH(MAP_TNHN!D63&amp;" (2 tiết)",'PL10'!$S$11)),1,0)+IF(ISNUMBER(SEARCH(MAP_TNHN!D63&amp;" (2 tiết)",'PL10'!$S$12)),1,0)+IF(ISNUMBER(SEARCH(MAP_TNHN!D63&amp;" (2 tiết)",'PL10'!$S$13)),1,0)+IF(ISNUMBER(SEARCH(MAP_TNHN!D63&amp;" (2 tiết)",'PL10'!$S$14)),1,0)+IF(ISNUMBER(SEARCH(MAP_TNHN!D63&amp;" (2 tiết)",'PL10'!$S$15)),1,0)+IF(ISNUMBER(SEARCH(MAP_TNHN!D63&amp;" (2 tiết)",'PL10'!$S$16)),1,0)+IF(ISNUMBER(SEARCH(MAP_TNHN!D63&amp;" (2 tiết)",'PL10'!$S$17)),1,0)+IF(ISNUMBER(SEARCH(MAP_TNHN!D63&amp;" (2 tiết)",'PL10'!$S$18)),1,0)+IF(ISNUMBER(SEARCH(MAP_TNHN!D63&amp;" (2 tiết)",'PL10'!$S$19)),1,0)+IF(ISNUMBER(SEARCH(MAP_TNHN!D63&amp;" (2 tiết)",'PL10'!$S$20)),1,0)+IF(ISNUMBER(SEARCH(MAP_TNHN!D63&amp;" (2 tiết)",'PL10'!$S$21)),1,0)+IF(ISNUMBER(SEARCH(MAP_TNHN!D63&amp;" (2 tiết)",'PL10'!$S$22)),1,0)+IF(ISNUMBER(SEARCH(MAP_TNHN!D63&amp;" (2 tiết)",'PL10'!$S$23)),1,0)+IF(ISNUMBER(SEARCH(MAP_TNHN!D63&amp;" (2 tiết)",'PL10'!$S$24)),1,0)+IF(ISNUMBER(SEARCH(MAP_TNHN!D63&amp;" (2 tiết)",'PL10'!$S$25)),1,0))))</f>
        <v>0</v>
      </c>
    </row>
    <row r="63" spans="1:51" x14ac:dyDescent="0.35">
      <c r="A63" s="311"/>
      <c r="B63" s="11">
        <v>12</v>
      </c>
      <c r="C63" s="12" t="s">
        <v>143</v>
      </c>
      <c r="D63" s="21">
        <v>10</v>
      </c>
      <c r="E63" s="45"/>
      <c r="F63" s="45"/>
      <c r="G63" s="45"/>
      <c r="H63" s="45"/>
      <c r="I63" s="161"/>
      <c r="J63" s="45"/>
      <c r="K63" s="46">
        <v>2</v>
      </c>
      <c r="L63" s="46"/>
      <c r="M63" s="46">
        <v>1</v>
      </c>
      <c r="N63" s="164"/>
      <c r="O63" s="46"/>
      <c r="P63" s="47">
        <v>2</v>
      </c>
      <c r="Q63" s="47">
        <v>1</v>
      </c>
      <c r="R63" s="47">
        <v>2</v>
      </c>
      <c r="S63" s="167">
        <v>1</v>
      </c>
      <c r="T63" s="47"/>
      <c r="U63" s="11">
        <f>E63*'Phân tiết'!$M$5+G63*('Phân tiết'!$M$21/3)+H63*'Phân tiết'!$L$26+AW63+J63*'Phân tiết'!$M$20+K63*'Phân tiết'!$I$5+M63*('Phân tiết'!$I$21/3)+AX63+O63*'Phân tiết'!$I$20+P63*'Phân tiết'!$E$5+R63*('Phân tiết'!$E$21/3)+AY63+T63*'Phân tiết'!$E$20</f>
        <v>16</v>
      </c>
      <c r="V63" s="8">
        <f t="shared" si="15"/>
        <v>4</v>
      </c>
      <c r="W63" s="6"/>
      <c r="X63" s="6"/>
      <c r="Y63" s="11"/>
      <c r="Z63" s="43">
        <f t="shared" si="16"/>
        <v>20</v>
      </c>
      <c r="AA63" s="34">
        <f t="shared" si="18"/>
        <v>3</v>
      </c>
      <c r="AB63" s="8"/>
      <c r="AC63" s="8"/>
      <c r="AD63" s="6">
        <f t="shared" si="3"/>
        <v>0</v>
      </c>
      <c r="AE63" s="8">
        <v>2</v>
      </c>
      <c r="AF63" s="8">
        <v>15</v>
      </c>
      <c r="AG63" s="6">
        <f t="shared" si="5"/>
        <v>45</v>
      </c>
      <c r="AH63" s="8"/>
      <c r="AI63" s="8"/>
      <c r="AJ63" s="6">
        <f t="shared" si="17"/>
        <v>0</v>
      </c>
      <c r="AK63" s="6">
        <f t="shared" si="6"/>
        <v>144</v>
      </c>
      <c r="AL63" s="11"/>
      <c r="AM63" s="11" t="s">
        <v>112</v>
      </c>
      <c r="AN63" s="11"/>
      <c r="AO63" s="11" t="s">
        <v>46</v>
      </c>
      <c r="AP63" s="11" t="s">
        <v>46</v>
      </c>
      <c r="AQ63" s="11" t="s">
        <v>46</v>
      </c>
      <c r="AR63" s="11"/>
      <c r="AS63" s="11"/>
      <c r="AT63" s="11" t="s">
        <v>46</v>
      </c>
      <c r="AU63" s="11"/>
      <c r="AV63" s="8"/>
      <c r="AW63">
        <f>IF(I63="",0,IF(MAP_TNHN!B64="",I63*3,I63*3-2*(IF(ISNUMBER(SEARCH(MAP_TNHN!B64&amp;" (1 tiết)",'PL12'!$S$5)),1,0)+IF(ISNUMBER(SEARCH(MAP_TNHN!B64&amp;" (1 tiết)",'PL12'!$S$6)),1,0)+IF(ISNUMBER(SEARCH(MAP_TNHN!B64&amp;" (1 tiết)",'PL12'!$S$7)),1,0)+IF(ISNUMBER(SEARCH(MAP_TNHN!B64&amp;" (1 tiết)",'PL12'!$S$8)),1,0)+IF(ISNUMBER(SEARCH(MAP_TNHN!B64&amp;" (1 tiết)",'PL12'!$S$9)),1,0)+IF(ISNUMBER(SEARCH(MAP_TNHN!B64&amp;" (1 tiết)",'PL12'!$S$10)),1,0)+IF(ISNUMBER(SEARCH(MAP_TNHN!B64&amp;" (1 tiết)",'PL12'!$S$11)),1,0)+IF(ISNUMBER(SEARCH(MAP_TNHN!B64&amp;" (1 tiết)",'PL12'!$S$12)),1,0)+IF(ISNUMBER(SEARCH(MAP_TNHN!B64&amp;" (1 tiết)",'PL12'!$S$13)),1,0)+IF(ISNUMBER(SEARCH(MAP_TNHN!B64&amp;" (1 tiết)",'PL12'!$S$14)),1,0)+IF(ISNUMBER(SEARCH(MAP_TNHN!B64&amp;" (1 tiết)",'PL12'!$S$15)),1,0)+IF(ISNUMBER(SEARCH(MAP_TNHN!B64&amp;" (1 tiết)",'PL12'!$S$16)),1,0)+IF(ISNUMBER(SEARCH(MAP_TNHN!B64&amp;" (1 tiết)",'PL12'!$S$17)),1,0)+IF(ISNUMBER(SEARCH(MAP_TNHN!B64&amp;" (1 tiết)",'PL12'!$S$18)),1,0)+IF(ISNUMBER(SEARCH(MAP_TNHN!B64&amp;" (1 tiết)",'PL12'!$S$19)),1,0))-(IF(ISNUMBER(SEARCH(MAP_TNHN!B64&amp;" (2 tiết)",'PL12'!$S$5)),1,0)+IF(ISNUMBER(SEARCH(MAP_TNHN!B64&amp;" (2 tiết)",'PL12'!$S$6)),1,0)+IF(ISNUMBER(SEARCH(MAP_TNHN!B64&amp;" (2 tiết)",'PL12'!$S$7)),1,0)+IF(ISNUMBER(SEARCH(MAP_TNHN!B64&amp;" (2 tiết)",'PL12'!$S$8)),1,0)+IF(ISNUMBER(SEARCH(MAP_TNHN!B64&amp;" (2 tiết)",'PL12'!$S$9)),1,0)+IF(ISNUMBER(SEARCH(MAP_TNHN!B64&amp;" (2 tiết)",'PL12'!$S$10)),1,0)+IF(ISNUMBER(SEARCH(MAP_TNHN!B64&amp;" (2 tiết)",'PL12'!$S$11)),1,0)+IF(ISNUMBER(SEARCH(MAP_TNHN!B64&amp;" (2 tiết)",'PL12'!$S$12)),1,0)+IF(ISNUMBER(SEARCH(MAP_TNHN!B64&amp;" (2 tiết)",'PL12'!$S$13)),1,0)+IF(ISNUMBER(SEARCH(MAP_TNHN!B64&amp;" (2 tiết)",'PL12'!$S$14)),1,0)+IF(ISNUMBER(SEARCH(MAP_TNHN!B64&amp;" (2 tiết)",'PL12'!$S$15)),1,0)+IF(ISNUMBER(SEARCH(MAP_TNHN!B64&amp;" (2 tiết)",'PL12'!$S$16)),1,0)+IF(ISNUMBER(SEARCH(MAP_TNHN!B64&amp;" (2 tiết)",'PL12'!$S$17)),1,0)+IF(ISNUMBER(SEARCH(MAP_TNHN!B64&amp;" (2 tiết)",'PL12'!$S$18)),1,0)+IF(ISNUMBER(SEARCH(MAP_TNHN!B64&amp;" (2 tiết)",'PL12'!$S$19)),1,0))))</f>
        <v>0</v>
      </c>
      <c r="AX63">
        <f>IF(N63="",0,IF(MAP_TNHN!C64="",N63*3,N63*3-2*(IF(ISNUMBER(SEARCH(MAP_TNHN!C64&amp;" (1 tiết)",'PL11'!$S$5)),1,0)+IF(ISNUMBER(SEARCH(MAP_TNHN!C64&amp;" (1 tiết)",'PL11'!$S$6)),1,0)+IF(ISNUMBER(SEARCH(MAP_TNHN!C64&amp;" (1 tiết)",'PL11'!$S$7)),1,0)+IF(ISNUMBER(SEARCH(MAP_TNHN!C64&amp;" (1 tiết)",'PL11'!$S$8)),1,0)+IF(ISNUMBER(SEARCH(MAP_TNHN!C64&amp;" (1 tiết)",'PL11'!$S$9)),1,0)+IF(ISNUMBER(SEARCH(MAP_TNHN!C64&amp;" (1 tiết)",'PL11'!$S$10)),1,0)+IF(ISNUMBER(SEARCH(MAP_TNHN!C64&amp;" (1 tiết)",'PL11'!$S$11)),1,0)+IF(ISNUMBER(SEARCH(MAP_TNHN!C64&amp;" (1 tiết)",'PL11'!$S$12)),1,0)+IF(ISNUMBER(SEARCH(MAP_TNHN!C64&amp;" (1 tiết)",'PL11'!$S$13)),1,0)+IF(ISNUMBER(SEARCH(MAP_TNHN!C64&amp;" (1 tiết)",'PL11'!$S$14)),1,0)+IF(ISNUMBER(SEARCH(MAP_TNHN!C64&amp;" (1 tiết)",'PL11'!$S$15)),1,0)+IF(ISNUMBER(SEARCH(MAP_TNHN!C64&amp;" (1 tiết)",'PL11'!$S$16)),1,0)+IF(ISNUMBER(SEARCH(MAP_TNHN!C64&amp;" (1 tiết)",'PL11'!$S$17)),1,0)+IF(ISNUMBER(SEARCH(MAP_TNHN!C64&amp;" (1 tiết)",'PL11'!$S$18)),1,0))-(IF(ISNUMBER(SEARCH(MAP_TNHN!C64&amp;" (2 tiết)",'PL11'!$S$5)),1,0)+IF(ISNUMBER(SEARCH(MAP_TNHN!C64&amp;" (2 tiết)",'PL11'!$S$6)),1,0)+IF(ISNUMBER(SEARCH(MAP_TNHN!C64&amp;" (2 tiết)",'PL11'!$S$7)),1,0)+IF(ISNUMBER(SEARCH(MAP_TNHN!C64&amp;" (2 tiết)",'PL11'!$S$8)),1,0)+IF(ISNUMBER(SEARCH(MAP_TNHN!C64&amp;" (2 tiết)",'PL11'!$S$9)),1,0)+IF(ISNUMBER(SEARCH(MAP_TNHN!C64&amp;" (2 tiết)",'PL11'!$S$10)),1,0)+IF(ISNUMBER(SEARCH(MAP_TNHN!C64&amp;" (2 tiết)",'PL11'!$S$11)),1,0)+IF(ISNUMBER(SEARCH(MAP_TNHN!C64&amp;" (2 tiết)",'PL11'!$S$12)),1,0)+IF(ISNUMBER(SEARCH(MAP_TNHN!C64&amp;" (2 tiết)",'PL11'!$S$13)),1,0)+IF(ISNUMBER(SEARCH(MAP_TNHN!C64&amp;" (2 tiết)",'PL11'!$S$14)),1,0)+IF(ISNUMBER(SEARCH(MAP_TNHN!C64&amp;" (2 tiết)",'PL11'!$S$15)),1,0)+IF(ISNUMBER(SEARCH(MAP_TNHN!C64&amp;" (2 tiết)",'PL11'!$S$16)),1,0)+IF(ISNUMBER(SEARCH(MAP_TNHN!C64&amp;" (2 tiết)",'PL11'!$S$17)),1,0)+IF(ISNUMBER(SEARCH(MAP_TNHN!C64&amp;" (2 tiết)",'PL11'!$S$18)),1,0))))</f>
        <v>0</v>
      </c>
      <c r="AY63">
        <f>IF(S63="",0,IF(MAP_TNHN!D64="",S63*3,S63*3-2*(IF(ISNUMBER(SEARCH(MAP_TNHN!D64&amp;" (1 tiết)",'PL10'!$S$5)),1,0)+IF(ISNUMBER(SEARCH(MAP_TNHN!D64&amp;" (1 tiết)",'PL10'!$S$6)),1,0)+IF(ISNUMBER(SEARCH(MAP_TNHN!D64&amp;" (1 tiết)",'PL10'!$S$7)),1,0)+IF(ISNUMBER(SEARCH(MAP_TNHN!D64&amp;" (1 tiết)",'PL10'!$S$8)),1,0)+IF(ISNUMBER(SEARCH(MAP_TNHN!D64&amp;" (1 tiết)",'PL10'!$S$9)),1,0)+IF(ISNUMBER(SEARCH(MAP_TNHN!D64&amp;" (1 tiết)",'PL10'!$S$10)),1,0)+IF(ISNUMBER(SEARCH(MAP_TNHN!D64&amp;" (1 tiết)",'PL10'!$S$11)),1,0)+IF(ISNUMBER(SEARCH(MAP_TNHN!D64&amp;" (1 tiết)",'PL10'!$S$12)),1,0)+IF(ISNUMBER(SEARCH(MAP_TNHN!D64&amp;" (1 tiết)",'PL10'!$S$13)),1,0)+IF(ISNUMBER(SEARCH(MAP_TNHN!D64&amp;" (1 tiết)",'PL10'!$S$14)),1,0)+IF(ISNUMBER(SEARCH(MAP_TNHN!D64&amp;" (1 tiết)",'PL10'!$S$15)),1,0)+IF(ISNUMBER(SEARCH(MAP_TNHN!D64&amp;" (1 tiết)",'PL10'!$S$16)),1,0)+IF(ISNUMBER(SEARCH(MAP_TNHN!D64&amp;" (1 tiết)",'PL10'!$S$17)),1,0)+IF(ISNUMBER(SEARCH(MAP_TNHN!D64&amp;" (1 tiết)",'PL10'!$S$18)),1,0)+IF(ISNUMBER(SEARCH(MAP_TNHN!D64&amp;" (1 tiết)",'PL10'!$S$19)),1,0)+IF(ISNUMBER(SEARCH(MAP_TNHN!D64&amp;" (1 tiết)",'PL10'!$S$20)),1,0)+IF(ISNUMBER(SEARCH(MAP_TNHN!D64&amp;" (1 tiết)",'PL10'!$S$21)),1,0)+IF(ISNUMBER(SEARCH(MAP_TNHN!D64&amp;" (1 tiết)",'PL10'!$S$22)),1,0)+IF(ISNUMBER(SEARCH(MAP_TNHN!D64&amp;" (1 tiết)",'PL10'!$S$23)),1,0)+IF(ISNUMBER(SEARCH(MAP_TNHN!D64&amp;" (1 tiết)",'PL10'!$S$24)),1,0)+IF(ISNUMBER(SEARCH(MAP_TNHN!D64&amp;" (1 tiết)",'PL10'!$S$25)),1,0))-(IF(ISNUMBER(SEARCH(MAP_TNHN!D64&amp;" (2 tiết)",'PL10'!$S$5)),1,0)+IF(ISNUMBER(SEARCH(MAP_TNHN!D64&amp;" (2 tiết)",'PL10'!$S$6)),1,0)+IF(ISNUMBER(SEARCH(MAP_TNHN!D64&amp;" (2 tiết)",'PL10'!$S$7)),1,0)+IF(ISNUMBER(SEARCH(MAP_TNHN!D64&amp;" (2 tiết)",'PL10'!$S$8)),1,0)+IF(ISNUMBER(SEARCH(MAP_TNHN!D64&amp;" (2 tiết)",'PL10'!$S$9)),1,0)+IF(ISNUMBER(SEARCH(MAP_TNHN!D64&amp;" (2 tiết)",'PL10'!$S$10)),1,0)+IF(ISNUMBER(SEARCH(MAP_TNHN!D64&amp;" (2 tiết)",'PL10'!$S$11)),1,0)+IF(ISNUMBER(SEARCH(MAP_TNHN!D64&amp;" (2 tiết)",'PL10'!$S$12)),1,0)+IF(ISNUMBER(SEARCH(MAP_TNHN!D64&amp;" (2 tiết)",'PL10'!$S$13)),1,0)+IF(ISNUMBER(SEARCH(MAP_TNHN!D64&amp;" (2 tiết)",'PL10'!$S$14)),1,0)+IF(ISNUMBER(SEARCH(MAP_TNHN!D64&amp;" (2 tiết)",'PL10'!$S$15)),1,0)+IF(ISNUMBER(SEARCH(MAP_TNHN!D64&amp;" (2 tiết)",'PL10'!$S$16)),1,0)+IF(ISNUMBER(SEARCH(MAP_TNHN!D64&amp;" (2 tiết)",'PL10'!$S$17)),1,0)+IF(ISNUMBER(SEARCH(MAP_TNHN!D64&amp;" (2 tiết)",'PL10'!$S$18)),1,0)+IF(ISNUMBER(SEARCH(MAP_TNHN!D64&amp;" (2 tiết)",'PL10'!$S$19)),1,0)+IF(ISNUMBER(SEARCH(MAP_TNHN!D64&amp;" (2 tiết)",'PL10'!$S$20)),1,0)+IF(ISNUMBER(SEARCH(MAP_TNHN!D64&amp;" (2 tiết)",'PL10'!$S$21)),1,0)+IF(ISNUMBER(SEARCH(MAP_TNHN!D64&amp;" (2 tiết)",'PL10'!$S$22)),1,0)+IF(ISNUMBER(SEARCH(MAP_TNHN!D64&amp;" (2 tiết)",'PL10'!$S$23)),1,0)+IF(ISNUMBER(SEARCH(MAP_TNHN!D64&amp;" (2 tiết)",'PL10'!$S$24)),1,0)+IF(ISNUMBER(SEARCH(MAP_TNHN!D64&amp;" (2 tiết)",'PL10'!$S$25)),1,0))))</f>
        <v>1</v>
      </c>
    </row>
    <row r="64" spans="1:51" x14ac:dyDescent="0.35">
      <c r="A64" s="311"/>
      <c r="B64" s="11">
        <v>13</v>
      </c>
      <c r="C64" s="12" t="s">
        <v>144</v>
      </c>
      <c r="D64" s="21">
        <v>12</v>
      </c>
      <c r="E64" s="45">
        <v>2</v>
      </c>
      <c r="F64" s="45">
        <v>1</v>
      </c>
      <c r="G64" s="45">
        <v>1</v>
      </c>
      <c r="H64" s="45">
        <v>2</v>
      </c>
      <c r="I64" s="308"/>
      <c r="J64" s="45"/>
      <c r="K64" s="46">
        <v>2</v>
      </c>
      <c r="L64" s="46"/>
      <c r="M64" s="46">
        <v>1</v>
      </c>
      <c r="N64" s="164"/>
      <c r="O64" s="46"/>
      <c r="P64" s="47"/>
      <c r="Q64" s="47"/>
      <c r="R64" s="47"/>
      <c r="S64" s="165"/>
      <c r="T64" s="47"/>
      <c r="U64" s="11">
        <f>E64*'Phân tiết'!$M$5+G64*('Phân tiết'!$M$21/3)+H64*'Phân tiết'!$L$26+AW64+J64*'Phân tiết'!$M$20+K64*'Phân tiết'!$I$5+M64*('Phân tiết'!$I$21/3)+AX64+O64*'Phân tiết'!$I$20+P64*'Phân tiết'!$E$5+R64*('Phân tiết'!$E$21/3)+AY64+T64*'Phân tiết'!$E$20</f>
        <v>18</v>
      </c>
      <c r="V64" s="8">
        <f t="shared" si="15"/>
        <v>4</v>
      </c>
      <c r="W64" s="6"/>
      <c r="X64" s="6"/>
      <c r="Y64" s="11"/>
      <c r="Z64" s="43">
        <f t="shared" si="16"/>
        <v>22</v>
      </c>
      <c r="AA64" s="34">
        <f>Z64-17</f>
        <v>5</v>
      </c>
      <c r="AB64" s="8">
        <v>2</v>
      </c>
      <c r="AC64" s="8">
        <v>10</v>
      </c>
      <c r="AD64" s="6">
        <f t="shared" si="3"/>
        <v>30</v>
      </c>
      <c r="AE64" s="8"/>
      <c r="AF64" s="8"/>
      <c r="AG64" s="6">
        <f t="shared" si="5"/>
        <v>0</v>
      </c>
      <c r="AH64" s="8"/>
      <c r="AI64" s="8"/>
      <c r="AJ64" s="6"/>
      <c r="AK64" s="6">
        <f t="shared" si="6"/>
        <v>195</v>
      </c>
      <c r="AL64" s="11" t="s">
        <v>48</v>
      </c>
      <c r="AM64" s="11"/>
      <c r="AN64" s="11"/>
      <c r="AO64" s="11" t="s">
        <v>46</v>
      </c>
      <c r="AP64" s="11" t="s">
        <v>46</v>
      </c>
      <c r="AQ64" s="11" t="s">
        <v>46</v>
      </c>
      <c r="AR64" s="11" t="s">
        <v>46</v>
      </c>
      <c r="AS64" s="11" t="s">
        <v>46</v>
      </c>
      <c r="AT64" s="11" t="s">
        <v>46</v>
      </c>
      <c r="AU64" s="11"/>
      <c r="AV64" s="8"/>
      <c r="AW64">
        <f>IF(I64="",0,IF(MAP_TNHN!B65="",I64*3,I64*3-2*(IF(ISNUMBER(SEARCH(MAP_TNHN!B65&amp;" (1 tiết)",'PL12'!$S$5)),1,0)+IF(ISNUMBER(SEARCH(MAP_TNHN!B65&amp;" (1 tiết)",'PL12'!$S$6)),1,0)+IF(ISNUMBER(SEARCH(MAP_TNHN!B65&amp;" (1 tiết)",'PL12'!$S$7)),1,0)+IF(ISNUMBER(SEARCH(MAP_TNHN!B65&amp;" (1 tiết)",'PL12'!$S$8)),1,0)+IF(ISNUMBER(SEARCH(MAP_TNHN!B65&amp;" (1 tiết)",'PL12'!$S$9)),1,0)+IF(ISNUMBER(SEARCH(MAP_TNHN!B65&amp;" (1 tiết)",'PL12'!$S$10)),1,0)+IF(ISNUMBER(SEARCH(MAP_TNHN!B65&amp;" (1 tiết)",'PL12'!$S$11)),1,0)+IF(ISNUMBER(SEARCH(MAP_TNHN!B65&amp;" (1 tiết)",'PL12'!$S$12)),1,0)+IF(ISNUMBER(SEARCH(MAP_TNHN!B65&amp;" (1 tiết)",'PL12'!$S$13)),1,0)+IF(ISNUMBER(SEARCH(MAP_TNHN!B65&amp;" (1 tiết)",'PL12'!$S$14)),1,0)+IF(ISNUMBER(SEARCH(MAP_TNHN!B65&amp;" (1 tiết)",'PL12'!$S$15)),1,0)+IF(ISNUMBER(SEARCH(MAP_TNHN!B65&amp;" (1 tiết)",'PL12'!$S$16)),1,0)+IF(ISNUMBER(SEARCH(MAP_TNHN!B65&amp;" (1 tiết)",'PL12'!$S$17)),1,0)+IF(ISNUMBER(SEARCH(MAP_TNHN!B65&amp;" (1 tiết)",'PL12'!$S$18)),1,0)+IF(ISNUMBER(SEARCH(MAP_TNHN!B65&amp;" (1 tiết)",'PL12'!$S$19)),1,0))-(IF(ISNUMBER(SEARCH(MAP_TNHN!B65&amp;" (2 tiết)",'PL12'!$S$5)),1,0)+IF(ISNUMBER(SEARCH(MAP_TNHN!B65&amp;" (2 tiết)",'PL12'!$S$6)),1,0)+IF(ISNUMBER(SEARCH(MAP_TNHN!B65&amp;" (2 tiết)",'PL12'!$S$7)),1,0)+IF(ISNUMBER(SEARCH(MAP_TNHN!B65&amp;" (2 tiết)",'PL12'!$S$8)),1,0)+IF(ISNUMBER(SEARCH(MAP_TNHN!B65&amp;" (2 tiết)",'PL12'!$S$9)),1,0)+IF(ISNUMBER(SEARCH(MAP_TNHN!B65&amp;" (2 tiết)",'PL12'!$S$10)),1,0)+IF(ISNUMBER(SEARCH(MAP_TNHN!B65&amp;" (2 tiết)",'PL12'!$S$11)),1,0)+IF(ISNUMBER(SEARCH(MAP_TNHN!B65&amp;" (2 tiết)",'PL12'!$S$12)),1,0)+IF(ISNUMBER(SEARCH(MAP_TNHN!B65&amp;" (2 tiết)",'PL12'!$S$13)),1,0)+IF(ISNUMBER(SEARCH(MAP_TNHN!B65&amp;" (2 tiết)",'PL12'!$S$14)),1,0)+IF(ISNUMBER(SEARCH(MAP_TNHN!B65&amp;" (2 tiết)",'PL12'!$S$15)),1,0)+IF(ISNUMBER(SEARCH(MAP_TNHN!B65&amp;" (2 tiết)",'PL12'!$S$16)),1,0)+IF(ISNUMBER(SEARCH(MAP_TNHN!B65&amp;" (2 tiết)",'PL12'!$S$17)),1,0)+IF(ISNUMBER(SEARCH(MAP_TNHN!B65&amp;" (2 tiết)",'PL12'!$S$18)),1,0)+IF(ISNUMBER(SEARCH(MAP_TNHN!B65&amp;" (2 tiết)",'PL12'!$S$19)),1,0))))</f>
        <v>0</v>
      </c>
      <c r="AX64">
        <f>IF(N64="",0,IF(MAP_TNHN!C65="",N64*3,N64*3-2*(IF(ISNUMBER(SEARCH(MAP_TNHN!C65&amp;" (1 tiết)",'PL11'!$S$5)),1,0)+IF(ISNUMBER(SEARCH(MAP_TNHN!C65&amp;" (1 tiết)",'PL11'!$S$6)),1,0)+IF(ISNUMBER(SEARCH(MAP_TNHN!C65&amp;" (1 tiết)",'PL11'!$S$7)),1,0)+IF(ISNUMBER(SEARCH(MAP_TNHN!C65&amp;" (1 tiết)",'PL11'!$S$8)),1,0)+IF(ISNUMBER(SEARCH(MAP_TNHN!C65&amp;" (1 tiết)",'PL11'!$S$9)),1,0)+IF(ISNUMBER(SEARCH(MAP_TNHN!C65&amp;" (1 tiết)",'PL11'!$S$10)),1,0)+IF(ISNUMBER(SEARCH(MAP_TNHN!C65&amp;" (1 tiết)",'PL11'!$S$11)),1,0)+IF(ISNUMBER(SEARCH(MAP_TNHN!C65&amp;" (1 tiết)",'PL11'!$S$12)),1,0)+IF(ISNUMBER(SEARCH(MAP_TNHN!C65&amp;" (1 tiết)",'PL11'!$S$13)),1,0)+IF(ISNUMBER(SEARCH(MAP_TNHN!C65&amp;" (1 tiết)",'PL11'!$S$14)),1,0)+IF(ISNUMBER(SEARCH(MAP_TNHN!C65&amp;" (1 tiết)",'PL11'!$S$15)),1,0)+IF(ISNUMBER(SEARCH(MAP_TNHN!C65&amp;" (1 tiết)",'PL11'!$S$16)),1,0)+IF(ISNUMBER(SEARCH(MAP_TNHN!C65&amp;" (1 tiết)",'PL11'!$S$17)),1,0)+IF(ISNUMBER(SEARCH(MAP_TNHN!C65&amp;" (1 tiết)",'PL11'!$S$18)),1,0))-(IF(ISNUMBER(SEARCH(MAP_TNHN!C65&amp;" (2 tiết)",'PL11'!$S$5)),1,0)+IF(ISNUMBER(SEARCH(MAP_TNHN!C65&amp;" (2 tiết)",'PL11'!$S$6)),1,0)+IF(ISNUMBER(SEARCH(MAP_TNHN!C65&amp;" (2 tiết)",'PL11'!$S$7)),1,0)+IF(ISNUMBER(SEARCH(MAP_TNHN!C65&amp;" (2 tiết)",'PL11'!$S$8)),1,0)+IF(ISNUMBER(SEARCH(MAP_TNHN!C65&amp;" (2 tiết)",'PL11'!$S$9)),1,0)+IF(ISNUMBER(SEARCH(MAP_TNHN!C65&amp;" (2 tiết)",'PL11'!$S$10)),1,0)+IF(ISNUMBER(SEARCH(MAP_TNHN!C65&amp;" (2 tiết)",'PL11'!$S$11)),1,0)+IF(ISNUMBER(SEARCH(MAP_TNHN!C65&amp;" (2 tiết)",'PL11'!$S$12)),1,0)+IF(ISNUMBER(SEARCH(MAP_TNHN!C65&amp;" (2 tiết)",'PL11'!$S$13)),1,0)+IF(ISNUMBER(SEARCH(MAP_TNHN!C65&amp;" (2 tiết)",'PL11'!$S$14)),1,0)+IF(ISNUMBER(SEARCH(MAP_TNHN!C65&amp;" (2 tiết)",'PL11'!$S$15)),1,0)+IF(ISNUMBER(SEARCH(MAP_TNHN!C65&amp;" (2 tiết)",'PL11'!$S$16)),1,0)+IF(ISNUMBER(SEARCH(MAP_TNHN!C65&amp;" (2 tiết)",'PL11'!$S$17)),1,0)+IF(ISNUMBER(SEARCH(MAP_TNHN!C65&amp;" (2 tiết)",'PL11'!$S$18)),1,0))))</f>
        <v>0</v>
      </c>
      <c r="AY64">
        <f>IF(S64="",0,IF(MAP_TNHN!D65="",S64*3,S64*3-2*(IF(ISNUMBER(SEARCH(MAP_TNHN!D65&amp;" (1 tiết)",'PL10'!$S$5)),1,0)+IF(ISNUMBER(SEARCH(MAP_TNHN!D65&amp;" (1 tiết)",'PL10'!$S$6)),1,0)+IF(ISNUMBER(SEARCH(MAP_TNHN!D65&amp;" (1 tiết)",'PL10'!$S$7)),1,0)+IF(ISNUMBER(SEARCH(MAP_TNHN!D65&amp;" (1 tiết)",'PL10'!$S$8)),1,0)+IF(ISNUMBER(SEARCH(MAP_TNHN!D65&amp;" (1 tiết)",'PL10'!$S$9)),1,0)+IF(ISNUMBER(SEARCH(MAP_TNHN!D65&amp;" (1 tiết)",'PL10'!$S$10)),1,0)+IF(ISNUMBER(SEARCH(MAP_TNHN!D65&amp;" (1 tiết)",'PL10'!$S$11)),1,0)+IF(ISNUMBER(SEARCH(MAP_TNHN!D65&amp;" (1 tiết)",'PL10'!$S$12)),1,0)+IF(ISNUMBER(SEARCH(MAP_TNHN!D65&amp;" (1 tiết)",'PL10'!$S$13)),1,0)+IF(ISNUMBER(SEARCH(MAP_TNHN!D65&amp;" (1 tiết)",'PL10'!$S$14)),1,0)+IF(ISNUMBER(SEARCH(MAP_TNHN!D65&amp;" (1 tiết)",'PL10'!$S$15)),1,0)+IF(ISNUMBER(SEARCH(MAP_TNHN!D65&amp;" (1 tiết)",'PL10'!$S$16)),1,0)+IF(ISNUMBER(SEARCH(MAP_TNHN!D65&amp;" (1 tiết)",'PL10'!$S$17)),1,0)+IF(ISNUMBER(SEARCH(MAP_TNHN!D65&amp;" (1 tiết)",'PL10'!$S$18)),1,0)+IF(ISNUMBER(SEARCH(MAP_TNHN!D65&amp;" (1 tiết)",'PL10'!$S$19)),1,0)+IF(ISNUMBER(SEARCH(MAP_TNHN!D65&amp;" (1 tiết)",'PL10'!$S$20)),1,0)+IF(ISNUMBER(SEARCH(MAP_TNHN!D65&amp;" (1 tiết)",'PL10'!$S$21)),1,0)+IF(ISNUMBER(SEARCH(MAP_TNHN!D65&amp;" (1 tiết)",'PL10'!$S$22)),1,0)+IF(ISNUMBER(SEARCH(MAP_TNHN!D65&amp;" (1 tiết)",'PL10'!$S$23)),1,0)+IF(ISNUMBER(SEARCH(MAP_TNHN!D65&amp;" (1 tiết)",'PL10'!$S$24)),1,0)+IF(ISNUMBER(SEARCH(MAP_TNHN!D65&amp;" (1 tiết)",'PL10'!$S$25)),1,0))-(IF(ISNUMBER(SEARCH(MAP_TNHN!D65&amp;" (2 tiết)",'PL10'!$S$5)),1,0)+IF(ISNUMBER(SEARCH(MAP_TNHN!D65&amp;" (2 tiết)",'PL10'!$S$6)),1,0)+IF(ISNUMBER(SEARCH(MAP_TNHN!D65&amp;" (2 tiết)",'PL10'!$S$7)),1,0)+IF(ISNUMBER(SEARCH(MAP_TNHN!D65&amp;" (2 tiết)",'PL10'!$S$8)),1,0)+IF(ISNUMBER(SEARCH(MAP_TNHN!D65&amp;" (2 tiết)",'PL10'!$S$9)),1,0)+IF(ISNUMBER(SEARCH(MAP_TNHN!D65&amp;" (2 tiết)",'PL10'!$S$10)),1,0)+IF(ISNUMBER(SEARCH(MAP_TNHN!D65&amp;" (2 tiết)",'PL10'!$S$11)),1,0)+IF(ISNUMBER(SEARCH(MAP_TNHN!D65&amp;" (2 tiết)",'PL10'!$S$12)),1,0)+IF(ISNUMBER(SEARCH(MAP_TNHN!D65&amp;" (2 tiết)",'PL10'!$S$13)),1,0)+IF(ISNUMBER(SEARCH(MAP_TNHN!D65&amp;" (2 tiết)",'PL10'!$S$14)),1,0)+IF(ISNUMBER(SEARCH(MAP_TNHN!D65&amp;" (2 tiết)",'PL10'!$S$15)),1,0)+IF(ISNUMBER(SEARCH(MAP_TNHN!D65&amp;" (2 tiết)",'PL10'!$S$16)),1,0)+IF(ISNUMBER(SEARCH(MAP_TNHN!D65&amp;" (2 tiết)",'PL10'!$S$17)),1,0)+IF(ISNUMBER(SEARCH(MAP_TNHN!D65&amp;" (2 tiết)",'PL10'!$S$18)),1,0)+IF(ISNUMBER(SEARCH(MAP_TNHN!D65&amp;" (2 tiết)",'PL10'!$S$19)),1,0)+IF(ISNUMBER(SEARCH(MAP_TNHN!D65&amp;" (2 tiết)",'PL10'!$S$20)),1,0)+IF(ISNUMBER(SEARCH(MAP_TNHN!D65&amp;" (2 tiết)",'PL10'!$S$21)),1,0)+IF(ISNUMBER(SEARCH(MAP_TNHN!D65&amp;" (2 tiết)",'PL10'!$S$22)),1,0)+IF(ISNUMBER(SEARCH(MAP_TNHN!D65&amp;" (2 tiết)",'PL10'!$S$23)),1,0)+IF(ISNUMBER(SEARCH(MAP_TNHN!D65&amp;" (2 tiết)",'PL10'!$S$24)),1,0)+IF(ISNUMBER(SEARCH(MAP_TNHN!D65&amp;" (2 tiết)",'PL10'!$S$25)),1,0))))</f>
        <v>0</v>
      </c>
    </row>
    <row r="65" spans="1:51" ht="60" x14ac:dyDescent="0.35">
      <c r="A65" s="310"/>
      <c r="B65" s="11">
        <v>14</v>
      </c>
      <c r="C65" s="12" t="s">
        <v>145</v>
      </c>
      <c r="D65" s="21"/>
      <c r="E65" s="45"/>
      <c r="F65" s="45"/>
      <c r="G65" s="45"/>
      <c r="H65" s="45"/>
      <c r="I65" s="161"/>
      <c r="J65" s="45"/>
      <c r="K65" s="46">
        <v>2</v>
      </c>
      <c r="L65" s="46"/>
      <c r="M65" s="46"/>
      <c r="N65" s="164"/>
      <c r="O65" s="46"/>
      <c r="P65" s="47">
        <v>3</v>
      </c>
      <c r="Q65" s="47"/>
      <c r="R65" s="47"/>
      <c r="S65" s="165"/>
      <c r="T65" s="47"/>
      <c r="U65" s="11">
        <f>E65*'Phân tiết'!$M$5+G65*('Phân tiết'!$M$21/3)+H65*'Phân tiết'!$L$26+AW65+J65*'Phân tiết'!$M$20+K65*'Phân tiết'!$I$5+M65*('Phân tiết'!$I$21/3)+AX65+O65*'Phân tiết'!$I$20+P65*'Phân tiết'!$E$5+R65*('Phân tiết'!$E$21/3)+AY65+T65*'Phân tiết'!$E$20</f>
        <v>15</v>
      </c>
      <c r="V65" s="8">
        <f t="shared" si="15"/>
        <v>0</v>
      </c>
      <c r="W65" s="6"/>
      <c r="X65" s="6"/>
      <c r="Y65" s="11"/>
      <c r="Z65" s="43">
        <f t="shared" si="16"/>
        <v>15</v>
      </c>
      <c r="AA65" s="34"/>
      <c r="AB65" s="8"/>
      <c r="AC65" s="8"/>
      <c r="AD65" s="6">
        <f t="shared" si="3"/>
        <v>0</v>
      </c>
      <c r="AE65" s="8">
        <v>2</v>
      </c>
      <c r="AF65" s="8">
        <v>15</v>
      </c>
      <c r="AG65" s="6">
        <f t="shared" si="5"/>
        <v>45</v>
      </c>
      <c r="AH65" s="8"/>
      <c r="AI65" s="8"/>
      <c r="AJ65" s="6"/>
      <c r="AK65" s="6"/>
      <c r="AL65" s="11"/>
      <c r="AM65" s="11" t="s">
        <v>110</v>
      </c>
      <c r="AN65" s="11"/>
      <c r="AO65" s="11"/>
      <c r="AP65" s="11"/>
      <c r="AQ65" s="11"/>
      <c r="AR65" s="11"/>
      <c r="AS65" s="11"/>
      <c r="AT65" s="11"/>
      <c r="AU65" s="11"/>
      <c r="AV65" s="8" t="s">
        <v>146</v>
      </c>
      <c r="AW65">
        <f>IF(I65="",0,IF(MAP_TNHN!B66="",I65*3,I65*3-2*(IF(ISNUMBER(SEARCH(MAP_TNHN!B66&amp;" (1 tiết)",'PL12'!$S$5)),1,0)+IF(ISNUMBER(SEARCH(MAP_TNHN!B66&amp;" (1 tiết)",'PL12'!$S$6)),1,0)+IF(ISNUMBER(SEARCH(MAP_TNHN!B66&amp;" (1 tiết)",'PL12'!$S$7)),1,0)+IF(ISNUMBER(SEARCH(MAP_TNHN!B66&amp;" (1 tiết)",'PL12'!$S$8)),1,0)+IF(ISNUMBER(SEARCH(MAP_TNHN!B66&amp;" (1 tiết)",'PL12'!$S$9)),1,0)+IF(ISNUMBER(SEARCH(MAP_TNHN!B66&amp;" (1 tiết)",'PL12'!$S$10)),1,0)+IF(ISNUMBER(SEARCH(MAP_TNHN!B66&amp;" (1 tiết)",'PL12'!$S$11)),1,0)+IF(ISNUMBER(SEARCH(MAP_TNHN!B66&amp;" (1 tiết)",'PL12'!$S$12)),1,0)+IF(ISNUMBER(SEARCH(MAP_TNHN!B66&amp;" (1 tiết)",'PL12'!$S$13)),1,0)+IF(ISNUMBER(SEARCH(MAP_TNHN!B66&amp;" (1 tiết)",'PL12'!$S$14)),1,0)+IF(ISNUMBER(SEARCH(MAP_TNHN!B66&amp;" (1 tiết)",'PL12'!$S$15)),1,0)+IF(ISNUMBER(SEARCH(MAP_TNHN!B66&amp;" (1 tiết)",'PL12'!$S$16)),1,0)+IF(ISNUMBER(SEARCH(MAP_TNHN!B66&amp;" (1 tiết)",'PL12'!$S$17)),1,0)+IF(ISNUMBER(SEARCH(MAP_TNHN!B66&amp;" (1 tiết)",'PL12'!$S$18)),1,0)+IF(ISNUMBER(SEARCH(MAP_TNHN!B66&amp;" (1 tiết)",'PL12'!$S$19)),1,0))-(IF(ISNUMBER(SEARCH(MAP_TNHN!B66&amp;" (2 tiết)",'PL12'!$S$5)),1,0)+IF(ISNUMBER(SEARCH(MAP_TNHN!B66&amp;" (2 tiết)",'PL12'!$S$6)),1,0)+IF(ISNUMBER(SEARCH(MAP_TNHN!B66&amp;" (2 tiết)",'PL12'!$S$7)),1,0)+IF(ISNUMBER(SEARCH(MAP_TNHN!B66&amp;" (2 tiết)",'PL12'!$S$8)),1,0)+IF(ISNUMBER(SEARCH(MAP_TNHN!B66&amp;" (2 tiết)",'PL12'!$S$9)),1,0)+IF(ISNUMBER(SEARCH(MAP_TNHN!B66&amp;" (2 tiết)",'PL12'!$S$10)),1,0)+IF(ISNUMBER(SEARCH(MAP_TNHN!B66&amp;" (2 tiết)",'PL12'!$S$11)),1,0)+IF(ISNUMBER(SEARCH(MAP_TNHN!B66&amp;" (2 tiết)",'PL12'!$S$12)),1,0)+IF(ISNUMBER(SEARCH(MAP_TNHN!B66&amp;" (2 tiết)",'PL12'!$S$13)),1,0)+IF(ISNUMBER(SEARCH(MAP_TNHN!B66&amp;" (2 tiết)",'PL12'!$S$14)),1,0)+IF(ISNUMBER(SEARCH(MAP_TNHN!B66&amp;" (2 tiết)",'PL12'!$S$15)),1,0)+IF(ISNUMBER(SEARCH(MAP_TNHN!B66&amp;" (2 tiết)",'PL12'!$S$16)),1,0)+IF(ISNUMBER(SEARCH(MAP_TNHN!B66&amp;" (2 tiết)",'PL12'!$S$17)),1,0)+IF(ISNUMBER(SEARCH(MAP_TNHN!B66&amp;" (2 tiết)",'PL12'!$S$18)),1,0)+IF(ISNUMBER(SEARCH(MAP_TNHN!B66&amp;" (2 tiết)",'PL12'!$S$19)),1,0))))</f>
        <v>0</v>
      </c>
      <c r="AX65">
        <f>IF(N65="",0,IF(MAP_TNHN!C66="",N65*3,N65*3-2*(IF(ISNUMBER(SEARCH(MAP_TNHN!C66&amp;" (1 tiết)",'PL11'!$S$5)),1,0)+IF(ISNUMBER(SEARCH(MAP_TNHN!C66&amp;" (1 tiết)",'PL11'!$S$6)),1,0)+IF(ISNUMBER(SEARCH(MAP_TNHN!C66&amp;" (1 tiết)",'PL11'!$S$7)),1,0)+IF(ISNUMBER(SEARCH(MAP_TNHN!C66&amp;" (1 tiết)",'PL11'!$S$8)),1,0)+IF(ISNUMBER(SEARCH(MAP_TNHN!C66&amp;" (1 tiết)",'PL11'!$S$9)),1,0)+IF(ISNUMBER(SEARCH(MAP_TNHN!C66&amp;" (1 tiết)",'PL11'!$S$10)),1,0)+IF(ISNUMBER(SEARCH(MAP_TNHN!C66&amp;" (1 tiết)",'PL11'!$S$11)),1,0)+IF(ISNUMBER(SEARCH(MAP_TNHN!C66&amp;" (1 tiết)",'PL11'!$S$12)),1,0)+IF(ISNUMBER(SEARCH(MAP_TNHN!C66&amp;" (1 tiết)",'PL11'!$S$13)),1,0)+IF(ISNUMBER(SEARCH(MAP_TNHN!C66&amp;" (1 tiết)",'PL11'!$S$14)),1,0)+IF(ISNUMBER(SEARCH(MAP_TNHN!C66&amp;" (1 tiết)",'PL11'!$S$15)),1,0)+IF(ISNUMBER(SEARCH(MAP_TNHN!C66&amp;" (1 tiết)",'PL11'!$S$16)),1,0)+IF(ISNUMBER(SEARCH(MAP_TNHN!C66&amp;" (1 tiết)",'PL11'!$S$17)),1,0)+IF(ISNUMBER(SEARCH(MAP_TNHN!C66&amp;" (1 tiết)",'PL11'!$S$18)),1,0))-(IF(ISNUMBER(SEARCH(MAP_TNHN!C66&amp;" (2 tiết)",'PL11'!$S$5)),1,0)+IF(ISNUMBER(SEARCH(MAP_TNHN!C66&amp;" (2 tiết)",'PL11'!$S$6)),1,0)+IF(ISNUMBER(SEARCH(MAP_TNHN!C66&amp;" (2 tiết)",'PL11'!$S$7)),1,0)+IF(ISNUMBER(SEARCH(MAP_TNHN!C66&amp;" (2 tiết)",'PL11'!$S$8)),1,0)+IF(ISNUMBER(SEARCH(MAP_TNHN!C66&amp;" (2 tiết)",'PL11'!$S$9)),1,0)+IF(ISNUMBER(SEARCH(MAP_TNHN!C66&amp;" (2 tiết)",'PL11'!$S$10)),1,0)+IF(ISNUMBER(SEARCH(MAP_TNHN!C66&amp;" (2 tiết)",'PL11'!$S$11)),1,0)+IF(ISNUMBER(SEARCH(MAP_TNHN!C66&amp;" (2 tiết)",'PL11'!$S$12)),1,0)+IF(ISNUMBER(SEARCH(MAP_TNHN!C66&amp;" (2 tiết)",'PL11'!$S$13)),1,0)+IF(ISNUMBER(SEARCH(MAP_TNHN!C66&amp;" (2 tiết)",'PL11'!$S$14)),1,0)+IF(ISNUMBER(SEARCH(MAP_TNHN!C66&amp;" (2 tiết)",'PL11'!$S$15)),1,0)+IF(ISNUMBER(SEARCH(MAP_TNHN!C66&amp;" (2 tiết)",'PL11'!$S$16)),1,0)+IF(ISNUMBER(SEARCH(MAP_TNHN!C66&amp;" (2 tiết)",'PL11'!$S$17)),1,0)+IF(ISNUMBER(SEARCH(MAP_TNHN!C66&amp;" (2 tiết)",'PL11'!$S$18)),1,0))))</f>
        <v>0</v>
      </c>
      <c r="AY65">
        <f>IF(S65="",0,IF(MAP_TNHN!D66="",S65*3,S65*3-2*(IF(ISNUMBER(SEARCH(MAP_TNHN!D66&amp;" (1 tiết)",'PL10'!$S$5)),1,0)+IF(ISNUMBER(SEARCH(MAP_TNHN!D66&amp;" (1 tiết)",'PL10'!$S$6)),1,0)+IF(ISNUMBER(SEARCH(MAP_TNHN!D66&amp;" (1 tiết)",'PL10'!$S$7)),1,0)+IF(ISNUMBER(SEARCH(MAP_TNHN!D66&amp;" (1 tiết)",'PL10'!$S$8)),1,0)+IF(ISNUMBER(SEARCH(MAP_TNHN!D66&amp;" (1 tiết)",'PL10'!$S$9)),1,0)+IF(ISNUMBER(SEARCH(MAP_TNHN!D66&amp;" (1 tiết)",'PL10'!$S$10)),1,0)+IF(ISNUMBER(SEARCH(MAP_TNHN!D66&amp;" (1 tiết)",'PL10'!$S$11)),1,0)+IF(ISNUMBER(SEARCH(MAP_TNHN!D66&amp;" (1 tiết)",'PL10'!$S$12)),1,0)+IF(ISNUMBER(SEARCH(MAP_TNHN!D66&amp;" (1 tiết)",'PL10'!$S$13)),1,0)+IF(ISNUMBER(SEARCH(MAP_TNHN!D66&amp;" (1 tiết)",'PL10'!$S$14)),1,0)+IF(ISNUMBER(SEARCH(MAP_TNHN!D66&amp;" (1 tiết)",'PL10'!$S$15)),1,0)+IF(ISNUMBER(SEARCH(MAP_TNHN!D66&amp;" (1 tiết)",'PL10'!$S$16)),1,0)+IF(ISNUMBER(SEARCH(MAP_TNHN!D66&amp;" (1 tiết)",'PL10'!$S$17)),1,0)+IF(ISNUMBER(SEARCH(MAP_TNHN!D66&amp;" (1 tiết)",'PL10'!$S$18)),1,0)+IF(ISNUMBER(SEARCH(MAP_TNHN!D66&amp;" (1 tiết)",'PL10'!$S$19)),1,0)+IF(ISNUMBER(SEARCH(MAP_TNHN!D66&amp;" (1 tiết)",'PL10'!$S$20)),1,0)+IF(ISNUMBER(SEARCH(MAP_TNHN!D66&amp;" (1 tiết)",'PL10'!$S$21)),1,0)+IF(ISNUMBER(SEARCH(MAP_TNHN!D66&amp;" (1 tiết)",'PL10'!$S$22)),1,0)+IF(ISNUMBER(SEARCH(MAP_TNHN!D66&amp;" (1 tiết)",'PL10'!$S$23)),1,0)+IF(ISNUMBER(SEARCH(MAP_TNHN!D66&amp;" (1 tiết)",'PL10'!$S$24)),1,0)+IF(ISNUMBER(SEARCH(MAP_TNHN!D66&amp;" (1 tiết)",'PL10'!$S$25)),1,0))-(IF(ISNUMBER(SEARCH(MAP_TNHN!D66&amp;" (2 tiết)",'PL10'!$S$5)),1,0)+IF(ISNUMBER(SEARCH(MAP_TNHN!D66&amp;" (2 tiết)",'PL10'!$S$6)),1,0)+IF(ISNUMBER(SEARCH(MAP_TNHN!D66&amp;" (2 tiết)",'PL10'!$S$7)),1,0)+IF(ISNUMBER(SEARCH(MAP_TNHN!D66&amp;" (2 tiết)",'PL10'!$S$8)),1,0)+IF(ISNUMBER(SEARCH(MAP_TNHN!D66&amp;" (2 tiết)",'PL10'!$S$9)),1,0)+IF(ISNUMBER(SEARCH(MAP_TNHN!D66&amp;" (2 tiết)",'PL10'!$S$10)),1,0)+IF(ISNUMBER(SEARCH(MAP_TNHN!D66&amp;" (2 tiết)",'PL10'!$S$11)),1,0)+IF(ISNUMBER(SEARCH(MAP_TNHN!D66&amp;" (2 tiết)",'PL10'!$S$12)),1,0)+IF(ISNUMBER(SEARCH(MAP_TNHN!D66&amp;" (2 tiết)",'PL10'!$S$13)),1,0)+IF(ISNUMBER(SEARCH(MAP_TNHN!D66&amp;" (2 tiết)",'PL10'!$S$14)),1,0)+IF(ISNUMBER(SEARCH(MAP_TNHN!D66&amp;" (2 tiết)",'PL10'!$S$15)),1,0)+IF(ISNUMBER(SEARCH(MAP_TNHN!D66&amp;" (2 tiết)",'PL10'!$S$16)),1,0)+IF(ISNUMBER(SEARCH(MAP_TNHN!D66&amp;" (2 tiết)",'PL10'!$S$17)),1,0)+IF(ISNUMBER(SEARCH(MAP_TNHN!D66&amp;" (2 tiết)",'PL10'!$S$18)),1,0)+IF(ISNUMBER(SEARCH(MAP_TNHN!D66&amp;" (2 tiết)",'PL10'!$S$19)),1,0)+IF(ISNUMBER(SEARCH(MAP_TNHN!D66&amp;" (2 tiết)",'PL10'!$S$20)),1,0)+IF(ISNUMBER(SEARCH(MAP_TNHN!D66&amp;" (2 tiết)",'PL10'!$S$21)),1,0)+IF(ISNUMBER(SEARCH(MAP_TNHN!D66&amp;" (2 tiết)",'PL10'!$S$22)),1,0)+IF(ISNUMBER(SEARCH(MAP_TNHN!D66&amp;" (2 tiết)",'PL10'!$S$23)),1,0)+IF(ISNUMBER(SEARCH(MAP_TNHN!D66&amp;" (2 tiết)",'PL10'!$S$24)),1,0)+IF(ISNUMBER(SEARCH(MAP_TNHN!D66&amp;" (2 tiết)",'PL10'!$S$25)),1,0))))</f>
        <v>0</v>
      </c>
    </row>
    <row r="66" spans="1:51" ht="60" x14ac:dyDescent="0.35">
      <c r="A66" s="238" t="s">
        <v>147</v>
      </c>
      <c r="B66" s="8">
        <v>15</v>
      </c>
      <c r="C66" s="13" t="s">
        <v>148</v>
      </c>
      <c r="D66" s="20"/>
      <c r="E66" s="10"/>
      <c r="F66" s="10"/>
      <c r="G66" s="10"/>
      <c r="H66" s="10"/>
      <c r="I66" s="159"/>
      <c r="J66" s="223"/>
      <c r="K66" s="6"/>
      <c r="L66" s="6"/>
      <c r="M66" s="6"/>
      <c r="N66" s="139"/>
      <c r="O66" s="6"/>
      <c r="P66" s="42"/>
      <c r="Q66" s="42"/>
      <c r="R66" s="42"/>
      <c r="S66" s="138">
        <v>3</v>
      </c>
      <c r="T66" s="42"/>
      <c r="U66" s="11">
        <f>E66*0+G66*('Phân tiết'!$M$21/3)+H66*'Phân tiết'!$L$26+AW66+J66*'Phân tiết'!$M$20+K66*0+M66*('Phân tiết'!$I$21/3)+AX66+O66*'Phân tiết'!$I$20+P66*0+R66*('Phân tiết'!$E$21/3)+AY66+T66*'Phân tiết'!$E$20</f>
        <v>9</v>
      </c>
      <c r="V66" s="8">
        <f>F66*4+L66*4+Q66*4</f>
        <v>0</v>
      </c>
      <c r="W66" s="6" t="s">
        <v>149</v>
      </c>
      <c r="X66" s="6"/>
      <c r="Y66" s="52">
        <v>8</v>
      </c>
      <c r="Z66" s="43">
        <f>SUM(U66:Y66)</f>
        <v>17</v>
      </c>
      <c r="AA66" s="34">
        <f>Z66-17</f>
        <v>0</v>
      </c>
      <c r="AB66" s="8"/>
      <c r="AC66" s="8"/>
      <c r="AD66" s="6">
        <f t="shared" ref="AD66" si="19">AB66*AC66*1.5</f>
        <v>0</v>
      </c>
      <c r="AE66" s="8"/>
      <c r="AF66" s="8"/>
      <c r="AG66" s="6">
        <f t="shared" ref="AG66" si="20">AE66*AF66*1.5</f>
        <v>0</v>
      </c>
      <c r="AH66" s="8"/>
      <c r="AI66" s="8"/>
      <c r="AJ66" s="6">
        <f>AH66*AI66</f>
        <v>0</v>
      </c>
      <c r="AK66" s="6">
        <f t="shared" ref="AK66" si="21">AA66*33+AD66+AG66+AJ66</f>
        <v>0</v>
      </c>
      <c r="AL66" s="8"/>
      <c r="AM66" s="8"/>
      <c r="AN66" s="8"/>
      <c r="AO66" s="8"/>
      <c r="AP66" s="8"/>
      <c r="AQ66" s="8"/>
      <c r="AR66" s="8"/>
      <c r="AS66" s="8"/>
      <c r="AT66" s="8"/>
      <c r="AU66" s="8"/>
      <c r="AV66" s="8" t="s">
        <v>150</v>
      </c>
      <c r="AW66">
        <f>IF(I66="",0,IF(MAP_TNHN!B67="",I66*3,I66*3-2*(IF(ISNUMBER(SEARCH(MAP_TNHN!B67&amp;" (1 tiết)",'PL12'!$S$5)),1,0)+IF(ISNUMBER(SEARCH(MAP_TNHN!B67&amp;" (1 tiết)",'PL12'!$S$6)),1,0)+IF(ISNUMBER(SEARCH(MAP_TNHN!B67&amp;" (1 tiết)",'PL12'!$S$7)),1,0)+IF(ISNUMBER(SEARCH(MAP_TNHN!B67&amp;" (1 tiết)",'PL12'!$S$8)),1,0)+IF(ISNUMBER(SEARCH(MAP_TNHN!B67&amp;" (1 tiết)",'PL12'!$S$9)),1,0)+IF(ISNUMBER(SEARCH(MAP_TNHN!B67&amp;" (1 tiết)",'PL12'!$S$10)),1,0)+IF(ISNUMBER(SEARCH(MAP_TNHN!B67&amp;" (1 tiết)",'PL12'!$S$11)),1,0)+IF(ISNUMBER(SEARCH(MAP_TNHN!B67&amp;" (1 tiết)",'PL12'!$S$12)),1,0)+IF(ISNUMBER(SEARCH(MAP_TNHN!B67&amp;" (1 tiết)",'PL12'!$S$13)),1,0)+IF(ISNUMBER(SEARCH(MAP_TNHN!B67&amp;" (1 tiết)",'PL12'!$S$14)),1,0)+IF(ISNUMBER(SEARCH(MAP_TNHN!B67&amp;" (1 tiết)",'PL12'!$S$15)),1,0)+IF(ISNUMBER(SEARCH(MAP_TNHN!B67&amp;" (1 tiết)",'PL12'!$S$16)),1,0)+IF(ISNUMBER(SEARCH(MAP_TNHN!B67&amp;" (1 tiết)",'PL12'!$S$17)),1,0)+IF(ISNUMBER(SEARCH(MAP_TNHN!B67&amp;" (1 tiết)",'PL12'!$S$18)),1,0)+IF(ISNUMBER(SEARCH(MAP_TNHN!B67&amp;" (1 tiết)",'PL12'!$S$19)),1,0))-(IF(ISNUMBER(SEARCH(MAP_TNHN!B67&amp;" (2 tiết)",'PL12'!$S$5)),1,0)+IF(ISNUMBER(SEARCH(MAP_TNHN!B67&amp;" (2 tiết)",'PL12'!$S$6)),1,0)+IF(ISNUMBER(SEARCH(MAP_TNHN!B67&amp;" (2 tiết)",'PL12'!$S$7)),1,0)+IF(ISNUMBER(SEARCH(MAP_TNHN!B67&amp;" (2 tiết)",'PL12'!$S$8)),1,0)+IF(ISNUMBER(SEARCH(MAP_TNHN!B67&amp;" (2 tiết)",'PL12'!$S$9)),1,0)+IF(ISNUMBER(SEARCH(MAP_TNHN!B67&amp;" (2 tiết)",'PL12'!$S$10)),1,0)+IF(ISNUMBER(SEARCH(MAP_TNHN!B67&amp;" (2 tiết)",'PL12'!$S$11)),1,0)+IF(ISNUMBER(SEARCH(MAP_TNHN!B67&amp;" (2 tiết)",'PL12'!$S$12)),1,0)+IF(ISNUMBER(SEARCH(MAP_TNHN!B67&amp;" (2 tiết)",'PL12'!$S$13)),1,0)+IF(ISNUMBER(SEARCH(MAP_TNHN!B67&amp;" (2 tiết)",'PL12'!$S$14)),1,0)+IF(ISNUMBER(SEARCH(MAP_TNHN!B67&amp;" (2 tiết)",'PL12'!$S$15)),1,0)+IF(ISNUMBER(SEARCH(MAP_TNHN!B67&amp;" (2 tiết)",'PL12'!$S$16)),1,0)+IF(ISNUMBER(SEARCH(MAP_TNHN!B67&amp;" (2 tiết)",'PL12'!$S$17)),1,0)+IF(ISNUMBER(SEARCH(MAP_TNHN!B67&amp;" (2 tiết)",'PL12'!$S$18)),1,0)+IF(ISNUMBER(SEARCH(MAP_TNHN!B67&amp;" (2 tiết)",'PL12'!$S$19)),1,0))))</f>
        <v>0</v>
      </c>
      <c r="AX66">
        <f>IF(N66="",0,IF(MAP_TNHN!C67="",N66*3,N66*3-2*(IF(ISNUMBER(SEARCH(MAP_TNHN!C67&amp;" (1 tiết)",'PL11'!$S$5)),1,0)+IF(ISNUMBER(SEARCH(MAP_TNHN!C67&amp;" (1 tiết)",'PL11'!$S$6)),1,0)+IF(ISNUMBER(SEARCH(MAP_TNHN!C67&amp;" (1 tiết)",'PL11'!$S$7)),1,0)+IF(ISNUMBER(SEARCH(MAP_TNHN!C67&amp;" (1 tiết)",'PL11'!$S$8)),1,0)+IF(ISNUMBER(SEARCH(MAP_TNHN!C67&amp;" (1 tiết)",'PL11'!$S$9)),1,0)+IF(ISNUMBER(SEARCH(MAP_TNHN!C67&amp;" (1 tiết)",'PL11'!$S$10)),1,0)+IF(ISNUMBER(SEARCH(MAP_TNHN!C67&amp;" (1 tiết)",'PL11'!$S$11)),1,0)+IF(ISNUMBER(SEARCH(MAP_TNHN!C67&amp;" (1 tiết)",'PL11'!$S$12)),1,0)+IF(ISNUMBER(SEARCH(MAP_TNHN!C67&amp;" (1 tiết)",'PL11'!$S$13)),1,0)+IF(ISNUMBER(SEARCH(MAP_TNHN!C67&amp;" (1 tiết)",'PL11'!$S$14)),1,0)+IF(ISNUMBER(SEARCH(MAP_TNHN!C67&amp;" (1 tiết)",'PL11'!$S$15)),1,0)+IF(ISNUMBER(SEARCH(MAP_TNHN!C67&amp;" (1 tiết)",'PL11'!$S$16)),1,0)+IF(ISNUMBER(SEARCH(MAP_TNHN!C67&amp;" (1 tiết)",'PL11'!$S$17)),1,0)+IF(ISNUMBER(SEARCH(MAP_TNHN!C67&amp;" (1 tiết)",'PL11'!$S$18)),1,0))-(IF(ISNUMBER(SEARCH(MAP_TNHN!C67&amp;" (2 tiết)",'PL11'!$S$5)),1,0)+IF(ISNUMBER(SEARCH(MAP_TNHN!C67&amp;" (2 tiết)",'PL11'!$S$6)),1,0)+IF(ISNUMBER(SEARCH(MAP_TNHN!C67&amp;" (2 tiết)",'PL11'!$S$7)),1,0)+IF(ISNUMBER(SEARCH(MAP_TNHN!C67&amp;" (2 tiết)",'PL11'!$S$8)),1,0)+IF(ISNUMBER(SEARCH(MAP_TNHN!C67&amp;" (2 tiết)",'PL11'!$S$9)),1,0)+IF(ISNUMBER(SEARCH(MAP_TNHN!C67&amp;" (2 tiết)",'PL11'!$S$10)),1,0)+IF(ISNUMBER(SEARCH(MAP_TNHN!C67&amp;" (2 tiết)",'PL11'!$S$11)),1,0)+IF(ISNUMBER(SEARCH(MAP_TNHN!C67&amp;" (2 tiết)",'PL11'!$S$12)),1,0)+IF(ISNUMBER(SEARCH(MAP_TNHN!C67&amp;" (2 tiết)",'PL11'!$S$13)),1,0)+IF(ISNUMBER(SEARCH(MAP_TNHN!C67&amp;" (2 tiết)",'PL11'!$S$14)),1,0)+IF(ISNUMBER(SEARCH(MAP_TNHN!C67&amp;" (2 tiết)",'PL11'!$S$15)),1,0)+IF(ISNUMBER(SEARCH(MAP_TNHN!C67&amp;" (2 tiết)",'PL11'!$S$16)),1,0)+IF(ISNUMBER(SEARCH(MAP_TNHN!C67&amp;" (2 tiết)",'PL11'!$S$17)),1,0)+IF(ISNUMBER(SEARCH(MAP_TNHN!C67&amp;" (2 tiết)",'PL11'!$S$18)),1,0))))</f>
        <v>0</v>
      </c>
      <c r="AY66">
        <f>IF(S66="",0,IF(MAP_TNHN!D67="",S66*3,S66*3-2*(IF(ISNUMBER(SEARCH(MAP_TNHN!D67&amp;" (1 tiết)",'PL10'!$S$5)),1,0)+IF(ISNUMBER(SEARCH(MAP_TNHN!D67&amp;" (1 tiết)",'PL10'!$S$6)),1,0)+IF(ISNUMBER(SEARCH(MAP_TNHN!D67&amp;" (1 tiết)",'PL10'!$S$7)),1,0)+IF(ISNUMBER(SEARCH(MAP_TNHN!D67&amp;" (1 tiết)",'PL10'!$S$8)),1,0)+IF(ISNUMBER(SEARCH(MAP_TNHN!D67&amp;" (1 tiết)",'PL10'!$S$9)),1,0)+IF(ISNUMBER(SEARCH(MAP_TNHN!D67&amp;" (1 tiết)",'PL10'!$S$10)),1,0)+IF(ISNUMBER(SEARCH(MAP_TNHN!D67&amp;" (1 tiết)",'PL10'!$S$11)),1,0)+IF(ISNUMBER(SEARCH(MAP_TNHN!D67&amp;" (1 tiết)",'PL10'!$S$12)),1,0)+IF(ISNUMBER(SEARCH(MAP_TNHN!D67&amp;" (1 tiết)",'PL10'!$S$13)),1,0)+IF(ISNUMBER(SEARCH(MAP_TNHN!D67&amp;" (1 tiết)",'PL10'!$S$14)),1,0)+IF(ISNUMBER(SEARCH(MAP_TNHN!D67&amp;" (1 tiết)",'PL10'!$S$15)),1,0)+IF(ISNUMBER(SEARCH(MAP_TNHN!D67&amp;" (1 tiết)",'PL10'!$S$16)),1,0)+IF(ISNUMBER(SEARCH(MAP_TNHN!D67&amp;" (1 tiết)",'PL10'!$S$17)),1,0)+IF(ISNUMBER(SEARCH(MAP_TNHN!D67&amp;" (1 tiết)",'PL10'!$S$18)),1,0)+IF(ISNUMBER(SEARCH(MAP_TNHN!D67&amp;" (1 tiết)",'PL10'!$S$19)),1,0)+IF(ISNUMBER(SEARCH(MAP_TNHN!D67&amp;" (1 tiết)",'PL10'!$S$20)),1,0)+IF(ISNUMBER(SEARCH(MAP_TNHN!D67&amp;" (1 tiết)",'PL10'!$S$21)),1,0)+IF(ISNUMBER(SEARCH(MAP_TNHN!D67&amp;" (1 tiết)",'PL10'!$S$22)),1,0)+IF(ISNUMBER(SEARCH(MAP_TNHN!D67&amp;" (1 tiết)",'PL10'!$S$23)),1,0)+IF(ISNUMBER(SEARCH(MAP_TNHN!D67&amp;" (1 tiết)",'PL10'!$S$24)),1,0)+IF(ISNUMBER(SEARCH(MAP_TNHN!D67&amp;" (1 tiết)",'PL10'!$S$25)),1,0))-(IF(ISNUMBER(SEARCH(MAP_TNHN!D67&amp;" (2 tiết)",'PL10'!$S$5)),1,0)+IF(ISNUMBER(SEARCH(MAP_TNHN!D67&amp;" (2 tiết)",'PL10'!$S$6)),1,0)+IF(ISNUMBER(SEARCH(MAP_TNHN!D67&amp;" (2 tiết)",'PL10'!$S$7)),1,0)+IF(ISNUMBER(SEARCH(MAP_TNHN!D67&amp;" (2 tiết)",'PL10'!$S$8)),1,0)+IF(ISNUMBER(SEARCH(MAP_TNHN!D67&amp;" (2 tiết)",'PL10'!$S$9)),1,0)+IF(ISNUMBER(SEARCH(MAP_TNHN!D67&amp;" (2 tiết)",'PL10'!$S$10)),1,0)+IF(ISNUMBER(SEARCH(MAP_TNHN!D67&amp;" (2 tiết)",'PL10'!$S$11)),1,0)+IF(ISNUMBER(SEARCH(MAP_TNHN!D67&amp;" (2 tiết)",'PL10'!$S$12)),1,0)+IF(ISNUMBER(SEARCH(MAP_TNHN!D67&amp;" (2 tiết)",'PL10'!$S$13)),1,0)+IF(ISNUMBER(SEARCH(MAP_TNHN!D67&amp;" (2 tiết)",'PL10'!$S$14)),1,0)+IF(ISNUMBER(SEARCH(MAP_TNHN!D67&amp;" (2 tiết)",'PL10'!$S$15)),1,0)+IF(ISNUMBER(SEARCH(MAP_TNHN!D67&amp;" (2 tiết)",'PL10'!$S$16)),1,0)+IF(ISNUMBER(SEARCH(MAP_TNHN!D67&amp;" (2 tiết)",'PL10'!$S$17)),1,0)+IF(ISNUMBER(SEARCH(MAP_TNHN!D67&amp;" (2 tiết)",'PL10'!$S$18)),1,0)+IF(ISNUMBER(SEARCH(MAP_TNHN!D67&amp;" (2 tiết)",'PL10'!$S$19)),1,0)+IF(ISNUMBER(SEARCH(MAP_TNHN!D67&amp;" (2 tiết)",'PL10'!$S$20)),1,0)+IF(ISNUMBER(SEARCH(MAP_TNHN!D67&amp;" (2 tiết)",'PL10'!$S$21)),1,0)+IF(ISNUMBER(SEARCH(MAP_TNHN!D67&amp;" (2 tiết)",'PL10'!$S$22)),1,0)+IF(ISNUMBER(SEARCH(MAP_TNHN!D67&amp;" (2 tiết)",'PL10'!$S$23)),1,0)+IF(ISNUMBER(SEARCH(MAP_TNHN!D67&amp;" (2 tiết)",'PL10'!$S$24)),1,0)+IF(ISNUMBER(SEARCH(MAP_TNHN!D67&amp;" (2 tiết)",'PL10'!$S$25)),1,0))))</f>
        <v>9</v>
      </c>
    </row>
    <row r="67" spans="1:51" s="89" customFormat="1" x14ac:dyDescent="0.35">
      <c r="A67" s="90"/>
      <c r="B67" s="87"/>
      <c r="C67" s="86" t="s">
        <v>65</v>
      </c>
      <c r="D67" s="87"/>
      <c r="E67" s="87">
        <f>SUM(E52:E65)</f>
        <v>15</v>
      </c>
      <c r="F67" s="87"/>
      <c r="G67" s="87">
        <f>SUM(G52:G65)</f>
        <v>6</v>
      </c>
      <c r="H67" s="87">
        <f>SUM(H52:H65)</f>
        <v>15</v>
      </c>
      <c r="I67" s="162"/>
      <c r="J67" s="87"/>
      <c r="K67" s="87">
        <f>SUM(K52:K65)</f>
        <v>14</v>
      </c>
      <c r="L67" s="87"/>
      <c r="M67" s="87">
        <f>SUM(M52:M65)</f>
        <v>7</v>
      </c>
      <c r="N67" s="162"/>
      <c r="O67" s="87"/>
      <c r="P67" s="87">
        <f>SUM(P52:P65)</f>
        <v>21</v>
      </c>
      <c r="Q67" s="87"/>
      <c r="R67" s="87">
        <f>SUM(R52:R65)</f>
        <v>11</v>
      </c>
      <c r="S67" s="162"/>
      <c r="T67" s="87"/>
      <c r="U67" s="87"/>
      <c r="V67" s="85"/>
      <c r="W67" s="85"/>
      <c r="X67" s="85"/>
      <c r="Y67" s="87"/>
      <c r="Z67" s="88"/>
      <c r="AA67" s="88"/>
      <c r="AB67" s="85"/>
      <c r="AC67" s="85"/>
      <c r="AD67" s="85">
        <f t="shared" si="3"/>
        <v>0</v>
      </c>
      <c r="AE67" s="85"/>
      <c r="AF67" s="85"/>
      <c r="AG67" s="85">
        <f t="shared" si="5"/>
        <v>0</v>
      </c>
      <c r="AH67" s="85"/>
      <c r="AI67" s="85"/>
      <c r="AJ67" s="85"/>
      <c r="AK67" s="85">
        <f t="shared" si="6"/>
        <v>0</v>
      </c>
      <c r="AL67" s="87"/>
      <c r="AM67" s="87"/>
      <c r="AN67" s="87"/>
      <c r="AO67" s="87"/>
      <c r="AP67" s="87"/>
      <c r="AQ67" s="87"/>
      <c r="AR67" s="87"/>
      <c r="AS67" s="87"/>
      <c r="AT67" s="87"/>
      <c r="AU67" s="87"/>
      <c r="AV67" s="85"/>
      <c r="AW67"/>
      <c r="AX67"/>
      <c r="AY67"/>
    </row>
    <row r="68" spans="1:51" ht="30" x14ac:dyDescent="0.35">
      <c r="A68" s="309" t="s">
        <v>151</v>
      </c>
      <c r="B68" s="8">
        <v>1</v>
      </c>
      <c r="C68" s="9" t="s">
        <v>152</v>
      </c>
      <c r="D68" s="20"/>
      <c r="E68" s="10">
        <v>2</v>
      </c>
      <c r="F68" s="10"/>
      <c r="G68" s="10">
        <v>1</v>
      </c>
      <c r="H68" s="10">
        <v>1</v>
      </c>
      <c r="I68" s="159">
        <v>1</v>
      </c>
      <c r="J68" s="10">
        <v>4</v>
      </c>
      <c r="K68" s="6"/>
      <c r="L68" s="6"/>
      <c r="M68" s="6"/>
      <c r="N68" s="139"/>
      <c r="O68" s="6"/>
      <c r="P68" s="42">
        <v>1</v>
      </c>
      <c r="Q68" s="42"/>
      <c r="R68" s="42"/>
      <c r="S68" s="138"/>
      <c r="T68" s="42"/>
      <c r="U68" s="11">
        <f>E68*('Phân tiết'!$M$18/4)+G68*('Phân tiết'!$M$21/3)+H68*'Phân tiết'!$L$26+AW68+J68*'Phân tiết'!$M$20+K68*('Phân tiết'!$I$18/4)+M68*('Phân tiết'!$I$21/3)+AX68+O68*'Phân tiết'!$I$20+P68*('Phân tiết'!$E$18/4)+R68*('Phân tiết'!$E$21/3)+AY68+T68*'Phân tiết'!$E$20</f>
        <v>15</v>
      </c>
      <c r="V68" s="8">
        <f t="shared" ref="V68:V73" si="22">F68*4+L68*4+Q68*4</f>
        <v>0</v>
      </c>
      <c r="W68" s="6" t="s">
        <v>45</v>
      </c>
      <c r="X68" s="6"/>
      <c r="Y68" s="8">
        <v>3</v>
      </c>
      <c r="Z68" s="43">
        <f t="shared" ref="Z68:Z73" si="23">SUM(U68:Y68)</f>
        <v>18</v>
      </c>
      <c r="AA68" s="34">
        <f t="shared" ref="AA68:AA73" si="24">Z68-17</f>
        <v>1</v>
      </c>
      <c r="AB68" s="8"/>
      <c r="AC68" s="8"/>
      <c r="AD68" s="6">
        <f t="shared" si="3"/>
        <v>0</v>
      </c>
      <c r="AE68" s="8">
        <v>2</v>
      </c>
      <c r="AF68" s="8">
        <v>18</v>
      </c>
      <c r="AG68" s="6">
        <f t="shared" si="5"/>
        <v>54</v>
      </c>
      <c r="AH68" s="8"/>
      <c r="AI68" s="8"/>
      <c r="AJ68" s="6">
        <f>AH68*AI68</f>
        <v>0</v>
      </c>
      <c r="AK68" s="6">
        <f t="shared" si="6"/>
        <v>87</v>
      </c>
      <c r="AL68" s="8"/>
      <c r="AM68" s="8" t="s">
        <v>70</v>
      </c>
      <c r="AN68" s="8"/>
      <c r="AO68" s="8" t="s">
        <v>153</v>
      </c>
      <c r="AP68" s="8" t="s">
        <v>153</v>
      </c>
      <c r="AQ68" s="8" t="s">
        <v>70</v>
      </c>
      <c r="AR68" s="8" t="s">
        <v>154</v>
      </c>
      <c r="AS68" s="8"/>
      <c r="AT68" s="8" t="s">
        <v>46</v>
      </c>
      <c r="AU68" s="8"/>
      <c r="AV68" s="8"/>
      <c r="AW68">
        <f>IF(I68="",0,IF(MAP_TNHN!B68="",I68*3,I68*3-2*(IF(ISNUMBER(SEARCH(MAP_TNHN!B68&amp;" (1 tiết)",'PL12'!$S$5)),1,0)+IF(ISNUMBER(SEARCH(MAP_TNHN!B68&amp;" (1 tiết)",'PL12'!$S$6)),1,0)+IF(ISNUMBER(SEARCH(MAP_TNHN!B68&amp;" (1 tiết)",'PL12'!$S$7)),1,0)+IF(ISNUMBER(SEARCH(MAP_TNHN!B68&amp;" (1 tiết)",'PL12'!$S$8)),1,0)+IF(ISNUMBER(SEARCH(MAP_TNHN!B68&amp;" (1 tiết)",'PL12'!$S$9)),1,0)+IF(ISNUMBER(SEARCH(MAP_TNHN!B68&amp;" (1 tiết)",'PL12'!$S$10)),1,0)+IF(ISNUMBER(SEARCH(MAP_TNHN!B68&amp;" (1 tiết)",'PL12'!$S$11)),1,0)+IF(ISNUMBER(SEARCH(MAP_TNHN!B68&amp;" (1 tiết)",'PL12'!$S$12)),1,0)+IF(ISNUMBER(SEARCH(MAP_TNHN!B68&amp;" (1 tiết)",'PL12'!$S$13)),1,0)+IF(ISNUMBER(SEARCH(MAP_TNHN!B68&amp;" (1 tiết)",'PL12'!$S$14)),1,0)+IF(ISNUMBER(SEARCH(MAP_TNHN!B68&amp;" (1 tiết)",'PL12'!$S$15)),1,0)+IF(ISNUMBER(SEARCH(MAP_TNHN!B68&amp;" (1 tiết)",'PL12'!$S$16)),1,0)+IF(ISNUMBER(SEARCH(MAP_TNHN!B68&amp;" (1 tiết)",'PL12'!$S$17)),1,0)+IF(ISNUMBER(SEARCH(MAP_TNHN!B68&amp;" (1 tiết)",'PL12'!$S$18)),1,0)+IF(ISNUMBER(SEARCH(MAP_TNHN!B68&amp;" (1 tiết)",'PL12'!$S$19)),1,0))-(IF(ISNUMBER(SEARCH(MAP_TNHN!B68&amp;" (2 tiết)",'PL12'!$S$5)),1,0)+IF(ISNUMBER(SEARCH(MAP_TNHN!B68&amp;" (2 tiết)",'PL12'!$S$6)),1,0)+IF(ISNUMBER(SEARCH(MAP_TNHN!B68&amp;" (2 tiết)",'PL12'!$S$7)),1,0)+IF(ISNUMBER(SEARCH(MAP_TNHN!B68&amp;" (2 tiết)",'PL12'!$S$8)),1,0)+IF(ISNUMBER(SEARCH(MAP_TNHN!B68&amp;" (2 tiết)",'PL12'!$S$9)),1,0)+IF(ISNUMBER(SEARCH(MAP_TNHN!B68&amp;" (2 tiết)",'PL12'!$S$10)),1,0)+IF(ISNUMBER(SEARCH(MAP_TNHN!B68&amp;" (2 tiết)",'PL12'!$S$11)),1,0)+IF(ISNUMBER(SEARCH(MAP_TNHN!B68&amp;" (2 tiết)",'PL12'!$S$12)),1,0)+IF(ISNUMBER(SEARCH(MAP_TNHN!B68&amp;" (2 tiết)",'PL12'!$S$13)),1,0)+IF(ISNUMBER(SEARCH(MAP_TNHN!B68&amp;" (2 tiết)",'PL12'!$S$14)),1,0)+IF(ISNUMBER(SEARCH(MAP_TNHN!B68&amp;" (2 tiết)",'PL12'!$S$15)),1,0)+IF(ISNUMBER(SEARCH(MAP_TNHN!B68&amp;" (2 tiết)",'PL12'!$S$16)),1,0)+IF(ISNUMBER(SEARCH(MAP_TNHN!B68&amp;" (2 tiết)",'PL12'!$S$17)),1,0)+IF(ISNUMBER(SEARCH(MAP_TNHN!B68&amp;" (2 tiết)",'PL12'!$S$18)),1,0)+IF(ISNUMBER(SEARCH(MAP_TNHN!B68&amp;" (2 tiết)",'PL12'!$S$19)),1,0))))</f>
        <v>2</v>
      </c>
      <c r="AX68">
        <f>IF(N68="",0,IF(MAP_TNHN!C68="",N68*3,N68*3-2*(IF(ISNUMBER(SEARCH(MAP_TNHN!C68&amp;" (1 tiết)",'PL11'!$S$5)),1,0)+IF(ISNUMBER(SEARCH(MAP_TNHN!C68&amp;" (1 tiết)",'PL11'!$S$6)),1,0)+IF(ISNUMBER(SEARCH(MAP_TNHN!C68&amp;" (1 tiết)",'PL11'!$S$7)),1,0)+IF(ISNUMBER(SEARCH(MAP_TNHN!C68&amp;" (1 tiết)",'PL11'!$S$8)),1,0)+IF(ISNUMBER(SEARCH(MAP_TNHN!C68&amp;" (1 tiết)",'PL11'!$S$9)),1,0)+IF(ISNUMBER(SEARCH(MAP_TNHN!C68&amp;" (1 tiết)",'PL11'!$S$10)),1,0)+IF(ISNUMBER(SEARCH(MAP_TNHN!C68&amp;" (1 tiết)",'PL11'!$S$11)),1,0)+IF(ISNUMBER(SEARCH(MAP_TNHN!C68&amp;" (1 tiết)",'PL11'!$S$12)),1,0)+IF(ISNUMBER(SEARCH(MAP_TNHN!C68&amp;" (1 tiết)",'PL11'!$S$13)),1,0)+IF(ISNUMBER(SEARCH(MAP_TNHN!C68&amp;" (1 tiết)",'PL11'!$S$14)),1,0)+IF(ISNUMBER(SEARCH(MAP_TNHN!C68&amp;" (1 tiết)",'PL11'!$S$15)),1,0)+IF(ISNUMBER(SEARCH(MAP_TNHN!C68&amp;" (1 tiết)",'PL11'!$S$16)),1,0)+IF(ISNUMBER(SEARCH(MAP_TNHN!C68&amp;" (1 tiết)",'PL11'!$S$17)),1,0)+IF(ISNUMBER(SEARCH(MAP_TNHN!C68&amp;" (1 tiết)",'PL11'!$S$18)),1,0))-(IF(ISNUMBER(SEARCH(MAP_TNHN!C68&amp;" (2 tiết)",'PL11'!$S$5)),1,0)+IF(ISNUMBER(SEARCH(MAP_TNHN!C68&amp;" (2 tiết)",'PL11'!$S$6)),1,0)+IF(ISNUMBER(SEARCH(MAP_TNHN!C68&amp;" (2 tiết)",'PL11'!$S$7)),1,0)+IF(ISNUMBER(SEARCH(MAP_TNHN!C68&amp;" (2 tiết)",'PL11'!$S$8)),1,0)+IF(ISNUMBER(SEARCH(MAP_TNHN!C68&amp;" (2 tiết)",'PL11'!$S$9)),1,0)+IF(ISNUMBER(SEARCH(MAP_TNHN!C68&amp;" (2 tiết)",'PL11'!$S$10)),1,0)+IF(ISNUMBER(SEARCH(MAP_TNHN!C68&amp;" (2 tiết)",'PL11'!$S$11)),1,0)+IF(ISNUMBER(SEARCH(MAP_TNHN!C68&amp;" (2 tiết)",'PL11'!$S$12)),1,0)+IF(ISNUMBER(SEARCH(MAP_TNHN!C68&amp;" (2 tiết)",'PL11'!$S$13)),1,0)+IF(ISNUMBER(SEARCH(MAP_TNHN!C68&amp;" (2 tiết)",'PL11'!$S$14)),1,0)+IF(ISNUMBER(SEARCH(MAP_TNHN!C68&amp;" (2 tiết)",'PL11'!$S$15)),1,0)+IF(ISNUMBER(SEARCH(MAP_TNHN!C68&amp;" (2 tiết)",'PL11'!$S$16)),1,0)+IF(ISNUMBER(SEARCH(MAP_TNHN!C68&amp;" (2 tiết)",'PL11'!$S$17)),1,0)+IF(ISNUMBER(SEARCH(MAP_TNHN!C68&amp;" (2 tiết)",'PL11'!$S$18)),1,0))))</f>
        <v>0</v>
      </c>
      <c r="AY68">
        <f>IF(S68="",0,IF(MAP_TNHN!D68="",S68*3,S68*3-2*(IF(ISNUMBER(SEARCH(MAP_TNHN!D68&amp;" (1 tiết)",'PL10'!$S$5)),1,0)+IF(ISNUMBER(SEARCH(MAP_TNHN!D68&amp;" (1 tiết)",'PL10'!$S$6)),1,0)+IF(ISNUMBER(SEARCH(MAP_TNHN!D68&amp;" (1 tiết)",'PL10'!$S$7)),1,0)+IF(ISNUMBER(SEARCH(MAP_TNHN!D68&amp;" (1 tiết)",'PL10'!$S$8)),1,0)+IF(ISNUMBER(SEARCH(MAP_TNHN!D68&amp;" (1 tiết)",'PL10'!$S$9)),1,0)+IF(ISNUMBER(SEARCH(MAP_TNHN!D68&amp;" (1 tiết)",'PL10'!$S$10)),1,0)+IF(ISNUMBER(SEARCH(MAP_TNHN!D68&amp;" (1 tiết)",'PL10'!$S$11)),1,0)+IF(ISNUMBER(SEARCH(MAP_TNHN!D68&amp;" (1 tiết)",'PL10'!$S$12)),1,0)+IF(ISNUMBER(SEARCH(MAP_TNHN!D68&amp;" (1 tiết)",'PL10'!$S$13)),1,0)+IF(ISNUMBER(SEARCH(MAP_TNHN!D68&amp;" (1 tiết)",'PL10'!$S$14)),1,0)+IF(ISNUMBER(SEARCH(MAP_TNHN!D68&amp;" (1 tiết)",'PL10'!$S$15)),1,0)+IF(ISNUMBER(SEARCH(MAP_TNHN!D68&amp;" (1 tiết)",'PL10'!$S$16)),1,0)+IF(ISNUMBER(SEARCH(MAP_TNHN!D68&amp;" (1 tiết)",'PL10'!$S$17)),1,0)+IF(ISNUMBER(SEARCH(MAP_TNHN!D68&amp;" (1 tiết)",'PL10'!$S$18)),1,0)+IF(ISNUMBER(SEARCH(MAP_TNHN!D68&amp;" (1 tiết)",'PL10'!$S$19)),1,0)+IF(ISNUMBER(SEARCH(MAP_TNHN!D68&amp;" (1 tiết)",'PL10'!$S$20)),1,0)+IF(ISNUMBER(SEARCH(MAP_TNHN!D68&amp;" (1 tiết)",'PL10'!$S$21)),1,0)+IF(ISNUMBER(SEARCH(MAP_TNHN!D68&amp;" (1 tiết)",'PL10'!$S$22)),1,0)+IF(ISNUMBER(SEARCH(MAP_TNHN!D68&amp;" (1 tiết)",'PL10'!$S$23)),1,0)+IF(ISNUMBER(SEARCH(MAP_TNHN!D68&amp;" (1 tiết)",'PL10'!$S$24)),1,0)+IF(ISNUMBER(SEARCH(MAP_TNHN!D68&amp;" (1 tiết)",'PL10'!$S$25)),1,0))-(IF(ISNUMBER(SEARCH(MAP_TNHN!D68&amp;" (2 tiết)",'PL10'!$S$5)),1,0)+IF(ISNUMBER(SEARCH(MAP_TNHN!D68&amp;" (2 tiết)",'PL10'!$S$6)),1,0)+IF(ISNUMBER(SEARCH(MAP_TNHN!D68&amp;" (2 tiết)",'PL10'!$S$7)),1,0)+IF(ISNUMBER(SEARCH(MAP_TNHN!D68&amp;" (2 tiết)",'PL10'!$S$8)),1,0)+IF(ISNUMBER(SEARCH(MAP_TNHN!D68&amp;" (2 tiết)",'PL10'!$S$9)),1,0)+IF(ISNUMBER(SEARCH(MAP_TNHN!D68&amp;" (2 tiết)",'PL10'!$S$10)),1,0)+IF(ISNUMBER(SEARCH(MAP_TNHN!D68&amp;" (2 tiết)",'PL10'!$S$11)),1,0)+IF(ISNUMBER(SEARCH(MAP_TNHN!D68&amp;" (2 tiết)",'PL10'!$S$12)),1,0)+IF(ISNUMBER(SEARCH(MAP_TNHN!D68&amp;" (2 tiết)",'PL10'!$S$13)),1,0)+IF(ISNUMBER(SEARCH(MAP_TNHN!D68&amp;" (2 tiết)",'PL10'!$S$14)),1,0)+IF(ISNUMBER(SEARCH(MAP_TNHN!D68&amp;" (2 tiết)",'PL10'!$S$15)),1,0)+IF(ISNUMBER(SEARCH(MAP_TNHN!D68&amp;" (2 tiết)",'PL10'!$S$16)),1,0)+IF(ISNUMBER(SEARCH(MAP_TNHN!D68&amp;" (2 tiết)",'PL10'!$S$17)),1,0)+IF(ISNUMBER(SEARCH(MAP_TNHN!D68&amp;" (2 tiết)",'PL10'!$S$18)),1,0)+IF(ISNUMBER(SEARCH(MAP_TNHN!D68&amp;" (2 tiết)",'PL10'!$S$19)),1,0)+IF(ISNUMBER(SEARCH(MAP_TNHN!D68&amp;" (2 tiết)",'PL10'!$S$20)),1,0)+IF(ISNUMBER(SEARCH(MAP_TNHN!D68&amp;" (2 tiết)",'PL10'!$S$21)),1,0)+IF(ISNUMBER(SEARCH(MAP_TNHN!D68&amp;" (2 tiết)",'PL10'!$S$22)),1,0)+IF(ISNUMBER(SEARCH(MAP_TNHN!D68&amp;" (2 tiết)",'PL10'!$S$23)),1,0)+IF(ISNUMBER(SEARCH(MAP_TNHN!D68&amp;" (2 tiết)",'PL10'!$S$24)),1,0)+IF(ISNUMBER(SEARCH(MAP_TNHN!D68&amp;" (2 tiết)",'PL10'!$S$25)),1,0))))</f>
        <v>0</v>
      </c>
    </row>
    <row r="69" spans="1:51" x14ac:dyDescent="0.35">
      <c r="A69" s="311"/>
      <c r="B69" s="8">
        <v>2</v>
      </c>
      <c r="C69" s="9" t="s">
        <v>155</v>
      </c>
      <c r="D69" s="20">
        <v>10</v>
      </c>
      <c r="E69" s="10"/>
      <c r="F69" s="10"/>
      <c r="G69" s="10"/>
      <c r="H69" s="10"/>
      <c r="I69" s="159"/>
      <c r="J69" s="10"/>
      <c r="K69" s="6">
        <v>1</v>
      </c>
      <c r="L69" s="6"/>
      <c r="M69" s="6"/>
      <c r="N69" s="139"/>
      <c r="O69" s="6">
        <v>1</v>
      </c>
      <c r="P69" s="42">
        <v>2</v>
      </c>
      <c r="Q69" s="42">
        <v>1</v>
      </c>
      <c r="R69" s="42">
        <v>2</v>
      </c>
      <c r="S69" s="138">
        <v>1</v>
      </c>
      <c r="T69" s="42">
        <v>2</v>
      </c>
      <c r="U69" s="11">
        <f>E69*('Phân tiết'!$M$18/4)+G69*('Phân tiết'!$M$21/3)+H69*'Phân tiết'!$L$26+AW69+J69*'Phân tiết'!$M$20+K69*('Phân tiết'!$I$18/4)+M69*('Phân tiết'!$I$21/3)+AX69+O69*'Phân tiết'!$I$20+P69*('Phân tiết'!$E$18/4)+R69*('Phân tiết'!$E$21/3)+AY69+T69*'Phân tiết'!$E$20</f>
        <v>14</v>
      </c>
      <c r="V69" s="8">
        <f t="shared" si="22"/>
        <v>4</v>
      </c>
      <c r="W69" s="6"/>
      <c r="X69" s="6" t="s">
        <v>156</v>
      </c>
      <c r="Y69" s="8"/>
      <c r="Z69" s="43">
        <f t="shared" si="23"/>
        <v>18</v>
      </c>
      <c r="AA69" s="34">
        <f t="shared" si="24"/>
        <v>1</v>
      </c>
      <c r="AB69" s="8">
        <v>2</v>
      </c>
      <c r="AC69" s="8">
        <v>15</v>
      </c>
      <c r="AD69" s="6">
        <f t="shared" si="3"/>
        <v>45</v>
      </c>
      <c r="AE69" s="8"/>
      <c r="AF69" s="8"/>
      <c r="AG69" s="6">
        <f t="shared" si="5"/>
        <v>0</v>
      </c>
      <c r="AH69" s="8"/>
      <c r="AI69" s="8"/>
      <c r="AJ69" s="6">
        <f>AH69*AI69</f>
        <v>0</v>
      </c>
      <c r="AK69" s="6">
        <f t="shared" si="6"/>
        <v>78</v>
      </c>
      <c r="AL69" s="8" t="s">
        <v>157</v>
      </c>
      <c r="AM69" s="8"/>
      <c r="AN69" s="8" t="s">
        <v>158</v>
      </c>
      <c r="AO69" s="8" t="s">
        <v>159</v>
      </c>
      <c r="AP69" s="8" t="s">
        <v>160</v>
      </c>
      <c r="AQ69" s="8" t="s">
        <v>52</v>
      </c>
      <c r="AR69" s="8" t="s">
        <v>161</v>
      </c>
      <c r="AS69" s="8"/>
      <c r="AT69" s="8" t="s">
        <v>46</v>
      </c>
      <c r="AU69" s="8"/>
      <c r="AV69" s="8"/>
      <c r="AW69">
        <f>IF(I69="",0,IF(MAP_TNHN!B69="",I69*3,I69*3-2*(IF(ISNUMBER(SEARCH(MAP_TNHN!B69&amp;" (1 tiết)",'PL12'!$S$5)),1,0)+IF(ISNUMBER(SEARCH(MAP_TNHN!B69&amp;" (1 tiết)",'PL12'!$S$6)),1,0)+IF(ISNUMBER(SEARCH(MAP_TNHN!B69&amp;" (1 tiết)",'PL12'!$S$7)),1,0)+IF(ISNUMBER(SEARCH(MAP_TNHN!B69&amp;" (1 tiết)",'PL12'!$S$8)),1,0)+IF(ISNUMBER(SEARCH(MAP_TNHN!B69&amp;" (1 tiết)",'PL12'!$S$9)),1,0)+IF(ISNUMBER(SEARCH(MAP_TNHN!B69&amp;" (1 tiết)",'PL12'!$S$10)),1,0)+IF(ISNUMBER(SEARCH(MAP_TNHN!B69&amp;" (1 tiết)",'PL12'!$S$11)),1,0)+IF(ISNUMBER(SEARCH(MAP_TNHN!B69&amp;" (1 tiết)",'PL12'!$S$12)),1,0)+IF(ISNUMBER(SEARCH(MAP_TNHN!B69&amp;" (1 tiết)",'PL12'!$S$13)),1,0)+IF(ISNUMBER(SEARCH(MAP_TNHN!B69&amp;" (1 tiết)",'PL12'!$S$14)),1,0)+IF(ISNUMBER(SEARCH(MAP_TNHN!B69&amp;" (1 tiết)",'PL12'!$S$15)),1,0)+IF(ISNUMBER(SEARCH(MAP_TNHN!B69&amp;" (1 tiết)",'PL12'!$S$16)),1,0)+IF(ISNUMBER(SEARCH(MAP_TNHN!B69&amp;" (1 tiết)",'PL12'!$S$17)),1,0)+IF(ISNUMBER(SEARCH(MAP_TNHN!B69&amp;" (1 tiết)",'PL12'!$S$18)),1,0)+IF(ISNUMBER(SEARCH(MAP_TNHN!B69&amp;" (1 tiết)",'PL12'!$S$19)),1,0))-(IF(ISNUMBER(SEARCH(MAP_TNHN!B69&amp;" (2 tiết)",'PL12'!$S$5)),1,0)+IF(ISNUMBER(SEARCH(MAP_TNHN!B69&amp;" (2 tiết)",'PL12'!$S$6)),1,0)+IF(ISNUMBER(SEARCH(MAP_TNHN!B69&amp;" (2 tiết)",'PL12'!$S$7)),1,0)+IF(ISNUMBER(SEARCH(MAP_TNHN!B69&amp;" (2 tiết)",'PL12'!$S$8)),1,0)+IF(ISNUMBER(SEARCH(MAP_TNHN!B69&amp;" (2 tiết)",'PL12'!$S$9)),1,0)+IF(ISNUMBER(SEARCH(MAP_TNHN!B69&amp;" (2 tiết)",'PL12'!$S$10)),1,0)+IF(ISNUMBER(SEARCH(MAP_TNHN!B69&amp;" (2 tiết)",'PL12'!$S$11)),1,0)+IF(ISNUMBER(SEARCH(MAP_TNHN!B69&amp;" (2 tiết)",'PL12'!$S$12)),1,0)+IF(ISNUMBER(SEARCH(MAP_TNHN!B69&amp;" (2 tiết)",'PL12'!$S$13)),1,0)+IF(ISNUMBER(SEARCH(MAP_TNHN!B69&amp;" (2 tiết)",'PL12'!$S$14)),1,0)+IF(ISNUMBER(SEARCH(MAP_TNHN!B69&amp;" (2 tiết)",'PL12'!$S$15)),1,0)+IF(ISNUMBER(SEARCH(MAP_TNHN!B69&amp;" (2 tiết)",'PL12'!$S$16)),1,0)+IF(ISNUMBER(SEARCH(MAP_TNHN!B69&amp;" (2 tiết)",'PL12'!$S$17)),1,0)+IF(ISNUMBER(SEARCH(MAP_TNHN!B69&amp;" (2 tiết)",'PL12'!$S$18)),1,0)+IF(ISNUMBER(SEARCH(MAP_TNHN!B69&amp;" (2 tiết)",'PL12'!$S$19)),1,0))))</f>
        <v>0</v>
      </c>
      <c r="AX69">
        <f>IF(N69="",0,IF(MAP_TNHN!C69="",N69*3,N69*3-2*(IF(ISNUMBER(SEARCH(MAP_TNHN!C69&amp;" (1 tiết)",'PL11'!$S$5)),1,0)+IF(ISNUMBER(SEARCH(MAP_TNHN!C69&amp;" (1 tiết)",'PL11'!$S$6)),1,0)+IF(ISNUMBER(SEARCH(MAP_TNHN!C69&amp;" (1 tiết)",'PL11'!$S$7)),1,0)+IF(ISNUMBER(SEARCH(MAP_TNHN!C69&amp;" (1 tiết)",'PL11'!$S$8)),1,0)+IF(ISNUMBER(SEARCH(MAP_TNHN!C69&amp;" (1 tiết)",'PL11'!$S$9)),1,0)+IF(ISNUMBER(SEARCH(MAP_TNHN!C69&amp;" (1 tiết)",'PL11'!$S$10)),1,0)+IF(ISNUMBER(SEARCH(MAP_TNHN!C69&amp;" (1 tiết)",'PL11'!$S$11)),1,0)+IF(ISNUMBER(SEARCH(MAP_TNHN!C69&amp;" (1 tiết)",'PL11'!$S$12)),1,0)+IF(ISNUMBER(SEARCH(MAP_TNHN!C69&amp;" (1 tiết)",'PL11'!$S$13)),1,0)+IF(ISNUMBER(SEARCH(MAP_TNHN!C69&amp;" (1 tiết)",'PL11'!$S$14)),1,0)+IF(ISNUMBER(SEARCH(MAP_TNHN!C69&amp;" (1 tiết)",'PL11'!$S$15)),1,0)+IF(ISNUMBER(SEARCH(MAP_TNHN!C69&amp;" (1 tiết)",'PL11'!$S$16)),1,0)+IF(ISNUMBER(SEARCH(MAP_TNHN!C69&amp;" (1 tiết)",'PL11'!$S$17)),1,0)+IF(ISNUMBER(SEARCH(MAP_TNHN!C69&amp;" (1 tiết)",'PL11'!$S$18)),1,0))-(IF(ISNUMBER(SEARCH(MAP_TNHN!C69&amp;" (2 tiết)",'PL11'!$S$5)),1,0)+IF(ISNUMBER(SEARCH(MAP_TNHN!C69&amp;" (2 tiết)",'PL11'!$S$6)),1,0)+IF(ISNUMBER(SEARCH(MAP_TNHN!C69&amp;" (2 tiết)",'PL11'!$S$7)),1,0)+IF(ISNUMBER(SEARCH(MAP_TNHN!C69&amp;" (2 tiết)",'PL11'!$S$8)),1,0)+IF(ISNUMBER(SEARCH(MAP_TNHN!C69&amp;" (2 tiết)",'PL11'!$S$9)),1,0)+IF(ISNUMBER(SEARCH(MAP_TNHN!C69&amp;" (2 tiết)",'PL11'!$S$10)),1,0)+IF(ISNUMBER(SEARCH(MAP_TNHN!C69&amp;" (2 tiết)",'PL11'!$S$11)),1,0)+IF(ISNUMBER(SEARCH(MAP_TNHN!C69&amp;" (2 tiết)",'PL11'!$S$12)),1,0)+IF(ISNUMBER(SEARCH(MAP_TNHN!C69&amp;" (2 tiết)",'PL11'!$S$13)),1,0)+IF(ISNUMBER(SEARCH(MAP_TNHN!C69&amp;" (2 tiết)",'PL11'!$S$14)),1,0)+IF(ISNUMBER(SEARCH(MAP_TNHN!C69&amp;" (2 tiết)",'PL11'!$S$15)),1,0)+IF(ISNUMBER(SEARCH(MAP_TNHN!C69&amp;" (2 tiết)",'PL11'!$S$16)),1,0)+IF(ISNUMBER(SEARCH(MAP_TNHN!C69&amp;" (2 tiết)",'PL11'!$S$17)),1,0)+IF(ISNUMBER(SEARCH(MAP_TNHN!C69&amp;" (2 tiết)",'PL11'!$S$18)),1,0))))</f>
        <v>0</v>
      </c>
      <c r="AY69">
        <f>IF(S69="",0,IF(MAP_TNHN!D69="",S69*3,S69*3-2*(IF(ISNUMBER(SEARCH(MAP_TNHN!D69&amp;" (1 tiết)",'PL10'!$S$5)),1,0)+IF(ISNUMBER(SEARCH(MAP_TNHN!D69&amp;" (1 tiết)",'PL10'!$S$6)),1,0)+IF(ISNUMBER(SEARCH(MAP_TNHN!D69&amp;" (1 tiết)",'PL10'!$S$7)),1,0)+IF(ISNUMBER(SEARCH(MAP_TNHN!D69&amp;" (1 tiết)",'PL10'!$S$8)),1,0)+IF(ISNUMBER(SEARCH(MAP_TNHN!D69&amp;" (1 tiết)",'PL10'!$S$9)),1,0)+IF(ISNUMBER(SEARCH(MAP_TNHN!D69&amp;" (1 tiết)",'PL10'!$S$10)),1,0)+IF(ISNUMBER(SEARCH(MAP_TNHN!D69&amp;" (1 tiết)",'PL10'!$S$11)),1,0)+IF(ISNUMBER(SEARCH(MAP_TNHN!D69&amp;" (1 tiết)",'PL10'!$S$12)),1,0)+IF(ISNUMBER(SEARCH(MAP_TNHN!D69&amp;" (1 tiết)",'PL10'!$S$13)),1,0)+IF(ISNUMBER(SEARCH(MAP_TNHN!D69&amp;" (1 tiết)",'PL10'!$S$14)),1,0)+IF(ISNUMBER(SEARCH(MAP_TNHN!D69&amp;" (1 tiết)",'PL10'!$S$15)),1,0)+IF(ISNUMBER(SEARCH(MAP_TNHN!D69&amp;" (1 tiết)",'PL10'!$S$16)),1,0)+IF(ISNUMBER(SEARCH(MAP_TNHN!D69&amp;" (1 tiết)",'PL10'!$S$17)),1,0)+IF(ISNUMBER(SEARCH(MAP_TNHN!D69&amp;" (1 tiết)",'PL10'!$S$18)),1,0)+IF(ISNUMBER(SEARCH(MAP_TNHN!D69&amp;" (1 tiết)",'PL10'!$S$19)),1,0)+IF(ISNUMBER(SEARCH(MAP_TNHN!D69&amp;" (1 tiết)",'PL10'!$S$20)),1,0)+IF(ISNUMBER(SEARCH(MAP_TNHN!D69&amp;" (1 tiết)",'PL10'!$S$21)),1,0)+IF(ISNUMBER(SEARCH(MAP_TNHN!D69&amp;" (1 tiết)",'PL10'!$S$22)),1,0)+IF(ISNUMBER(SEARCH(MAP_TNHN!D69&amp;" (1 tiết)",'PL10'!$S$23)),1,0)+IF(ISNUMBER(SEARCH(MAP_TNHN!D69&amp;" (1 tiết)",'PL10'!$S$24)),1,0)+IF(ISNUMBER(SEARCH(MAP_TNHN!D69&amp;" (1 tiết)",'PL10'!$S$25)),1,0))-(IF(ISNUMBER(SEARCH(MAP_TNHN!D69&amp;" (2 tiết)",'PL10'!$S$5)),1,0)+IF(ISNUMBER(SEARCH(MAP_TNHN!D69&amp;" (2 tiết)",'PL10'!$S$6)),1,0)+IF(ISNUMBER(SEARCH(MAP_TNHN!D69&amp;" (2 tiết)",'PL10'!$S$7)),1,0)+IF(ISNUMBER(SEARCH(MAP_TNHN!D69&amp;" (2 tiết)",'PL10'!$S$8)),1,0)+IF(ISNUMBER(SEARCH(MAP_TNHN!D69&amp;" (2 tiết)",'PL10'!$S$9)),1,0)+IF(ISNUMBER(SEARCH(MAP_TNHN!D69&amp;" (2 tiết)",'PL10'!$S$10)),1,0)+IF(ISNUMBER(SEARCH(MAP_TNHN!D69&amp;" (2 tiết)",'PL10'!$S$11)),1,0)+IF(ISNUMBER(SEARCH(MAP_TNHN!D69&amp;" (2 tiết)",'PL10'!$S$12)),1,0)+IF(ISNUMBER(SEARCH(MAP_TNHN!D69&amp;" (2 tiết)",'PL10'!$S$13)),1,0)+IF(ISNUMBER(SEARCH(MAP_TNHN!D69&amp;" (2 tiết)",'PL10'!$S$14)),1,0)+IF(ISNUMBER(SEARCH(MAP_TNHN!D69&amp;" (2 tiết)",'PL10'!$S$15)),1,0)+IF(ISNUMBER(SEARCH(MAP_TNHN!D69&amp;" (2 tiết)",'PL10'!$S$16)),1,0)+IF(ISNUMBER(SEARCH(MAP_TNHN!D69&amp;" (2 tiết)",'PL10'!$S$17)),1,0)+IF(ISNUMBER(SEARCH(MAP_TNHN!D69&amp;" (2 tiết)",'PL10'!$S$18)),1,0)+IF(ISNUMBER(SEARCH(MAP_TNHN!D69&amp;" (2 tiết)",'PL10'!$S$19)),1,0)+IF(ISNUMBER(SEARCH(MAP_TNHN!D69&amp;" (2 tiết)",'PL10'!$S$20)),1,0)+IF(ISNUMBER(SEARCH(MAP_TNHN!D69&amp;" (2 tiết)",'PL10'!$S$21)),1,0)+IF(ISNUMBER(SEARCH(MAP_TNHN!D69&amp;" (2 tiết)",'PL10'!$S$22)),1,0)+IF(ISNUMBER(SEARCH(MAP_TNHN!D69&amp;" (2 tiết)",'PL10'!$S$23)),1,0)+IF(ISNUMBER(SEARCH(MAP_TNHN!D69&amp;" (2 tiết)",'PL10'!$S$24)),1,0)+IF(ISNUMBER(SEARCH(MAP_TNHN!D69&amp;" (2 tiết)",'PL10'!$S$25)),1,0))))</f>
        <v>3</v>
      </c>
    </row>
    <row r="70" spans="1:51" x14ac:dyDescent="0.35">
      <c r="A70" s="311"/>
      <c r="B70" s="8">
        <v>3</v>
      </c>
      <c r="C70" s="26" t="s">
        <v>162</v>
      </c>
      <c r="D70" s="20">
        <v>10</v>
      </c>
      <c r="E70" s="10">
        <v>1</v>
      </c>
      <c r="F70" s="10"/>
      <c r="G70" s="10"/>
      <c r="H70" s="10"/>
      <c r="I70" s="159"/>
      <c r="J70" s="10">
        <v>4</v>
      </c>
      <c r="K70" s="6"/>
      <c r="L70" s="6"/>
      <c r="M70" s="6"/>
      <c r="N70" s="139"/>
      <c r="O70" s="6"/>
      <c r="P70" s="42">
        <v>2</v>
      </c>
      <c r="Q70" s="42">
        <v>1</v>
      </c>
      <c r="R70" s="42">
        <v>2</v>
      </c>
      <c r="S70" s="138">
        <v>2</v>
      </c>
      <c r="T70" s="42"/>
      <c r="U70" s="11">
        <f>E70*('Phân tiết'!$M$18/4)+G70*('Phân tiết'!$M$21/3)+H70*'Phân tiết'!$L$26+AW70+J70*'Phân tiết'!$M$20+K70*('Phân tiết'!$I$18/4)+M70*('Phân tiết'!$I$21/3)+AX70+O70*'Phân tiết'!$I$20+P70*('Phân tiết'!$E$18/4)+R70*('Phân tiết'!$E$21/3)+AY70+T70*'Phân tiết'!$E$20</f>
        <v>17</v>
      </c>
      <c r="V70" s="8">
        <f t="shared" si="22"/>
        <v>4</v>
      </c>
      <c r="W70" s="6"/>
      <c r="X70" s="6"/>
      <c r="Y70" s="8"/>
      <c r="Z70" s="43">
        <f t="shared" si="23"/>
        <v>21</v>
      </c>
      <c r="AA70" s="34">
        <f t="shared" si="24"/>
        <v>4</v>
      </c>
      <c r="AB70" s="8"/>
      <c r="AC70" s="8"/>
      <c r="AD70" s="6">
        <f t="shared" si="3"/>
        <v>0</v>
      </c>
      <c r="AE70" s="8"/>
      <c r="AF70" s="8"/>
      <c r="AG70" s="6">
        <f t="shared" si="5"/>
        <v>0</v>
      </c>
      <c r="AH70" s="8"/>
      <c r="AI70" s="8"/>
      <c r="AJ70" s="6">
        <f>AH70*AI70</f>
        <v>0</v>
      </c>
      <c r="AK70" s="6">
        <f t="shared" si="6"/>
        <v>132</v>
      </c>
      <c r="AL70" s="8"/>
      <c r="AM70" s="34"/>
      <c r="AN70" s="8" t="s">
        <v>158</v>
      </c>
      <c r="AO70" s="8" t="s">
        <v>163</v>
      </c>
      <c r="AP70" s="8" t="s">
        <v>163</v>
      </c>
      <c r="AQ70" s="8"/>
      <c r="AR70" s="8"/>
      <c r="AS70" s="8"/>
      <c r="AT70" s="8" t="s">
        <v>46</v>
      </c>
      <c r="AU70" s="8" t="s">
        <v>164</v>
      </c>
      <c r="AV70" s="8"/>
      <c r="AW70">
        <f>IF(I70="",0,IF(MAP_TNHN!B70="",I70*3,I70*3-2*(IF(ISNUMBER(SEARCH(MAP_TNHN!B70&amp;" (1 tiết)",'PL12'!$S$5)),1,0)+IF(ISNUMBER(SEARCH(MAP_TNHN!B70&amp;" (1 tiết)",'PL12'!$S$6)),1,0)+IF(ISNUMBER(SEARCH(MAP_TNHN!B70&amp;" (1 tiết)",'PL12'!$S$7)),1,0)+IF(ISNUMBER(SEARCH(MAP_TNHN!B70&amp;" (1 tiết)",'PL12'!$S$8)),1,0)+IF(ISNUMBER(SEARCH(MAP_TNHN!B70&amp;" (1 tiết)",'PL12'!$S$9)),1,0)+IF(ISNUMBER(SEARCH(MAP_TNHN!B70&amp;" (1 tiết)",'PL12'!$S$10)),1,0)+IF(ISNUMBER(SEARCH(MAP_TNHN!B70&amp;" (1 tiết)",'PL12'!$S$11)),1,0)+IF(ISNUMBER(SEARCH(MAP_TNHN!B70&amp;" (1 tiết)",'PL12'!$S$12)),1,0)+IF(ISNUMBER(SEARCH(MAP_TNHN!B70&amp;" (1 tiết)",'PL12'!$S$13)),1,0)+IF(ISNUMBER(SEARCH(MAP_TNHN!B70&amp;" (1 tiết)",'PL12'!$S$14)),1,0)+IF(ISNUMBER(SEARCH(MAP_TNHN!B70&amp;" (1 tiết)",'PL12'!$S$15)),1,0)+IF(ISNUMBER(SEARCH(MAP_TNHN!B70&amp;" (1 tiết)",'PL12'!$S$16)),1,0)+IF(ISNUMBER(SEARCH(MAP_TNHN!B70&amp;" (1 tiết)",'PL12'!$S$17)),1,0)+IF(ISNUMBER(SEARCH(MAP_TNHN!B70&amp;" (1 tiết)",'PL12'!$S$18)),1,0)+IF(ISNUMBER(SEARCH(MAP_TNHN!B70&amp;" (1 tiết)",'PL12'!$S$19)),1,0))-(IF(ISNUMBER(SEARCH(MAP_TNHN!B70&amp;" (2 tiết)",'PL12'!$S$5)),1,0)+IF(ISNUMBER(SEARCH(MAP_TNHN!B70&amp;" (2 tiết)",'PL12'!$S$6)),1,0)+IF(ISNUMBER(SEARCH(MAP_TNHN!B70&amp;" (2 tiết)",'PL12'!$S$7)),1,0)+IF(ISNUMBER(SEARCH(MAP_TNHN!B70&amp;" (2 tiết)",'PL12'!$S$8)),1,0)+IF(ISNUMBER(SEARCH(MAP_TNHN!B70&amp;" (2 tiết)",'PL12'!$S$9)),1,0)+IF(ISNUMBER(SEARCH(MAP_TNHN!B70&amp;" (2 tiết)",'PL12'!$S$10)),1,0)+IF(ISNUMBER(SEARCH(MAP_TNHN!B70&amp;" (2 tiết)",'PL12'!$S$11)),1,0)+IF(ISNUMBER(SEARCH(MAP_TNHN!B70&amp;" (2 tiết)",'PL12'!$S$12)),1,0)+IF(ISNUMBER(SEARCH(MAP_TNHN!B70&amp;" (2 tiết)",'PL12'!$S$13)),1,0)+IF(ISNUMBER(SEARCH(MAP_TNHN!B70&amp;" (2 tiết)",'PL12'!$S$14)),1,0)+IF(ISNUMBER(SEARCH(MAP_TNHN!B70&amp;" (2 tiết)",'PL12'!$S$15)),1,0)+IF(ISNUMBER(SEARCH(MAP_TNHN!B70&amp;" (2 tiết)",'PL12'!$S$16)),1,0)+IF(ISNUMBER(SEARCH(MAP_TNHN!B70&amp;" (2 tiết)",'PL12'!$S$17)),1,0)+IF(ISNUMBER(SEARCH(MAP_TNHN!B70&amp;" (2 tiết)",'PL12'!$S$18)),1,0)+IF(ISNUMBER(SEARCH(MAP_TNHN!B70&amp;" (2 tiết)",'PL12'!$S$19)),1,0))))</f>
        <v>0</v>
      </c>
      <c r="AX70">
        <f>IF(N70="",0,IF(MAP_TNHN!C70="",N70*3,N70*3-2*(IF(ISNUMBER(SEARCH(MAP_TNHN!C70&amp;" (1 tiết)",'PL11'!$S$5)),1,0)+IF(ISNUMBER(SEARCH(MAP_TNHN!C70&amp;" (1 tiết)",'PL11'!$S$6)),1,0)+IF(ISNUMBER(SEARCH(MAP_TNHN!C70&amp;" (1 tiết)",'PL11'!$S$7)),1,0)+IF(ISNUMBER(SEARCH(MAP_TNHN!C70&amp;" (1 tiết)",'PL11'!$S$8)),1,0)+IF(ISNUMBER(SEARCH(MAP_TNHN!C70&amp;" (1 tiết)",'PL11'!$S$9)),1,0)+IF(ISNUMBER(SEARCH(MAP_TNHN!C70&amp;" (1 tiết)",'PL11'!$S$10)),1,0)+IF(ISNUMBER(SEARCH(MAP_TNHN!C70&amp;" (1 tiết)",'PL11'!$S$11)),1,0)+IF(ISNUMBER(SEARCH(MAP_TNHN!C70&amp;" (1 tiết)",'PL11'!$S$12)),1,0)+IF(ISNUMBER(SEARCH(MAP_TNHN!C70&amp;" (1 tiết)",'PL11'!$S$13)),1,0)+IF(ISNUMBER(SEARCH(MAP_TNHN!C70&amp;" (1 tiết)",'PL11'!$S$14)),1,0)+IF(ISNUMBER(SEARCH(MAP_TNHN!C70&amp;" (1 tiết)",'PL11'!$S$15)),1,0)+IF(ISNUMBER(SEARCH(MAP_TNHN!C70&amp;" (1 tiết)",'PL11'!$S$16)),1,0)+IF(ISNUMBER(SEARCH(MAP_TNHN!C70&amp;" (1 tiết)",'PL11'!$S$17)),1,0)+IF(ISNUMBER(SEARCH(MAP_TNHN!C70&amp;" (1 tiết)",'PL11'!$S$18)),1,0))-(IF(ISNUMBER(SEARCH(MAP_TNHN!C70&amp;" (2 tiết)",'PL11'!$S$5)),1,0)+IF(ISNUMBER(SEARCH(MAP_TNHN!C70&amp;" (2 tiết)",'PL11'!$S$6)),1,0)+IF(ISNUMBER(SEARCH(MAP_TNHN!C70&amp;" (2 tiết)",'PL11'!$S$7)),1,0)+IF(ISNUMBER(SEARCH(MAP_TNHN!C70&amp;" (2 tiết)",'PL11'!$S$8)),1,0)+IF(ISNUMBER(SEARCH(MAP_TNHN!C70&amp;" (2 tiết)",'PL11'!$S$9)),1,0)+IF(ISNUMBER(SEARCH(MAP_TNHN!C70&amp;" (2 tiết)",'PL11'!$S$10)),1,0)+IF(ISNUMBER(SEARCH(MAP_TNHN!C70&amp;" (2 tiết)",'PL11'!$S$11)),1,0)+IF(ISNUMBER(SEARCH(MAP_TNHN!C70&amp;" (2 tiết)",'PL11'!$S$12)),1,0)+IF(ISNUMBER(SEARCH(MAP_TNHN!C70&amp;" (2 tiết)",'PL11'!$S$13)),1,0)+IF(ISNUMBER(SEARCH(MAP_TNHN!C70&amp;" (2 tiết)",'PL11'!$S$14)),1,0)+IF(ISNUMBER(SEARCH(MAP_TNHN!C70&amp;" (2 tiết)",'PL11'!$S$15)),1,0)+IF(ISNUMBER(SEARCH(MAP_TNHN!C70&amp;" (2 tiết)",'PL11'!$S$16)),1,0)+IF(ISNUMBER(SEARCH(MAP_TNHN!C70&amp;" (2 tiết)",'PL11'!$S$17)),1,0)+IF(ISNUMBER(SEARCH(MAP_TNHN!C70&amp;" (2 tiết)",'PL11'!$S$18)),1,0))))</f>
        <v>0</v>
      </c>
      <c r="AY70">
        <f>IF(S70="",0,IF(MAP_TNHN!D70="",S70*3,S70*3-2*(IF(ISNUMBER(SEARCH(MAP_TNHN!D70&amp;" (1 tiết)",'PL10'!$S$5)),1,0)+IF(ISNUMBER(SEARCH(MAP_TNHN!D70&amp;" (1 tiết)",'PL10'!$S$6)),1,0)+IF(ISNUMBER(SEARCH(MAP_TNHN!D70&amp;" (1 tiết)",'PL10'!$S$7)),1,0)+IF(ISNUMBER(SEARCH(MAP_TNHN!D70&amp;" (1 tiết)",'PL10'!$S$8)),1,0)+IF(ISNUMBER(SEARCH(MAP_TNHN!D70&amp;" (1 tiết)",'PL10'!$S$9)),1,0)+IF(ISNUMBER(SEARCH(MAP_TNHN!D70&amp;" (1 tiết)",'PL10'!$S$10)),1,0)+IF(ISNUMBER(SEARCH(MAP_TNHN!D70&amp;" (1 tiết)",'PL10'!$S$11)),1,0)+IF(ISNUMBER(SEARCH(MAP_TNHN!D70&amp;" (1 tiết)",'PL10'!$S$12)),1,0)+IF(ISNUMBER(SEARCH(MAP_TNHN!D70&amp;" (1 tiết)",'PL10'!$S$13)),1,0)+IF(ISNUMBER(SEARCH(MAP_TNHN!D70&amp;" (1 tiết)",'PL10'!$S$14)),1,0)+IF(ISNUMBER(SEARCH(MAP_TNHN!D70&amp;" (1 tiết)",'PL10'!$S$15)),1,0)+IF(ISNUMBER(SEARCH(MAP_TNHN!D70&amp;" (1 tiết)",'PL10'!$S$16)),1,0)+IF(ISNUMBER(SEARCH(MAP_TNHN!D70&amp;" (1 tiết)",'PL10'!$S$17)),1,0)+IF(ISNUMBER(SEARCH(MAP_TNHN!D70&amp;" (1 tiết)",'PL10'!$S$18)),1,0)+IF(ISNUMBER(SEARCH(MAP_TNHN!D70&amp;" (1 tiết)",'PL10'!$S$19)),1,0)+IF(ISNUMBER(SEARCH(MAP_TNHN!D70&amp;" (1 tiết)",'PL10'!$S$20)),1,0)+IF(ISNUMBER(SEARCH(MAP_TNHN!D70&amp;" (1 tiết)",'PL10'!$S$21)),1,0)+IF(ISNUMBER(SEARCH(MAP_TNHN!D70&amp;" (1 tiết)",'PL10'!$S$22)),1,0)+IF(ISNUMBER(SEARCH(MAP_TNHN!D70&amp;" (1 tiết)",'PL10'!$S$23)),1,0)+IF(ISNUMBER(SEARCH(MAP_TNHN!D70&amp;" (1 tiết)",'PL10'!$S$24)),1,0)+IF(ISNUMBER(SEARCH(MAP_TNHN!D70&amp;" (1 tiết)",'PL10'!$S$25)),1,0))-(IF(ISNUMBER(SEARCH(MAP_TNHN!D70&amp;" (2 tiết)",'PL10'!$S$5)),1,0)+IF(ISNUMBER(SEARCH(MAP_TNHN!D70&amp;" (2 tiết)",'PL10'!$S$6)),1,0)+IF(ISNUMBER(SEARCH(MAP_TNHN!D70&amp;" (2 tiết)",'PL10'!$S$7)),1,0)+IF(ISNUMBER(SEARCH(MAP_TNHN!D70&amp;" (2 tiết)",'PL10'!$S$8)),1,0)+IF(ISNUMBER(SEARCH(MAP_TNHN!D70&amp;" (2 tiết)",'PL10'!$S$9)),1,0)+IF(ISNUMBER(SEARCH(MAP_TNHN!D70&amp;" (2 tiết)",'PL10'!$S$10)),1,0)+IF(ISNUMBER(SEARCH(MAP_TNHN!D70&amp;" (2 tiết)",'PL10'!$S$11)),1,0)+IF(ISNUMBER(SEARCH(MAP_TNHN!D70&amp;" (2 tiết)",'PL10'!$S$12)),1,0)+IF(ISNUMBER(SEARCH(MAP_TNHN!D70&amp;" (2 tiết)",'PL10'!$S$13)),1,0)+IF(ISNUMBER(SEARCH(MAP_TNHN!D70&amp;" (2 tiết)",'PL10'!$S$14)),1,0)+IF(ISNUMBER(SEARCH(MAP_TNHN!D70&amp;" (2 tiết)",'PL10'!$S$15)),1,0)+IF(ISNUMBER(SEARCH(MAP_TNHN!D70&amp;" (2 tiết)",'PL10'!$S$16)),1,0)+IF(ISNUMBER(SEARCH(MAP_TNHN!D70&amp;" (2 tiết)",'PL10'!$S$17)),1,0)+IF(ISNUMBER(SEARCH(MAP_TNHN!D70&amp;" (2 tiết)",'PL10'!$S$18)),1,0)+IF(ISNUMBER(SEARCH(MAP_TNHN!D70&amp;" (2 tiết)",'PL10'!$S$19)),1,0)+IF(ISNUMBER(SEARCH(MAP_TNHN!D70&amp;" (2 tiết)",'PL10'!$S$20)),1,0)+IF(ISNUMBER(SEARCH(MAP_TNHN!D70&amp;" (2 tiết)",'PL10'!$S$21)),1,0)+IF(ISNUMBER(SEARCH(MAP_TNHN!D70&amp;" (2 tiết)",'PL10'!$S$22)),1,0)+IF(ISNUMBER(SEARCH(MAP_TNHN!D70&amp;" (2 tiết)",'PL10'!$S$23)),1,0)+IF(ISNUMBER(SEARCH(MAP_TNHN!D70&amp;" (2 tiết)",'PL10'!$S$24)),1,0)+IF(ISNUMBER(SEARCH(MAP_TNHN!D70&amp;" (2 tiết)",'PL10'!$S$25)),1,0))))</f>
        <v>5</v>
      </c>
    </row>
    <row r="71" spans="1:51" x14ac:dyDescent="0.35">
      <c r="A71" s="311"/>
      <c r="B71" s="8">
        <v>4</v>
      </c>
      <c r="C71" s="9" t="s">
        <v>165</v>
      </c>
      <c r="D71" s="20">
        <v>12</v>
      </c>
      <c r="E71" s="10">
        <v>1</v>
      </c>
      <c r="F71" s="10">
        <v>1</v>
      </c>
      <c r="G71" s="10">
        <v>1</v>
      </c>
      <c r="H71" s="10">
        <v>1</v>
      </c>
      <c r="I71" s="307"/>
      <c r="J71" s="10">
        <v>1</v>
      </c>
      <c r="K71" s="6"/>
      <c r="L71" s="6"/>
      <c r="M71" s="6"/>
      <c r="N71" s="139"/>
      <c r="O71" s="6"/>
      <c r="P71" s="42">
        <v>2</v>
      </c>
      <c r="Q71" s="42"/>
      <c r="R71" s="42">
        <v>2</v>
      </c>
      <c r="S71" s="138"/>
      <c r="T71" s="42"/>
      <c r="U71" s="11">
        <f>E71*('Phân tiết'!$M$18/4)+G71*('Phân tiết'!$M$21/3)+H71*'Phân tiết'!$L$26+AW71+J71*'Phân tiết'!$M$20+K71*('Phân tiết'!$I$18/4)+M71*('Phân tiết'!$I$21/3)+AX71+O71*'Phân tiết'!$I$20+P71*('Phân tiết'!$E$18/4)+R71*('Phân tiết'!$E$21/3)+AY71+T71*'Phân tiết'!$E$20</f>
        <v>12</v>
      </c>
      <c r="V71" s="8">
        <f t="shared" si="22"/>
        <v>4</v>
      </c>
      <c r="W71" s="6"/>
      <c r="X71" s="6"/>
      <c r="Y71" s="8"/>
      <c r="Z71" s="43">
        <f t="shared" si="23"/>
        <v>16</v>
      </c>
      <c r="AA71" s="34">
        <f t="shared" si="24"/>
        <v>-1</v>
      </c>
      <c r="AB71" s="8"/>
      <c r="AC71" s="8"/>
      <c r="AD71" s="6">
        <f t="shared" ref="AD71:AD106" si="25">AB71*AC71*1.5</f>
        <v>0</v>
      </c>
      <c r="AE71" s="8">
        <v>2</v>
      </c>
      <c r="AF71" s="8">
        <v>15</v>
      </c>
      <c r="AG71" s="6">
        <f t="shared" si="5"/>
        <v>45</v>
      </c>
      <c r="AH71" s="8"/>
      <c r="AI71" s="8"/>
      <c r="AJ71" s="6">
        <f>AH71*AI71</f>
        <v>0</v>
      </c>
      <c r="AK71" s="6">
        <f t="shared" si="6"/>
        <v>12</v>
      </c>
      <c r="AL71" s="8"/>
      <c r="AM71" s="8" t="s">
        <v>52</v>
      </c>
      <c r="AN71" s="8"/>
      <c r="AO71" s="8" t="s">
        <v>166</v>
      </c>
      <c r="AP71" s="8" t="s">
        <v>166</v>
      </c>
      <c r="AQ71" s="8"/>
      <c r="AR71" s="8"/>
      <c r="AS71" s="8"/>
      <c r="AT71" s="8" t="s">
        <v>46</v>
      </c>
      <c r="AU71" s="8"/>
      <c r="AV71" s="8"/>
      <c r="AW71">
        <f>IF(I71="",0,IF(MAP_TNHN!B71="",I71*3,I71*3-2*(IF(ISNUMBER(SEARCH(MAP_TNHN!B71&amp;" (1 tiết)",'PL12'!$S$5)),1,0)+IF(ISNUMBER(SEARCH(MAP_TNHN!B71&amp;" (1 tiết)",'PL12'!$S$6)),1,0)+IF(ISNUMBER(SEARCH(MAP_TNHN!B71&amp;" (1 tiết)",'PL12'!$S$7)),1,0)+IF(ISNUMBER(SEARCH(MAP_TNHN!B71&amp;" (1 tiết)",'PL12'!$S$8)),1,0)+IF(ISNUMBER(SEARCH(MAP_TNHN!B71&amp;" (1 tiết)",'PL12'!$S$9)),1,0)+IF(ISNUMBER(SEARCH(MAP_TNHN!B71&amp;" (1 tiết)",'PL12'!$S$10)),1,0)+IF(ISNUMBER(SEARCH(MAP_TNHN!B71&amp;" (1 tiết)",'PL12'!$S$11)),1,0)+IF(ISNUMBER(SEARCH(MAP_TNHN!B71&amp;" (1 tiết)",'PL12'!$S$12)),1,0)+IF(ISNUMBER(SEARCH(MAP_TNHN!B71&amp;" (1 tiết)",'PL12'!$S$13)),1,0)+IF(ISNUMBER(SEARCH(MAP_TNHN!B71&amp;" (1 tiết)",'PL12'!$S$14)),1,0)+IF(ISNUMBER(SEARCH(MAP_TNHN!B71&amp;" (1 tiết)",'PL12'!$S$15)),1,0)+IF(ISNUMBER(SEARCH(MAP_TNHN!B71&amp;" (1 tiết)",'PL12'!$S$16)),1,0)+IF(ISNUMBER(SEARCH(MAP_TNHN!B71&amp;" (1 tiết)",'PL12'!$S$17)),1,0)+IF(ISNUMBER(SEARCH(MAP_TNHN!B71&amp;" (1 tiết)",'PL12'!$S$18)),1,0)+IF(ISNUMBER(SEARCH(MAP_TNHN!B71&amp;" (1 tiết)",'PL12'!$S$19)),1,0))-(IF(ISNUMBER(SEARCH(MAP_TNHN!B71&amp;" (2 tiết)",'PL12'!$S$5)),1,0)+IF(ISNUMBER(SEARCH(MAP_TNHN!B71&amp;" (2 tiết)",'PL12'!$S$6)),1,0)+IF(ISNUMBER(SEARCH(MAP_TNHN!B71&amp;" (2 tiết)",'PL12'!$S$7)),1,0)+IF(ISNUMBER(SEARCH(MAP_TNHN!B71&amp;" (2 tiết)",'PL12'!$S$8)),1,0)+IF(ISNUMBER(SEARCH(MAP_TNHN!B71&amp;" (2 tiết)",'PL12'!$S$9)),1,0)+IF(ISNUMBER(SEARCH(MAP_TNHN!B71&amp;" (2 tiết)",'PL12'!$S$10)),1,0)+IF(ISNUMBER(SEARCH(MAP_TNHN!B71&amp;" (2 tiết)",'PL12'!$S$11)),1,0)+IF(ISNUMBER(SEARCH(MAP_TNHN!B71&amp;" (2 tiết)",'PL12'!$S$12)),1,0)+IF(ISNUMBER(SEARCH(MAP_TNHN!B71&amp;" (2 tiết)",'PL12'!$S$13)),1,0)+IF(ISNUMBER(SEARCH(MAP_TNHN!B71&amp;" (2 tiết)",'PL12'!$S$14)),1,0)+IF(ISNUMBER(SEARCH(MAP_TNHN!B71&amp;" (2 tiết)",'PL12'!$S$15)),1,0)+IF(ISNUMBER(SEARCH(MAP_TNHN!B71&amp;" (2 tiết)",'PL12'!$S$16)),1,0)+IF(ISNUMBER(SEARCH(MAP_TNHN!B71&amp;" (2 tiết)",'PL12'!$S$17)),1,0)+IF(ISNUMBER(SEARCH(MAP_TNHN!B71&amp;" (2 tiết)",'PL12'!$S$18)),1,0)+IF(ISNUMBER(SEARCH(MAP_TNHN!B71&amp;" (2 tiết)",'PL12'!$S$19)),1,0))))</f>
        <v>0</v>
      </c>
      <c r="AX71">
        <f>IF(N71="",0,IF(MAP_TNHN!C71="",N71*3,N71*3-2*(IF(ISNUMBER(SEARCH(MAP_TNHN!C71&amp;" (1 tiết)",'PL11'!$S$5)),1,0)+IF(ISNUMBER(SEARCH(MAP_TNHN!C71&amp;" (1 tiết)",'PL11'!$S$6)),1,0)+IF(ISNUMBER(SEARCH(MAP_TNHN!C71&amp;" (1 tiết)",'PL11'!$S$7)),1,0)+IF(ISNUMBER(SEARCH(MAP_TNHN!C71&amp;" (1 tiết)",'PL11'!$S$8)),1,0)+IF(ISNUMBER(SEARCH(MAP_TNHN!C71&amp;" (1 tiết)",'PL11'!$S$9)),1,0)+IF(ISNUMBER(SEARCH(MAP_TNHN!C71&amp;" (1 tiết)",'PL11'!$S$10)),1,0)+IF(ISNUMBER(SEARCH(MAP_TNHN!C71&amp;" (1 tiết)",'PL11'!$S$11)),1,0)+IF(ISNUMBER(SEARCH(MAP_TNHN!C71&amp;" (1 tiết)",'PL11'!$S$12)),1,0)+IF(ISNUMBER(SEARCH(MAP_TNHN!C71&amp;" (1 tiết)",'PL11'!$S$13)),1,0)+IF(ISNUMBER(SEARCH(MAP_TNHN!C71&amp;" (1 tiết)",'PL11'!$S$14)),1,0)+IF(ISNUMBER(SEARCH(MAP_TNHN!C71&amp;" (1 tiết)",'PL11'!$S$15)),1,0)+IF(ISNUMBER(SEARCH(MAP_TNHN!C71&amp;" (1 tiết)",'PL11'!$S$16)),1,0)+IF(ISNUMBER(SEARCH(MAP_TNHN!C71&amp;" (1 tiết)",'PL11'!$S$17)),1,0)+IF(ISNUMBER(SEARCH(MAP_TNHN!C71&amp;" (1 tiết)",'PL11'!$S$18)),1,0))-(IF(ISNUMBER(SEARCH(MAP_TNHN!C71&amp;" (2 tiết)",'PL11'!$S$5)),1,0)+IF(ISNUMBER(SEARCH(MAP_TNHN!C71&amp;" (2 tiết)",'PL11'!$S$6)),1,0)+IF(ISNUMBER(SEARCH(MAP_TNHN!C71&amp;" (2 tiết)",'PL11'!$S$7)),1,0)+IF(ISNUMBER(SEARCH(MAP_TNHN!C71&amp;" (2 tiết)",'PL11'!$S$8)),1,0)+IF(ISNUMBER(SEARCH(MAP_TNHN!C71&amp;" (2 tiết)",'PL11'!$S$9)),1,0)+IF(ISNUMBER(SEARCH(MAP_TNHN!C71&amp;" (2 tiết)",'PL11'!$S$10)),1,0)+IF(ISNUMBER(SEARCH(MAP_TNHN!C71&amp;" (2 tiết)",'PL11'!$S$11)),1,0)+IF(ISNUMBER(SEARCH(MAP_TNHN!C71&amp;" (2 tiết)",'PL11'!$S$12)),1,0)+IF(ISNUMBER(SEARCH(MAP_TNHN!C71&amp;" (2 tiết)",'PL11'!$S$13)),1,0)+IF(ISNUMBER(SEARCH(MAP_TNHN!C71&amp;" (2 tiết)",'PL11'!$S$14)),1,0)+IF(ISNUMBER(SEARCH(MAP_TNHN!C71&amp;" (2 tiết)",'PL11'!$S$15)),1,0)+IF(ISNUMBER(SEARCH(MAP_TNHN!C71&amp;" (2 tiết)",'PL11'!$S$16)),1,0)+IF(ISNUMBER(SEARCH(MAP_TNHN!C71&amp;" (2 tiết)",'PL11'!$S$17)),1,0)+IF(ISNUMBER(SEARCH(MAP_TNHN!C71&amp;" (2 tiết)",'PL11'!$S$18)),1,0))))</f>
        <v>0</v>
      </c>
      <c r="AY71">
        <f>IF(S71="",0,IF(MAP_TNHN!D71="",S71*3,S71*3-2*(IF(ISNUMBER(SEARCH(MAP_TNHN!D71&amp;" (1 tiết)",'PL10'!$S$5)),1,0)+IF(ISNUMBER(SEARCH(MAP_TNHN!D71&amp;" (1 tiết)",'PL10'!$S$6)),1,0)+IF(ISNUMBER(SEARCH(MAP_TNHN!D71&amp;" (1 tiết)",'PL10'!$S$7)),1,0)+IF(ISNUMBER(SEARCH(MAP_TNHN!D71&amp;" (1 tiết)",'PL10'!$S$8)),1,0)+IF(ISNUMBER(SEARCH(MAP_TNHN!D71&amp;" (1 tiết)",'PL10'!$S$9)),1,0)+IF(ISNUMBER(SEARCH(MAP_TNHN!D71&amp;" (1 tiết)",'PL10'!$S$10)),1,0)+IF(ISNUMBER(SEARCH(MAP_TNHN!D71&amp;" (1 tiết)",'PL10'!$S$11)),1,0)+IF(ISNUMBER(SEARCH(MAP_TNHN!D71&amp;" (1 tiết)",'PL10'!$S$12)),1,0)+IF(ISNUMBER(SEARCH(MAP_TNHN!D71&amp;" (1 tiết)",'PL10'!$S$13)),1,0)+IF(ISNUMBER(SEARCH(MAP_TNHN!D71&amp;" (1 tiết)",'PL10'!$S$14)),1,0)+IF(ISNUMBER(SEARCH(MAP_TNHN!D71&amp;" (1 tiết)",'PL10'!$S$15)),1,0)+IF(ISNUMBER(SEARCH(MAP_TNHN!D71&amp;" (1 tiết)",'PL10'!$S$16)),1,0)+IF(ISNUMBER(SEARCH(MAP_TNHN!D71&amp;" (1 tiết)",'PL10'!$S$17)),1,0)+IF(ISNUMBER(SEARCH(MAP_TNHN!D71&amp;" (1 tiết)",'PL10'!$S$18)),1,0)+IF(ISNUMBER(SEARCH(MAP_TNHN!D71&amp;" (1 tiết)",'PL10'!$S$19)),1,0)+IF(ISNUMBER(SEARCH(MAP_TNHN!D71&amp;" (1 tiết)",'PL10'!$S$20)),1,0)+IF(ISNUMBER(SEARCH(MAP_TNHN!D71&amp;" (1 tiết)",'PL10'!$S$21)),1,0)+IF(ISNUMBER(SEARCH(MAP_TNHN!D71&amp;" (1 tiết)",'PL10'!$S$22)),1,0)+IF(ISNUMBER(SEARCH(MAP_TNHN!D71&amp;" (1 tiết)",'PL10'!$S$23)),1,0)+IF(ISNUMBER(SEARCH(MAP_TNHN!D71&amp;" (1 tiết)",'PL10'!$S$24)),1,0)+IF(ISNUMBER(SEARCH(MAP_TNHN!D71&amp;" (1 tiết)",'PL10'!$S$25)),1,0))-(IF(ISNUMBER(SEARCH(MAP_TNHN!D71&amp;" (2 tiết)",'PL10'!$S$5)),1,0)+IF(ISNUMBER(SEARCH(MAP_TNHN!D71&amp;" (2 tiết)",'PL10'!$S$6)),1,0)+IF(ISNUMBER(SEARCH(MAP_TNHN!D71&amp;" (2 tiết)",'PL10'!$S$7)),1,0)+IF(ISNUMBER(SEARCH(MAP_TNHN!D71&amp;" (2 tiết)",'PL10'!$S$8)),1,0)+IF(ISNUMBER(SEARCH(MAP_TNHN!D71&amp;" (2 tiết)",'PL10'!$S$9)),1,0)+IF(ISNUMBER(SEARCH(MAP_TNHN!D71&amp;" (2 tiết)",'PL10'!$S$10)),1,0)+IF(ISNUMBER(SEARCH(MAP_TNHN!D71&amp;" (2 tiết)",'PL10'!$S$11)),1,0)+IF(ISNUMBER(SEARCH(MAP_TNHN!D71&amp;" (2 tiết)",'PL10'!$S$12)),1,0)+IF(ISNUMBER(SEARCH(MAP_TNHN!D71&amp;" (2 tiết)",'PL10'!$S$13)),1,0)+IF(ISNUMBER(SEARCH(MAP_TNHN!D71&amp;" (2 tiết)",'PL10'!$S$14)),1,0)+IF(ISNUMBER(SEARCH(MAP_TNHN!D71&amp;" (2 tiết)",'PL10'!$S$15)),1,0)+IF(ISNUMBER(SEARCH(MAP_TNHN!D71&amp;" (2 tiết)",'PL10'!$S$16)),1,0)+IF(ISNUMBER(SEARCH(MAP_TNHN!D71&amp;" (2 tiết)",'PL10'!$S$17)),1,0)+IF(ISNUMBER(SEARCH(MAP_TNHN!D71&amp;" (2 tiết)",'PL10'!$S$18)),1,0)+IF(ISNUMBER(SEARCH(MAP_TNHN!D71&amp;" (2 tiết)",'PL10'!$S$19)),1,0)+IF(ISNUMBER(SEARCH(MAP_TNHN!D71&amp;" (2 tiết)",'PL10'!$S$20)),1,0)+IF(ISNUMBER(SEARCH(MAP_TNHN!D71&amp;" (2 tiết)",'PL10'!$S$21)),1,0)+IF(ISNUMBER(SEARCH(MAP_TNHN!D71&amp;" (2 tiết)",'PL10'!$S$22)),1,0)+IF(ISNUMBER(SEARCH(MAP_TNHN!D71&amp;" (2 tiết)",'PL10'!$S$23)),1,0)+IF(ISNUMBER(SEARCH(MAP_TNHN!D71&amp;" (2 tiết)",'PL10'!$S$24)),1,0)+IF(ISNUMBER(SEARCH(MAP_TNHN!D71&amp;" (2 tiết)",'PL10'!$S$25)),1,0))))</f>
        <v>0</v>
      </c>
    </row>
    <row r="72" spans="1:51" x14ac:dyDescent="0.35">
      <c r="A72" s="311"/>
      <c r="B72" s="8">
        <v>5</v>
      </c>
      <c r="C72" s="9" t="s">
        <v>167</v>
      </c>
      <c r="D72" s="20">
        <v>10</v>
      </c>
      <c r="E72" s="10"/>
      <c r="F72" s="10"/>
      <c r="G72" s="10"/>
      <c r="H72" s="10"/>
      <c r="I72" s="159"/>
      <c r="J72" s="10"/>
      <c r="K72" s="6">
        <v>1</v>
      </c>
      <c r="L72" s="6"/>
      <c r="M72" s="6"/>
      <c r="N72" s="139">
        <v>1</v>
      </c>
      <c r="O72" s="6">
        <v>1</v>
      </c>
      <c r="P72" s="42">
        <v>2</v>
      </c>
      <c r="Q72" s="42">
        <v>1</v>
      </c>
      <c r="R72" s="42">
        <v>1</v>
      </c>
      <c r="S72" s="138">
        <v>1</v>
      </c>
      <c r="T72" s="42"/>
      <c r="U72" s="11">
        <f>E72*('Phân tiết'!$M$18/4)+G72*('Phân tiết'!$M$21/3)+H72*'Phân tiết'!$L$26+AW72+J72*'Phân tiết'!$M$20+K72*('Phân tiết'!$I$18/4)+M72*('Phân tiết'!$I$21/3)+AX72+O72*'Phân tiết'!$I$20+P72*('Phân tiết'!$E$18/4)+R72*('Phân tiết'!$E$21/3)+AY72+T72*'Phân tiết'!$E$20</f>
        <v>13</v>
      </c>
      <c r="V72" s="8">
        <f t="shared" si="22"/>
        <v>4</v>
      </c>
      <c r="W72" s="6"/>
      <c r="X72" s="6"/>
      <c r="Y72" s="8"/>
      <c r="Z72" s="43">
        <f t="shared" si="23"/>
        <v>17</v>
      </c>
      <c r="AA72" s="34">
        <f t="shared" si="24"/>
        <v>0</v>
      </c>
      <c r="AB72" s="8">
        <v>2</v>
      </c>
      <c r="AC72" s="8">
        <v>15</v>
      </c>
      <c r="AD72" s="6">
        <f t="shared" si="25"/>
        <v>45</v>
      </c>
      <c r="AE72" s="8">
        <v>2</v>
      </c>
      <c r="AF72" s="8">
        <v>15</v>
      </c>
      <c r="AG72" s="6">
        <f t="shared" ref="AG72:AG107" si="26">AE72*AF72*1.5</f>
        <v>45</v>
      </c>
      <c r="AH72" s="8"/>
      <c r="AI72" s="8"/>
      <c r="AJ72" s="6"/>
      <c r="AK72" s="6">
        <f>AA72*33+AD72+AG72+AJ72</f>
        <v>90</v>
      </c>
      <c r="AL72" s="8" t="s">
        <v>121</v>
      </c>
      <c r="AM72" s="8" t="s">
        <v>57</v>
      </c>
      <c r="AN72" s="8"/>
      <c r="AO72" s="8" t="s">
        <v>160</v>
      </c>
      <c r="AP72" s="8" t="s">
        <v>160</v>
      </c>
      <c r="AQ72" s="8"/>
      <c r="AR72" s="8"/>
      <c r="AS72" s="8"/>
      <c r="AT72" s="8" t="s">
        <v>46</v>
      </c>
      <c r="AU72" s="8"/>
      <c r="AV72" s="8"/>
      <c r="AW72">
        <f>IF(I72="",0,IF(MAP_TNHN!B72="",I72*3,I72*3-2*(IF(ISNUMBER(SEARCH(MAP_TNHN!B72&amp;" (1 tiết)",'PL12'!$S$5)),1,0)+IF(ISNUMBER(SEARCH(MAP_TNHN!B72&amp;" (1 tiết)",'PL12'!$S$6)),1,0)+IF(ISNUMBER(SEARCH(MAP_TNHN!B72&amp;" (1 tiết)",'PL12'!$S$7)),1,0)+IF(ISNUMBER(SEARCH(MAP_TNHN!B72&amp;" (1 tiết)",'PL12'!$S$8)),1,0)+IF(ISNUMBER(SEARCH(MAP_TNHN!B72&amp;" (1 tiết)",'PL12'!$S$9)),1,0)+IF(ISNUMBER(SEARCH(MAP_TNHN!B72&amp;" (1 tiết)",'PL12'!$S$10)),1,0)+IF(ISNUMBER(SEARCH(MAP_TNHN!B72&amp;" (1 tiết)",'PL12'!$S$11)),1,0)+IF(ISNUMBER(SEARCH(MAP_TNHN!B72&amp;" (1 tiết)",'PL12'!$S$12)),1,0)+IF(ISNUMBER(SEARCH(MAP_TNHN!B72&amp;" (1 tiết)",'PL12'!$S$13)),1,0)+IF(ISNUMBER(SEARCH(MAP_TNHN!B72&amp;" (1 tiết)",'PL12'!$S$14)),1,0)+IF(ISNUMBER(SEARCH(MAP_TNHN!B72&amp;" (1 tiết)",'PL12'!$S$15)),1,0)+IF(ISNUMBER(SEARCH(MAP_TNHN!B72&amp;" (1 tiết)",'PL12'!$S$16)),1,0)+IF(ISNUMBER(SEARCH(MAP_TNHN!B72&amp;" (1 tiết)",'PL12'!$S$17)),1,0)+IF(ISNUMBER(SEARCH(MAP_TNHN!B72&amp;" (1 tiết)",'PL12'!$S$18)),1,0)+IF(ISNUMBER(SEARCH(MAP_TNHN!B72&amp;" (1 tiết)",'PL12'!$S$19)),1,0))-(IF(ISNUMBER(SEARCH(MAP_TNHN!B72&amp;" (2 tiết)",'PL12'!$S$5)),1,0)+IF(ISNUMBER(SEARCH(MAP_TNHN!B72&amp;" (2 tiết)",'PL12'!$S$6)),1,0)+IF(ISNUMBER(SEARCH(MAP_TNHN!B72&amp;" (2 tiết)",'PL12'!$S$7)),1,0)+IF(ISNUMBER(SEARCH(MAP_TNHN!B72&amp;" (2 tiết)",'PL12'!$S$8)),1,0)+IF(ISNUMBER(SEARCH(MAP_TNHN!B72&amp;" (2 tiết)",'PL12'!$S$9)),1,0)+IF(ISNUMBER(SEARCH(MAP_TNHN!B72&amp;" (2 tiết)",'PL12'!$S$10)),1,0)+IF(ISNUMBER(SEARCH(MAP_TNHN!B72&amp;" (2 tiết)",'PL12'!$S$11)),1,0)+IF(ISNUMBER(SEARCH(MAP_TNHN!B72&amp;" (2 tiết)",'PL12'!$S$12)),1,0)+IF(ISNUMBER(SEARCH(MAP_TNHN!B72&amp;" (2 tiết)",'PL12'!$S$13)),1,0)+IF(ISNUMBER(SEARCH(MAP_TNHN!B72&amp;" (2 tiết)",'PL12'!$S$14)),1,0)+IF(ISNUMBER(SEARCH(MAP_TNHN!B72&amp;" (2 tiết)",'PL12'!$S$15)),1,0)+IF(ISNUMBER(SEARCH(MAP_TNHN!B72&amp;" (2 tiết)",'PL12'!$S$16)),1,0)+IF(ISNUMBER(SEARCH(MAP_TNHN!B72&amp;" (2 tiết)",'PL12'!$S$17)),1,0)+IF(ISNUMBER(SEARCH(MAP_TNHN!B72&amp;" (2 tiết)",'PL12'!$S$18)),1,0)+IF(ISNUMBER(SEARCH(MAP_TNHN!B72&amp;" (2 tiết)",'PL12'!$S$19)),1,0))))</f>
        <v>0</v>
      </c>
      <c r="AX72">
        <f>IF(N72="",0,IF(MAP_TNHN!C72="",N72*3,N72*3-2*(IF(ISNUMBER(SEARCH(MAP_TNHN!C72&amp;" (1 tiết)",'PL11'!$S$5)),1,0)+IF(ISNUMBER(SEARCH(MAP_TNHN!C72&amp;" (1 tiết)",'PL11'!$S$6)),1,0)+IF(ISNUMBER(SEARCH(MAP_TNHN!C72&amp;" (1 tiết)",'PL11'!$S$7)),1,0)+IF(ISNUMBER(SEARCH(MAP_TNHN!C72&amp;" (1 tiết)",'PL11'!$S$8)),1,0)+IF(ISNUMBER(SEARCH(MAP_TNHN!C72&amp;" (1 tiết)",'PL11'!$S$9)),1,0)+IF(ISNUMBER(SEARCH(MAP_TNHN!C72&amp;" (1 tiết)",'PL11'!$S$10)),1,0)+IF(ISNUMBER(SEARCH(MAP_TNHN!C72&amp;" (1 tiết)",'PL11'!$S$11)),1,0)+IF(ISNUMBER(SEARCH(MAP_TNHN!C72&amp;" (1 tiết)",'PL11'!$S$12)),1,0)+IF(ISNUMBER(SEARCH(MAP_TNHN!C72&amp;" (1 tiết)",'PL11'!$S$13)),1,0)+IF(ISNUMBER(SEARCH(MAP_TNHN!C72&amp;" (1 tiết)",'PL11'!$S$14)),1,0)+IF(ISNUMBER(SEARCH(MAP_TNHN!C72&amp;" (1 tiết)",'PL11'!$S$15)),1,0)+IF(ISNUMBER(SEARCH(MAP_TNHN!C72&amp;" (1 tiết)",'PL11'!$S$16)),1,0)+IF(ISNUMBER(SEARCH(MAP_TNHN!C72&amp;" (1 tiết)",'PL11'!$S$17)),1,0)+IF(ISNUMBER(SEARCH(MAP_TNHN!C72&amp;" (1 tiết)",'PL11'!$S$18)),1,0))-(IF(ISNUMBER(SEARCH(MAP_TNHN!C72&amp;" (2 tiết)",'PL11'!$S$5)),1,0)+IF(ISNUMBER(SEARCH(MAP_TNHN!C72&amp;" (2 tiết)",'PL11'!$S$6)),1,0)+IF(ISNUMBER(SEARCH(MAP_TNHN!C72&amp;" (2 tiết)",'PL11'!$S$7)),1,0)+IF(ISNUMBER(SEARCH(MAP_TNHN!C72&amp;" (2 tiết)",'PL11'!$S$8)),1,0)+IF(ISNUMBER(SEARCH(MAP_TNHN!C72&amp;" (2 tiết)",'PL11'!$S$9)),1,0)+IF(ISNUMBER(SEARCH(MAP_TNHN!C72&amp;" (2 tiết)",'PL11'!$S$10)),1,0)+IF(ISNUMBER(SEARCH(MAP_TNHN!C72&amp;" (2 tiết)",'PL11'!$S$11)),1,0)+IF(ISNUMBER(SEARCH(MAP_TNHN!C72&amp;" (2 tiết)",'PL11'!$S$12)),1,0)+IF(ISNUMBER(SEARCH(MAP_TNHN!C72&amp;" (2 tiết)",'PL11'!$S$13)),1,0)+IF(ISNUMBER(SEARCH(MAP_TNHN!C72&amp;" (2 tiết)",'PL11'!$S$14)),1,0)+IF(ISNUMBER(SEARCH(MAP_TNHN!C72&amp;" (2 tiết)",'PL11'!$S$15)),1,0)+IF(ISNUMBER(SEARCH(MAP_TNHN!C72&amp;" (2 tiết)",'PL11'!$S$16)),1,0)+IF(ISNUMBER(SEARCH(MAP_TNHN!C72&amp;" (2 tiết)",'PL11'!$S$17)),1,0)+IF(ISNUMBER(SEARCH(MAP_TNHN!C72&amp;" (2 tiết)",'PL11'!$S$18)),1,0))))</f>
        <v>2</v>
      </c>
      <c r="AY72">
        <f>IF(S72="",0,IF(MAP_TNHN!D72="",S72*3,S72*3-2*(IF(ISNUMBER(SEARCH(MAP_TNHN!D72&amp;" (1 tiết)",'PL10'!$S$5)),1,0)+IF(ISNUMBER(SEARCH(MAP_TNHN!D72&amp;" (1 tiết)",'PL10'!$S$6)),1,0)+IF(ISNUMBER(SEARCH(MAP_TNHN!D72&amp;" (1 tiết)",'PL10'!$S$7)),1,0)+IF(ISNUMBER(SEARCH(MAP_TNHN!D72&amp;" (1 tiết)",'PL10'!$S$8)),1,0)+IF(ISNUMBER(SEARCH(MAP_TNHN!D72&amp;" (1 tiết)",'PL10'!$S$9)),1,0)+IF(ISNUMBER(SEARCH(MAP_TNHN!D72&amp;" (1 tiết)",'PL10'!$S$10)),1,0)+IF(ISNUMBER(SEARCH(MAP_TNHN!D72&amp;" (1 tiết)",'PL10'!$S$11)),1,0)+IF(ISNUMBER(SEARCH(MAP_TNHN!D72&amp;" (1 tiết)",'PL10'!$S$12)),1,0)+IF(ISNUMBER(SEARCH(MAP_TNHN!D72&amp;" (1 tiết)",'PL10'!$S$13)),1,0)+IF(ISNUMBER(SEARCH(MAP_TNHN!D72&amp;" (1 tiết)",'PL10'!$S$14)),1,0)+IF(ISNUMBER(SEARCH(MAP_TNHN!D72&amp;" (1 tiết)",'PL10'!$S$15)),1,0)+IF(ISNUMBER(SEARCH(MAP_TNHN!D72&amp;" (1 tiết)",'PL10'!$S$16)),1,0)+IF(ISNUMBER(SEARCH(MAP_TNHN!D72&amp;" (1 tiết)",'PL10'!$S$17)),1,0)+IF(ISNUMBER(SEARCH(MAP_TNHN!D72&amp;" (1 tiết)",'PL10'!$S$18)),1,0)+IF(ISNUMBER(SEARCH(MAP_TNHN!D72&amp;" (1 tiết)",'PL10'!$S$19)),1,0)+IF(ISNUMBER(SEARCH(MAP_TNHN!D72&amp;" (1 tiết)",'PL10'!$S$20)),1,0)+IF(ISNUMBER(SEARCH(MAP_TNHN!D72&amp;" (1 tiết)",'PL10'!$S$21)),1,0)+IF(ISNUMBER(SEARCH(MAP_TNHN!D72&amp;" (1 tiết)",'PL10'!$S$22)),1,0)+IF(ISNUMBER(SEARCH(MAP_TNHN!D72&amp;" (1 tiết)",'PL10'!$S$23)),1,0)+IF(ISNUMBER(SEARCH(MAP_TNHN!D72&amp;" (1 tiết)",'PL10'!$S$24)),1,0)+IF(ISNUMBER(SEARCH(MAP_TNHN!D72&amp;" (1 tiết)",'PL10'!$S$25)),1,0))-(IF(ISNUMBER(SEARCH(MAP_TNHN!D72&amp;" (2 tiết)",'PL10'!$S$5)),1,0)+IF(ISNUMBER(SEARCH(MAP_TNHN!D72&amp;" (2 tiết)",'PL10'!$S$6)),1,0)+IF(ISNUMBER(SEARCH(MAP_TNHN!D72&amp;" (2 tiết)",'PL10'!$S$7)),1,0)+IF(ISNUMBER(SEARCH(MAP_TNHN!D72&amp;" (2 tiết)",'PL10'!$S$8)),1,0)+IF(ISNUMBER(SEARCH(MAP_TNHN!D72&amp;" (2 tiết)",'PL10'!$S$9)),1,0)+IF(ISNUMBER(SEARCH(MAP_TNHN!D72&amp;" (2 tiết)",'PL10'!$S$10)),1,0)+IF(ISNUMBER(SEARCH(MAP_TNHN!D72&amp;" (2 tiết)",'PL10'!$S$11)),1,0)+IF(ISNUMBER(SEARCH(MAP_TNHN!D72&amp;" (2 tiết)",'PL10'!$S$12)),1,0)+IF(ISNUMBER(SEARCH(MAP_TNHN!D72&amp;" (2 tiết)",'PL10'!$S$13)),1,0)+IF(ISNUMBER(SEARCH(MAP_TNHN!D72&amp;" (2 tiết)",'PL10'!$S$14)),1,0)+IF(ISNUMBER(SEARCH(MAP_TNHN!D72&amp;" (2 tiết)",'PL10'!$S$15)),1,0)+IF(ISNUMBER(SEARCH(MAP_TNHN!D72&amp;" (2 tiết)",'PL10'!$S$16)),1,0)+IF(ISNUMBER(SEARCH(MAP_TNHN!D72&amp;" (2 tiết)",'PL10'!$S$17)),1,0)+IF(ISNUMBER(SEARCH(MAP_TNHN!D72&amp;" (2 tiết)",'PL10'!$S$18)),1,0)+IF(ISNUMBER(SEARCH(MAP_TNHN!D72&amp;" (2 tiết)",'PL10'!$S$19)),1,0)+IF(ISNUMBER(SEARCH(MAP_TNHN!D72&amp;" (2 tiết)",'PL10'!$S$20)),1,0)+IF(ISNUMBER(SEARCH(MAP_TNHN!D72&amp;" (2 tiết)",'PL10'!$S$21)),1,0)+IF(ISNUMBER(SEARCH(MAP_TNHN!D72&amp;" (2 tiết)",'PL10'!$S$22)),1,0)+IF(ISNUMBER(SEARCH(MAP_TNHN!D72&amp;" (2 tiết)",'PL10'!$S$23)),1,0)+IF(ISNUMBER(SEARCH(MAP_TNHN!D72&amp;" (2 tiết)",'PL10'!$S$24)),1,0)+IF(ISNUMBER(SEARCH(MAP_TNHN!D72&amp;" (2 tiết)",'PL10'!$S$25)),1,0))))</f>
        <v>3</v>
      </c>
    </row>
    <row r="73" spans="1:51" x14ac:dyDescent="0.35">
      <c r="A73" s="310"/>
      <c r="B73" s="8">
        <v>6</v>
      </c>
      <c r="C73" s="9" t="s">
        <v>168</v>
      </c>
      <c r="D73" s="20">
        <v>11</v>
      </c>
      <c r="E73" s="10">
        <v>2</v>
      </c>
      <c r="F73" s="10"/>
      <c r="G73" s="10"/>
      <c r="H73" s="10"/>
      <c r="I73" s="307">
        <v>1</v>
      </c>
      <c r="J73" s="10">
        <v>2</v>
      </c>
      <c r="K73" s="6">
        <v>2</v>
      </c>
      <c r="L73" s="6">
        <v>1</v>
      </c>
      <c r="M73" s="6">
        <v>2</v>
      </c>
      <c r="N73" s="139">
        <v>1</v>
      </c>
      <c r="O73" s="6"/>
      <c r="P73" s="42"/>
      <c r="Q73" s="42"/>
      <c r="R73" s="42"/>
      <c r="S73" s="138"/>
      <c r="T73" s="42"/>
      <c r="U73" s="11">
        <f>E73*('Phân tiết'!$M$18/4)+G73*('Phân tiết'!$M$21/3)+H73*'Phân tiết'!$L$26+AW73+J73*'Phân tiết'!$M$20+K73*('Phân tiết'!$I$18/4)+M73*('Phân tiết'!$I$21/3)+AX73+O73*'Phân tiết'!$I$20+P73*('Phân tiết'!$E$18/4)+R73*('Phân tiết'!$E$21/3)+AY73+T73*'Phân tiết'!$E$20</f>
        <v>18</v>
      </c>
      <c r="V73" s="8">
        <f t="shared" si="22"/>
        <v>4</v>
      </c>
      <c r="W73" s="6"/>
      <c r="X73" s="6" t="s">
        <v>54</v>
      </c>
      <c r="Y73" s="8">
        <v>1</v>
      </c>
      <c r="Z73" s="43">
        <f t="shared" si="23"/>
        <v>23</v>
      </c>
      <c r="AA73" s="34">
        <f t="shared" si="24"/>
        <v>6</v>
      </c>
      <c r="AB73" s="8">
        <v>2</v>
      </c>
      <c r="AC73" s="8">
        <v>15</v>
      </c>
      <c r="AD73" s="6">
        <f t="shared" si="25"/>
        <v>45</v>
      </c>
      <c r="AE73" s="8"/>
      <c r="AF73" s="8"/>
      <c r="AG73" s="6">
        <f t="shared" si="26"/>
        <v>0</v>
      </c>
      <c r="AH73" s="8"/>
      <c r="AI73" s="8"/>
      <c r="AJ73" s="6">
        <f>AH73*AI73</f>
        <v>0</v>
      </c>
      <c r="AK73" s="6">
        <f t="shared" ref="AK73:AK108" si="27">AA73*33+AD73+AG73+AJ73</f>
        <v>243</v>
      </c>
      <c r="AL73" s="8" t="s">
        <v>48</v>
      </c>
      <c r="AM73" s="34"/>
      <c r="AN73" s="8"/>
      <c r="AO73" s="8" t="s">
        <v>169</v>
      </c>
      <c r="AP73" s="8" t="s">
        <v>169</v>
      </c>
      <c r="AQ73" s="8" t="s">
        <v>57</v>
      </c>
      <c r="AR73" s="8" t="s">
        <v>170</v>
      </c>
      <c r="AS73" s="8"/>
      <c r="AT73" s="8" t="s">
        <v>46</v>
      </c>
      <c r="AU73" s="8"/>
      <c r="AV73" s="8"/>
      <c r="AW73">
        <f>IF(I73="",0,IF(MAP_TNHN!B73="",I73*3,I73*3-2*(IF(ISNUMBER(SEARCH(MAP_TNHN!B73&amp;" (1 tiết)",'PL12'!$S$5)),1,0)+IF(ISNUMBER(SEARCH(MAP_TNHN!B73&amp;" (1 tiết)",'PL12'!$S$6)),1,0)+IF(ISNUMBER(SEARCH(MAP_TNHN!B73&amp;" (1 tiết)",'PL12'!$S$7)),1,0)+IF(ISNUMBER(SEARCH(MAP_TNHN!B73&amp;" (1 tiết)",'PL12'!$S$8)),1,0)+IF(ISNUMBER(SEARCH(MAP_TNHN!B73&amp;" (1 tiết)",'PL12'!$S$9)),1,0)+IF(ISNUMBER(SEARCH(MAP_TNHN!B73&amp;" (1 tiết)",'PL12'!$S$10)),1,0)+IF(ISNUMBER(SEARCH(MAP_TNHN!B73&amp;" (1 tiết)",'PL12'!$S$11)),1,0)+IF(ISNUMBER(SEARCH(MAP_TNHN!B73&amp;" (1 tiết)",'PL12'!$S$12)),1,0)+IF(ISNUMBER(SEARCH(MAP_TNHN!B73&amp;" (1 tiết)",'PL12'!$S$13)),1,0)+IF(ISNUMBER(SEARCH(MAP_TNHN!B73&amp;" (1 tiết)",'PL12'!$S$14)),1,0)+IF(ISNUMBER(SEARCH(MAP_TNHN!B73&amp;" (1 tiết)",'PL12'!$S$15)),1,0)+IF(ISNUMBER(SEARCH(MAP_TNHN!B73&amp;" (1 tiết)",'PL12'!$S$16)),1,0)+IF(ISNUMBER(SEARCH(MAP_TNHN!B73&amp;" (1 tiết)",'PL12'!$S$17)),1,0)+IF(ISNUMBER(SEARCH(MAP_TNHN!B73&amp;" (1 tiết)",'PL12'!$S$18)),1,0)+IF(ISNUMBER(SEARCH(MAP_TNHN!B73&amp;" (1 tiết)",'PL12'!$S$19)),1,0))-(IF(ISNUMBER(SEARCH(MAP_TNHN!B73&amp;" (2 tiết)",'PL12'!$S$5)),1,0)+IF(ISNUMBER(SEARCH(MAP_TNHN!B73&amp;" (2 tiết)",'PL12'!$S$6)),1,0)+IF(ISNUMBER(SEARCH(MAP_TNHN!B73&amp;" (2 tiết)",'PL12'!$S$7)),1,0)+IF(ISNUMBER(SEARCH(MAP_TNHN!B73&amp;" (2 tiết)",'PL12'!$S$8)),1,0)+IF(ISNUMBER(SEARCH(MAP_TNHN!B73&amp;" (2 tiết)",'PL12'!$S$9)),1,0)+IF(ISNUMBER(SEARCH(MAP_TNHN!B73&amp;" (2 tiết)",'PL12'!$S$10)),1,0)+IF(ISNUMBER(SEARCH(MAP_TNHN!B73&amp;" (2 tiết)",'PL12'!$S$11)),1,0)+IF(ISNUMBER(SEARCH(MAP_TNHN!B73&amp;" (2 tiết)",'PL12'!$S$12)),1,0)+IF(ISNUMBER(SEARCH(MAP_TNHN!B73&amp;" (2 tiết)",'PL12'!$S$13)),1,0)+IF(ISNUMBER(SEARCH(MAP_TNHN!B73&amp;" (2 tiết)",'PL12'!$S$14)),1,0)+IF(ISNUMBER(SEARCH(MAP_TNHN!B73&amp;" (2 tiết)",'PL12'!$S$15)),1,0)+IF(ISNUMBER(SEARCH(MAP_TNHN!B73&amp;" (2 tiết)",'PL12'!$S$16)),1,0)+IF(ISNUMBER(SEARCH(MAP_TNHN!B73&amp;" (2 tiết)",'PL12'!$S$17)),1,0)+IF(ISNUMBER(SEARCH(MAP_TNHN!B73&amp;" (2 tiết)",'PL12'!$S$18)),1,0)+IF(ISNUMBER(SEARCH(MAP_TNHN!B73&amp;" (2 tiết)",'PL12'!$S$19)),1,0))))</f>
        <v>3</v>
      </c>
      <c r="AX73">
        <f>IF(N73="",0,IF(MAP_TNHN!C73="",N73*3,N73*3-2*(IF(ISNUMBER(SEARCH(MAP_TNHN!C73&amp;" (1 tiết)",'PL11'!$S$5)),1,0)+IF(ISNUMBER(SEARCH(MAP_TNHN!C73&amp;" (1 tiết)",'PL11'!$S$6)),1,0)+IF(ISNUMBER(SEARCH(MAP_TNHN!C73&amp;" (1 tiết)",'PL11'!$S$7)),1,0)+IF(ISNUMBER(SEARCH(MAP_TNHN!C73&amp;" (1 tiết)",'PL11'!$S$8)),1,0)+IF(ISNUMBER(SEARCH(MAP_TNHN!C73&amp;" (1 tiết)",'PL11'!$S$9)),1,0)+IF(ISNUMBER(SEARCH(MAP_TNHN!C73&amp;" (1 tiết)",'PL11'!$S$10)),1,0)+IF(ISNUMBER(SEARCH(MAP_TNHN!C73&amp;" (1 tiết)",'PL11'!$S$11)),1,0)+IF(ISNUMBER(SEARCH(MAP_TNHN!C73&amp;" (1 tiết)",'PL11'!$S$12)),1,0)+IF(ISNUMBER(SEARCH(MAP_TNHN!C73&amp;" (1 tiết)",'PL11'!$S$13)),1,0)+IF(ISNUMBER(SEARCH(MAP_TNHN!C73&amp;" (1 tiết)",'PL11'!$S$14)),1,0)+IF(ISNUMBER(SEARCH(MAP_TNHN!C73&amp;" (1 tiết)",'PL11'!$S$15)),1,0)+IF(ISNUMBER(SEARCH(MAP_TNHN!C73&amp;" (1 tiết)",'PL11'!$S$16)),1,0)+IF(ISNUMBER(SEARCH(MAP_TNHN!C73&amp;" (1 tiết)",'PL11'!$S$17)),1,0)+IF(ISNUMBER(SEARCH(MAP_TNHN!C73&amp;" (1 tiết)",'PL11'!$S$18)),1,0))-(IF(ISNUMBER(SEARCH(MAP_TNHN!C73&amp;" (2 tiết)",'PL11'!$S$5)),1,0)+IF(ISNUMBER(SEARCH(MAP_TNHN!C73&amp;" (2 tiết)",'PL11'!$S$6)),1,0)+IF(ISNUMBER(SEARCH(MAP_TNHN!C73&amp;" (2 tiết)",'PL11'!$S$7)),1,0)+IF(ISNUMBER(SEARCH(MAP_TNHN!C73&amp;" (2 tiết)",'PL11'!$S$8)),1,0)+IF(ISNUMBER(SEARCH(MAP_TNHN!C73&amp;" (2 tiết)",'PL11'!$S$9)),1,0)+IF(ISNUMBER(SEARCH(MAP_TNHN!C73&amp;" (2 tiết)",'PL11'!$S$10)),1,0)+IF(ISNUMBER(SEARCH(MAP_TNHN!C73&amp;" (2 tiết)",'PL11'!$S$11)),1,0)+IF(ISNUMBER(SEARCH(MAP_TNHN!C73&amp;" (2 tiết)",'PL11'!$S$12)),1,0)+IF(ISNUMBER(SEARCH(MAP_TNHN!C73&amp;" (2 tiết)",'PL11'!$S$13)),1,0)+IF(ISNUMBER(SEARCH(MAP_TNHN!C73&amp;" (2 tiết)",'PL11'!$S$14)),1,0)+IF(ISNUMBER(SEARCH(MAP_TNHN!C73&amp;" (2 tiết)",'PL11'!$S$15)),1,0)+IF(ISNUMBER(SEARCH(MAP_TNHN!C73&amp;" (2 tiết)",'PL11'!$S$16)),1,0)+IF(ISNUMBER(SEARCH(MAP_TNHN!C73&amp;" (2 tiết)",'PL11'!$S$17)),1,0)+IF(ISNUMBER(SEARCH(MAP_TNHN!C73&amp;" (2 tiết)",'PL11'!$S$18)),1,0))))</f>
        <v>3</v>
      </c>
      <c r="AY73">
        <f>IF(S73="",0,IF(MAP_TNHN!D73="",S73*3,S73*3-2*(IF(ISNUMBER(SEARCH(MAP_TNHN!D73&amp;" (1 tiết)",'PL10'!$S$5)),1,0)+IF(ISNUMBER(SEARCH(MAP_TNHN!D73&amp;" (1 tiết)",'PL10'!$S$6)),1,0)+IF(ISNUMBER(SEARCH(MAP_TNHN!D73&amp;" (1 tiết)",'PL10'!$S$7)),1,0)+IF(ISNUMBER(SEARCH(MAP_TNHN!D73&amp;" (1 tiết)",'PL10'!$S$8)),1,0)+IF(ISNUMBER(SEARCH(MAP_TNHN!D73&amp;" (1 tiết)",'PL10'!$S$9)),1,0)+IF(ISNUMBER(SEARCH(MAP_TNHN!D73&amp;" (1 tiết)",'PL10'!$S$10)),1,0)+IF(ISNUMBER(SEARCH(MAP_TNHN!D73&amp;" (1 tiết)",'PL10'!$S$11)),1,0)+IF(ISNUMBER(SEARCH(MAP_TNHN!D73&amp;" (1 tiết)",'PL10'!$S$12)),1,0)+IF(ISNUMBER(SEARCH(MAP_TNHN!D73&amp;" (1 tiết)",'PL10'!$S$13)),1,0)+IF(ISNUMBER(SEARCH(MAP_TNHN!D73&amp;" (1 tiết)",'PL10'!$S$14)),1,0)+IF(ISNUMBER(SEARCH(MAP_TNHN!D73&amp;" (1 tiết)",'PL10'!$S$15)),1,0)+IF(ISNUMBER(SEARCH(MAP_TNHN!D73&amp;" (1 tiết)",'PL10'!$S$16)),1,0)+IF(ISNUMBER(SEARCH(MAP_TNHN!D73&amp;" (1 tiết)",'PL10'!$S$17)),1,0)+IF(ISNUMBER(SEARCH(MAP_TNHN!D73&amp;" (1 tiết)",'PL10'!$S$18)),1,0)+IF(ISNUMBER(SEARCH(MAP_TNHN!D73&amp;" (1 tiết)",'PL10'!$S$19)),1,0)+IF(ISNUMBER(SEARCH(MAP_TNHN!D73&amp;" (1 tiết)",'PL10'!$S$20)),1,0)+IF(ISNUMBER(SEARCH(MAP_TNHN!D73&amp;" (1 tiết)",'PL10'!$S$21)),1,0)+IF(ISNUMBER(SEARCH(MAP_TNHN!D73&amp;" (1 tiết)",'PL10'!$S$22)),1,0)+IF(ISNUMBER(SEARCH(MAP_TNHN!D73&amp;" (1 tiết)",'PL10'!$S$23)),1,0)+IF(ISNUMBER(SEARCH(MAP_TNHN!D73&amp;" (1 tiết)",'PL10'!$S$24)),1,0)+IF(ISNUMBER(SEARCH(MAP_TNHN!D73&amp;" (1 tiết)",'PL10'!$S$25)),1,0))-(IF(ISNUMBER(SEARCH(MAP_TNHN!D73&amp;" (2 tiết)",'PL10'!$S$5)),1,0)+IF(ISNUMBER(SEARCH(MAP_TNHN!D73&amp;" (2 tiết)",'PL10'!$S$6)),1,0)+IF(ISNUMBER(SEARCH(MAP_TNHN!D73&amp;" (2 tiết)",'PL10'!$S$7)),1,0)+IF(ISNUMBER(SEARCH(MAP_TNHN!D73&amp;" (2 tiết)",'PL10'!$S$8)),1,0)+IF(ISNUMBER(SEARCH(MAP_TNHN!D73&amp;" (2 tiết)",'PL10'!$S$9)),1,0)+IF(ISNUMBER(SEARCH(MAP_TNHN!D73&amp;" (2 tiết)",'PL10'!$S$10)),1,0)+IF(ISNUMBER(SEARCH(MAP_TNHN!D73&amp;" (2 tiết)",'PL10'!$S$11)),1,0)+IF(ISNUMBER(SEARCH(MAP_TNHN!D73&amp;" (2 tiết)",'PL10'!$S$12)),1,0)+IF(ISNUMBER(SEARCH(MAP_TNHN!D73&amp;" (2 tiết)",'PL10'!$S$13)),1,0)+IF(ISNUMBER(SEARCH(MAP_TNHN!D73&amp;" (2 tiết)",'PL10'!$S$14)),1,0)+IF(ISNUMBER(SEARCH(MAP_TNHN!D73&amp;" (2 tiết)",'PL10'!$S$15)),1,0)+IF(ISNUMBER(SEARCH(MAP_TNHN!D73&amp;" (2 tiết)",'PL10'!$S$16)),1,0)+IF(ISNUMBER(SEARCH(MAP_TNHN!D73&amp;" (2 tiết)",'PL10'!$S$17)),1,0)+IF(ISNUMBER(SEARCH(MAP_TNHN!D73&amp;" (2 tiết)",'PL10'!$S$18)),1,0)+IF(ISNUMBER(SEARCH(MAP_TNHN!D73&amp;" (2 tiết)",'PL10'!$S$19)),1,0)+IF(ISNUMBER(SEARCH(MAP_TNHN!D73&amp;" (2 tiết)",'PL10'!$S$20)),1,0)+IF(ISNUMBER(SEARCH(MAP_TNHN!D73&amp;" (2 tiết)",'PL10'!$S$21)),1,0)+IF(ISNUMBER(SEARCH(MAP_TNHN!D73&amp;" (2 tiết)",'PL10'!$S$22)),1,0)+IF(ISNUMBER(SEARCH(MAP_TNHN!D73&amp;" (2 tiết)",'PL10'!$S$23)),1,0)+IF(ISNUMBER(SEARCH(MAP_TNHN!D73&amp;" (2 tiết)",'PL10'!$S$24)),1,0)+IF(ISNUMBER(SEARCH(MAP_TNHN!D73&amp;" (2 tiết)",'PL10'!$S$25)),1,0))))</f>
        <v>0</v>
      </c>
    </row>
    <row r="74" spans="1:51" s="89" customFormat="1" x14ac:dyDescent="0.35">
      <c r="A74" s="91"/>
      <c r="B74" s="85"/>
      <c r="C74" s="86" t="s">
        <v>65</v>
      </c>
      <c r="D74" s="85"/>
      <c r="E74" s="85">
        <f>SUM(E68:E73)</f>
        <v>6</v>
      </c>
      <c r="F74" s="85"/>
      <c r="G74" s="85">
        <f>SUM(G68:G73)</f>
        <v>2</v>
      </c>
      <c r="H74" s="85">
        <f>SUM(H68:H73)</f>
        <v>2</v>
      </c>
      <c r="I74" s="160"/>
      <c r="J74" s="85"/>
      <c r="K74" s="85">
        <f>SUM(K68:K73)</f>
        <v>4</v>
      </c>
      <c r="L74" s="85"/>
      <c r="M74" s="85">
        <f>SUM(M68:M73)</f>
        <v>2</v>
      </c>
      <c r="N74" s="160"/>
      <c r="O74" s="85"/>
      <c r="P74" s="85">
        <f>SUM(P68:P73)</f>
        <v>9</v>
      </c>
      <c r="Q74" s="85"/>
      <c r="R74" s="85">
        <f>SUM(R68:R73)</f>
        <v>7</v>
      </c>
      <c r="S74" s="160"/>
      <c r="T74" s="85"/>
      <c r="U74" s="87"/>
      <c r="V74" s="85"/>
      <c r="W74" s="85"/>
      <c r="X74" s="85"/>
      <c r="Y74" s="85"/>
      <c r="Z74" s="88"/>
      <c r="AA74" s="88"/>
      <c r="AB74" s="85"/>
      <c r="AC74" s="85"/>
      <c r="AD74" s="85">
        <f t="shared" si="25"/>
        <v>0</v>
      </c>
      <c r="AE74" s="85"/>
      <c r="AF74" s="85"/>
      <c r="AG74" s="85">
        <f t="shared" si="26"/>
        <v>0</v>
      </c>
      <c r="AH74" s="85"/>
      <c r="AI74" s="85"/>
      <c r="AJ74" s="85"/>
      <c r="AK74" s="85">
        <f t="shared" si="27"/>
        <v>0</v>
      </c>
      <c r="AL74" s="85"/>
      <c r="AM74" s="88"/>
      <c r="AN74" s="85"/>
      <c r="AO74" s="85"/>
      <c r="AP74" s="85"/>
      <c r="AQ74" s="85"/>
      <c r="AR74" s="85"/>
      <c r="AS74" s="85"/>
      <c r="AT74" s="85"/>
      <c r="AU74" s="85"/>
      <c r="AV74" s="85"/>
      <c r="AW74"/>
      <c r="AX74"/>
      <c r="AY74"/>
    </row>
    <row r="75" spans="1:51" ht="30" x14ac:dyDescent="0.35">
      <c r="A75" s="313" t="s">
        <v>171</v>
      </c>
      <c r="B75" s="8">
        <v>1</v>
      </c>
      <c r="C75" s="9" t="s">
        <v>172</v>
      </c>
      <c r="D75" s="20"/>
      <c r="E75" s="10">
        <v>2</v>
      </c>
      <c r="F75" s="10"/>
      <c r="G75" s="10"/>
      <c r="H75" s="10"/>
      <c r="I75" s="159"/>
      <c r="J75" s="10"/>
      <c r="K75" s="6"/>
      <c r="L75" s="6"/>
      <c r="M75" s="6"/>
      <c r="N75" s="139"/>
      <c r="O75" s="6"/>
      <c r="P75" s="42">
        <v>7</v>
      </c>
      <c r="Q75" s="42"/>
      <c r="R75" s="42"/>
      <c r="S75" s="138"/>
      <c r="T75" s="42"/>
      <c r="U75" s="11">
        <f>E75*('Phân tiết'!$M$18/4)+G75*('Phân tiết'!$M$21/3)+H75*'Phân tiết'!$L$26+AW75+J75*'Phân tiết'!$M$20+K75*('Phân tiết'!$I$18/4)+M75*('Phân tiết'!$I$21/3)+AX75+O75*'Phân tiết'!$I$20+P75*('Phân tiết'!$E$18/4)+R75*('Phân tiết'!$E$21/3)+AY75+T75*'Phân tiết'!$E$20</f>
        <v>18</v>
      </c>
      <c r="V75" s="8">
        <f>F75*4+L75*4+Q75*4</f>
        <v>0</v>
      </c>
      <c r="W75" s="6" t="s">
        <v>45</v>
      </c>
      <c r="X75" s="6"/>
      <c r="Y75" s="8">
        <v>3</v>
      </c>
      <c r="Z75" s="43">
        <f>SUM(U75:Y75)</f>
        <v>21</v>
      </c>
      <c r="AA75" s="34">
        <f>Z75-17</f>
        <v>4</v>
      </c>
      <c r="AB75" s="8"/>
      <c r="AC75" s="8"/>
      <c r="AD75" s="6">
        <f t="shared" si="25"/>
        <v>0</v>
      </c>
      <c r="AE75" s="8"/>
      <c r="AF75" s="8"/>
      <c r="AG75" s="6">
        <f t="shared" si="26"/>
        <v>0</v>
      </c>
      <c r="AH75" s="8"/>
      <c r="AI75" s="8"/>
      <c r="AJ75" s="6">
        <f>AH75*AI75</f>
        <v>0</v>
      </c>
      <c r="AK75" s="6">
        <f t="shared" si="27"/>
        <v>132</v>
      </c>
      <c r="AL75" s="8"/>
      <c r="AM75" s="8"/>
      <c r="AN75" s="8" t="s">
        <v>173</v>
      </c>
      <c r="AO75" s="8" t="s">
        <v>46</v>
      </c>
      <c r="AP75" s="8" t="s">
        <v>46</v>
      </c>
      <c r="AQ75" s="8" t="s">
        <v>46</v>
      </c>
      <c r="AR75" s="44"/>
      <c r="AS75" s="8"/>
      <c r="AT75" s="8" t="s">
        <v>46</v>
      </c>
      <c r="AU75" s="8"/>
      <c r="AV75" s="8"/>
      <c r="AW75">
        <f>IF(I75="",0,IF(MAP_TNHN!B75="",I75*3,I75*3-2*(IF(ISNUMBER(SEARCH(MAP_TNHN!B75&amp;" (1 tiết)",'PL12'!$S$5)),1,0)+IF(ISNUMBER(SEARCH(MAP_TNHN!B75&amp;" (1 tiết)",'PL12'!$S$6)),1,0)+IF(ISNUMBER(SEARCH(MAP_TNHN!B75&amp;" (1 tiết)",'PL12'!$S$7)),1,0)+IF(ISNUMBER(SEARCH(MAP_TNHN!B75&amp;" (1 tiết)",'PL12'!$S$8)),1,0)+IF(ISNUMBER(SEARCH(MAP_TNHN!B75&amp;" (1 tiết)",'PL12'!$S$9)),1,0)+IF(ISNUMBER(SEARCH(MAP_TNHN!B75&amp;" (1 tiết)",'PL12'!$S$10)),1,0)+IF(ISNUMBER(SEARCH(MAP_TNHN!B75&amp;" (1 tiết)",'PL12'!$S$11)),1,0)+IF(ISNUMBER(SEARCH(MAP_TNHN!B75&amp;" (1 tiết)",'PL12'!$S$12)),1,0)+IF(ISNUMBER(SEARCH(MAP_TNHN!B75&amp;" (1 tiết)",'PL12'!$S$13)),1,0)+IF(ISNUMBER(SEARCH(MAP_TNHN!B75&amp;" (1 tiết)",'PL12'!$S$14)),1,0)+IF(ISNUMBER(SEARCH(MAP_TNHN!B75&amp;" (1 tiết)",'PL12'!$S$15)),1,0)+IF(ISNUMBER(SEARCH(MAP_TNHN!B75&amp;" (1 tiết)",'PL12'!$S$16)),1,0)+IF(ISNUMBER(SEARCH(MAP_TNHN!B75&amp;" (1 tiết)",'PL12'!$S$17)),1,0)+IF(ISNUMBER(SEARCH(MAP_TNHN!B75&amp;" (1 tiết)",'PL12'!$S$18)),1,0)+IF(ISNUMBER(SEARCH(MAP_TNHN!B75&amp;" (1 tiết)",'PL12'!$S$19)),1,0))-(IF(ISNUMBER(SEARCH(MAP_TNHN!B75&amp;" (2 tiết)",'PL12'!$S$5)),1,0)+IF(ISNUMBER(SEARCH(MAP_TNHN!B75&amp;" (2 tiết)",'PL12'!$S$6)),1,0)+IF(ISNUMBER(SEARCH(MAP_TNHN!B75&amp;" (2 tiết)",'PL12'!$S$7)),1,0)+IF(ISNUMBER(SEARCH(MAP_TNHN!B75&amp;" (2 tiết)",'PL12'!$S$8)),1,0)+IF(ISNUMBER(SEARCH(MAP_TNHN!B75&amp;" (2 tiết)",'PL12'!$S$9)),1,0)+IF(ISNUMBER(SEARCH(MAP_TNHN!B75&amp;" (2 tiết)",'PL12'!$S$10)),1,0)+IF(ISNUMBER(SEARCH(MAP_TNHN!B75&amp;" (2 tiết)",'PL12'!$S$11)),1,0)+IF(ISNUMBER(SEARCH(MAP_TNHN!B75&amp;" (2 tiết)",'PL12'!$S$12)),1,0)+IF(ISNUMBER(SEARCH(MAP_TNHN!B75&amp;" (2 tiết)",'PL12'!$S$13)),1,0)+IF(ISNUMBER(SEARCH(MAP_TNHN!B75&amp;" (2 tiết)",'PL12'!$S$14)),1,0)+IF(ISNUMBER(SEARCH(MAP_TNHN!B75&amp;" (2 tiết)",'PL12'!$S$15)),1,0)+IF(ISNUMBER(SEARCH(MAP_TNHN!B75&amp;" (2 tiết)",'PL12'!$S$16)),1,0)+IF(ISNUMBER(SEARCH(MAP_TNHN!B75&amp;" (2 tiết)",'PL12'!$S$17)),1,0)+IF(ISNUMBER(SEARCH(MAP_TNHN!B75&amp;" (2 tiết)",'PL12'!$S$18)),1,0)+IF(ISNUMBER(SEARCH(MAP_TNHN!B75&amp;" (2 tiết)",'PL12'!$S$19)),1,0))))</f>
        <v>0</v>
      </c>
      <c r="AX75">
        <f>IF(N75="",0,IF(MAP_TNHN!C75="",N75*3,N75*3-2*(IF(ISNUMBER(SEARCH(MAP_TNHN!C75&amp;" (1 tiết)",'PL11'!$S$5)),1,0)+IF(ISNUMBER(SEARCH(MAP_TNHN!C75&amp;" (1 tiết)",'PL11'!$S$6)),1,0)+IF(ISNUMBER(SEARCH(MAP_TNHN!C75&amp;" (1 tiết)",'PL11'!$S$7)),1,0)+IF(ISNUMBER(SEARCH(MAP_TNHN!C75&amp;" (1 tiết)",'PL11'!$S$8)),1,0)+IF(ISNUMBER(SEARCH(MAP_TNHN!C75&amp;" (1 tiết)",'PL11'!$S$9)),1,0)+IF(ISNUMBER(SEARCH(MAP_TNHN!C75&amp;" (1 tiết)",'PL11'!$S$10)),1,0)+IF(ISNUMBER(SEARCH(MAP_TNHN!C75&amp;" (1 tiết)",'PL11'!$S$11)),1,0)+IF(ISNUMBER(SEARCH(MAP_TNHN!C75&amp;" (1 tiết)",'PL11'!$S$12)),1,0)+IF(ISNUMBER(SEARCH(MAP_TNHN!C75&amp;" (1 tiết)",'PL11'!$S$13)),1,0)+IF(ISNUMBER(SEARCH(MAP_TNHN!C75&amp;" (1 tiết)",'PL11'!$S$14)),1,0)+IF(ISNUMBER(SEARCH(MAP_TNHN!C75&amp;" (1 tiết)",'PL11'!$S$15)),1,0)+IF(ISNUMBER(SEARCH(MAP_TNHN!C75&amp;" (1 tiết)",'PL11'!$S$16)),1,0)+IF(ISNUMBER(SEARCH(MAP_TNHN!C75&amp;" (1 tiết)",'PL11'!$S$17)),1,0)+IF(ISNUMBER(SEARCH(MAP_TNHN!C75&amp;" (1 tiết)",'PL11'!$S$18)),1,0))-(IF(ISNUMBER(SEARCH(MAP_TNHN!C75&amp;" (2 tiết)",'PL11'!$S$5)),1,0)+IF(ISNUMBER(SEARCH(MAP_TNHN!C75&amp;" (2 tiết)",'PL11'!$S$6)),1,0)+IF(ISNUMBER(SEARCH(MAP_TNHN!C75&amp;" (2 tiết)",'PL11'!$S$7)),1,0)+IF(ISNUMBER(SEARCH(MAP_TNHN!C75&amp;" (2 tiết)",'PL11'!$S$8)),1,0)+IF(ISNUMBER(SEARCH(MAP_TNHN!C75&amp;" (2 tiết)",'PL11'!$S$9)),1,0)+IF(ISNUMBER(SEARCH(MAP_TNHN!C75&amp;" (2 tiết)",'PL11'!$S$10)),1,0)+IF(ISNUMBER(SEARCH(MAP_TNHN!C75&amp;" (2 tiết)",'PL11'!$S$11)),1,0)+IF(ISNUMBER(SEARCH(MAP_TNHN!C75&amp;" (2 tiết)",'PL11'!$S$12)),1,0)+IF(ISNUMBER(SEARCH(MAP_TNHN!C75&amp;" (2 tiết)",'PL11'!$S$13)),1,0)+IF(ISNUMBER(SEARCH(MAP_TNHN!C75&amp;" (2 tiết)",'PL11'!$S$14)),1,0)+IF(ISNUMBER(SEARCH(MAP_TNHN!C75&amp;" (2 tiết)",'PL11'!$S$15)),1,0)+IF(ISNUMBER(SEARCH(MAP_TNHN!C75&amp;" (2 tiết)",'PL11'!$S$16)),1,0)+IF(ISNUMBER(SEARCH(MAP_TNHN!C75&amp;" (2 tiết)",'PL11'!$S$17)),1,0)+IF(ISNUMBER(SEARCH(MAP_TNHN!C75&amp;" (2 tiết)",'PL11'!$S$18)),1,0))))</f>
        <v>0</v>
      </c>
      <c r="AY75">
        <f>IF(S75="",0,IF(MAP_TNHN!D75="",S75*3,S75*3-2*(IF(ISNUMBER(SEARCH(MAP_TNHN!D75&amp;" (1 tiết)",'PL10'!$S$5)),1,0)+IF(ISNUMBER(SEARCH(MAP_TNHN!D75&amp;" (1 tiết)",'PL10'!$S$6)),1,0)+IF(ISNUMBER(SEARCH(MAP_TNHN!D75&amp;" (1 tiết)",'PL10'!$S$7)),1,0)+IF(ISNUMBER(SEARCH(MAP_TNHN!D75&amp;" (1 tiết)",'PL10'!$S$8)),1,0)+IF(ISNUMBER(SEARCH(MAP_TNHN!D75&amp;" (1 tiết)",'PL10'!$S$9)),1,0)+IF(ISNUMBER(SEARCH(MAP_TNHN!D75&amp;" (1 tiết)",'PL10'!$S$10)),1,0)+IF(ISNUMBER(SEARCH(MAP_TNHN!D75&amp;" (1 tiết)",'PL10'!$S$11)),1,0)+IF(ISNUMBER(SEARCH(MAP_TNHN!D75&amp;" (1 tiết)",'PL10'!$S$12)),1,0)+IF(ISNUMBER(SEARCH(MAP_TNHN!D75&amp;" (1 tiết)",'PL10'!$S$13)),1,0)+IF(ISNUMBER(SEARCH(MAP_TNHN!D75&amp;" (1 tiết)",'PL10'!$S$14)),1,0)+IF(ISNUMBER(SEARCH(MAP_TNHN!D75&amp;" (1 tiết)",'PL10'!$S$15)),1,0)+IF(ISNUMBER(SEARCH(MAP_TNHN!D75&amp;" (1 tiết)",'PL10'!$S$16)),1,0)+IF(ISNUMBER(SEARCH(MAP_TNHN!D75&amp;" (1 tiết)",'PL10'!$S$17)),1,0)+IF(ISNUMBER(SEARCH(MAP_TNHN!D75&amp;" (1 tiết)",'PL10'!$S$18)),1,0)+IF(ISNUMBER(SEARCH(MAP_TNHN!D75&amp;" (1 tiết)",'PL10'!$S$19)),1,0)+IF(ISNUMBER(SEARCH(MAP_TNHN!D75&amp;" (1 tiết)",'PL10'!$S$20)),1,0)+IF(ISNUMBER(SEARCH(MAP_TNHN!D75&amp;" (1 tiết)",'PL10'!$S$21)),1,0)+IF(ISNUMBER(SEARCH(MAP_TNHN!D75&amp;" (1 tiết)",'PL10'!$S$22)),1,0)+IF(ISNUMBER(SEARCH(MAP_TNHN!D75&amp;" (1 tiết)",'PL10'!$S$23)),1,0)+IF(ISNUMBER(SEARCH(MAP_TNHN!D75&amp;" (1 tiết)",'PL10'!$S$24)),1,0)+IF(ISNUMBER(SEARCH(MAP_TNHN!D75&amp;" (1 tiết)",'PL10'!$S$25)),1,0))-(IF(ISNUMBER(SEARCH(MAP_TNHN!D75&amp;" (2 tiết)",'PL10'!$S$5)),1,0)+IF(ISNUMBER(SEARCH(MAP_TNHN!D75&amp;" (2 tiết)",'PL10'!$S$6)),1,0)+IF(ISNUMBER(SEARCH(MAP_TNHN!D75&amp;" (2 tiết)",'PL10'!$S$7)),1,0)+IF(ISNUMBER(SEARCH(MAP_TNHN!D75&amp;" (2 tiết)",'PL10'!$S$8)),1,0)+IF(ISNUMBER(SEARCH(MAP_TNHN!D75&amp;" (2 tiết)",'PL10'!$S$9)),1,0)+IF(ISNUMBER(SEARCH(MAP_TNHN!D75&amp;" (2 tiết)",'PL10'!$S$10)),1,0)+IF(ISNUMBER(SEARCH(MAP_TNHN!D75&amp;" (2 tiết)",'PL10'!$S$11)),1,0)+IF(ISNUMBER(SEARCH(MAP_TNHN!D75&amp;" (2 tiết)",'PL10'!$S$12)),1,0)+IF(ISNUMBER(SEARCH(MAP_TNHN!D75&amp;" (2 tiết)",'PL10'!$S$13)),1,0)+IF(ISNUMBER(SEARCH(MAP_TNHN!D75&amp;" (2 tiết)",'PL10'!$S$14)),1,0)+IF(ISNUMBER(SEARCH(MAP_TNHN!D75&amp;" (2 tiết)",'PL10'!$S$15)),1,0)+IF(ISNUMBER(SEARCH(MAP_TNHN!D75&amp;" (2 tiết)",'PL10'!$S$16)),1,0)+IF(ISNUMBER(SEARCH(MAP_TNHN!D75&amp;" (2 tiết)",'PL10'!$S$17)),1,0)+IF(ISNUMBER(SEARCH(MAP_TNHN!D75&amp;" (2 tiết)",'PL10'!$S$18)),1,0)+IF(ISNUMBER(SEARCH(MAP_TNHN!D75&amp;" (2 tiết)",'PL10'!$S$19)),1,0)+IF(ISNUMBER(SEARCH(MAP_TNHN!D75&amp;" (2 tiết)",'PL10'!$S$20)),1,0)+IF(ISNUMBER(SEARCH(MAP_TNHN!D75&amp;" (2 tiết)",'PL10'!$S$21)),1,0)+IF(ISNUMBER(SEARCH(MAP_TNHN!D75&amp;" (2 tiết)",'PL10'!$S$22)),1,0)+IF(ISNUMBER(SEARCH(MAP_TNHN!D75&amp;" (2 tiết)",'PL10'!$S$23)),1,0)+IF(ISNUMBER(SEARCH(MAP_TNHN!D75&amp;" (2 tiết)",'PL10'!$S$24)),1,0)+IF(ISNUMBER(SEARCH(MAP_TNHN!D75&amp;" (2 tiết)",'PL10'!$S$25)),1,0))))</f>
        <v>0</v>
      </c>
    </row>
    <row r="76" spans="1:51" ht="30" x14ac:dyDescent="0.35">
      <c r="A76" s="313"/>
      <c r="B76" s="8">
        <v>2</v>
      </c>
      <c r="C76" s="9" t="s">
        <v>174</v>
      </c>
      <c r="D76" s="20">
        <v>10</v>
      </c>
      <c r="E76" s="10">
        <v>5</v>
      </c>
      <c r="F76" s="10"/>
      <c r="G76" s="10"/>
      <c r="H76" s="10">
        <v>1</v>
      </c>
      <c r="I76" s="159"/>
      <c r="J76" s="10"/>
      <c r="K76" s="6"/>
      <c r="L76" s="6"/>
      <c r="M76" s="6"/>
      <c r="N76" s="139"/>
      <c r="O76" s="6"/>
      <c r="P76" s="42">
        <v>3</v>
      </c>
      <c r="Q76" s="42">
        <v>1</v>
      </c>
      <c r="R76" s="42"/>
      <c r="S76" s="166">
        <v>1</v>
      </c>
      <c r="T76" s="42"/>
      <c r="U76" s="11">
        <f>E76*('Phân tiết'!$M$18/4)+G76*('Phân tiết'!$M$21/3)+H76*'Phân tiết'!$L$26+AW76+J76*'Phân tiết'!$M$20+K76*('Phân tiết'!$I$18/4)+M76*('Phân tiết'!$I$21/3)+AX76+O76*'Phân tiết'!$I$20+P76*('Phân tiết'!$E$18/4)+R76*('Phân tiết'!$E$21/3)+AY76+T76*'Phân tiết'!$E$20</f>
        <v>21</v>
      </c>
      <c r="V76" s="8">
        <f>F76*4+L76*4+Q76*4</f>
        <v>4</v>
      </c>
      <c r="W76" s="6"/>
      <c r="X76" s="6" t="s">
        <v>131</v>
      </c>
      <c r="Y76" s="8">
        <v>1</v>
      </c>
      <c r="Z76" s="43">
        <f>SUM(U76:Y76)</f>
        <v>26</v>
      </c>
      <c r="AA76" s="34">
        <f>Z76-17</f>
        <v>9</v>
      </c>
      <c r="AB76" s="8"/>
      <c r="AC76" s="8"/>
      <c r="AD76" s="6">
        <f t="shared" si="25"/>
        <v>0</v>
      </c>
      <c r="AE76" s="8"/>
      <c r="AF76" s="8"/>
      <c r="AG76" s="6">
        <f t="shared" si="26"/>
        <v>0</v>
      </c>
      <c r="AH76" s="8"/>
      <c r="AI76" s="8"/>
      <c r="AJ76" s="6">
        <f>AH76*AI76</f>
        <v>0</v>
      </c>
      <c r="AK76" s="6">
        <f t="shared" si="27"/>
        <v>297</v>
      </c>
      <c r="AL76" s="8"/>
      <c r="AM76" s="8"/>
      <c r="AN76" s="8" t="s">
        <v>175</v>
      </c>
      <c r="AO76" s="8"/>
      <c r="AP76" s="8"/>
      <c r="AQ76" s="8" t="s">
        <v>46</v>
      </c>
      <c r="AR76" s="8"/>
      <c r="AS76" s="8"/>
      <c r="AT76" s="8" t="s">
        <v>46</v>
      </c>
      <c r="AU76" s="8"/>
      <c r="AV76" s="8" t="s">
        <v>176</v>
      </c>
      <c r="AW76">
        <f>IF(I76="",0,IF(MAP_TNHN!B76="",I76*3,I76*3-2*(IF(ISNUMBER(SEARCH(MAP_TNHN!B76&amp;" (1 tiết)",'PL12'!$S$5)),1,0)+IF(ISNUMBER(SEARCH(MAP_TNHN!B76&amp;" (1 tiết)",'PL12'!$S$6)),1,0)+IF(ISNUMBER(SEARCH(MAP_TNHN!B76&amp;" (1 tiết)",'PL12'!$S$7)),1,0)+IF(ISNUMBER(SEARCH(MAP_TNHN!B76&amp;" (1 tiết)",'PL12'!$S$8)),1,0)+IF(ISNUMBER(SEARCH(MAP_TNHN!B76&amp;" (1 tiết)",'PL12'!$S$9)),1,0)+IF(ISNUMBER(SEARCH(MAP_TNHN!B76&amp;" (1 tiết)",'PL12'!$S$10)),1,0)+IF(ISNUMBER(SEARCH(MAP_TNHN!B76&amp;" (1 tiết)",'PL12'!$S$11)),1,0)+IF(ISNUMBER(SEARCH(MAP_TNHN!B76&amp;" (1 tiết)",'PL12'!$S$12)),1,0)+IF(ISNUMBER(SEARCH(MAP_TNHN!B76&amp;" (1 tiết)",'PL12'!$S$13)),1,0)+IF(ISNUMBER(SEARCH(MAP_TNHN!B76&amp;" (1 tiết)",'PL12'!$S$14)),1,0)+IF(ISNUMBER(SEARCH(MAP_TNHN!B76&amp;" (1 tiết)",'PL12'!$S$15)),1,0)+IF(ISNUMBER(SEARCH(MAP_TNHN!B76&amp;" (1 tiết)",'PL12'!$S$16)),1,0)+IF(ISNUMBER(SEARCH(MAP_TNHN!B76&amp;" (1 tiết)",'PL12'!$S$17)),1,0)+IF(ISNUMBER(SEARCH(MAP_TNHN!B76&amp;" (1 tiết)",'PL12'!$S$18)),1,0)+IF(ISNUMBER(SEARCH(MAP_TNHN!B76&amp;" (1 tiết)",'PL12'!$S$19)),1,0))-(IF(ISNUMBER(SEARCH(MAP_TNHN!B76&amp;" (2 tiết)",'PL12'!$S$5)),1,0)+IF(ISNUMBER(SEARCH(MAP_TNHN!B76&amp;" (2 tiết)",'PL12'!$S$6)),1,0)+IF(ISNUMBER(SEARCH(MAP_TNHN!B76&amp;" (2 tiết)",'PL12'!$S$7)),1,0)+IF(ISNUMBER(SEARCH(MAP_TNHN!B76&amp;" (2 tiết)",'PL12'!$S$8)),1,0)+IF(ISNUMBER(SEARCH(MAP_TNHN!B76&amp;" (2 tiết)",'PL12'!$S$9)),1,0)+IF(ISNUMBER(SEARCH(MAP_TNHN!B76&amp;" (2 tiết)",'PL12'!$S$10)),1,0)+IF(ISNUMBER(SEARCH(MAP_TNHN!B76&amp;" (2 tiết)",'PL12'!$S$11)),1,0)+IF(ISNUMBER(SEARCH(MAP_TNHN!B76&amp;" (2 tiết)",'PL12'!$S$12)),1,0)+IF(ISNUMBER(SEARCH(MAP_TNHN!B76&amp;" (2 tiết)",'PL12'!$S$13)),1,0)+IF(ISNUMBER(SEARCH(MAP_TNHN!B76&amp;" (2 tiết)",'PL12'!$S$14)),1,0)+IF(ISNUMBER(SEARCH(MAP_TNHN!B76&amp;" (2 tiết)",'PL12'!$S$15)),1,0)+IF(ISNUMBER(SEARCH(MAP_TNHN!B76&amp;" (2 tiết)",'PL12'!$S$16)),1,0)+IF(ISNUMBER(SEARCH(MAP_TNHN!B76&amp;" (2 tiết)",'PL12'!$S$17)),1,0)+IF(ISNUMBER(SEARCH(MAP_TNHN!B76&amp;" (2 tiết)",'PL12'!$S$18)),1,0)+IF(ISNUMBER(SEARCH(MAP_TNHN!B76&amp;" (2 tiết)",'PL12'!$S$19)),1,0))))</f>
        <v>0</v>
      </c>
      <c r="AX76">
        <f>IF(N76="",0,IF(MAP_TNHN!C76="",N76*3,N76*3-2*(IF(ISNUMBER(SEARCH(MAP_TNHN!C76&amp;" (1 tiết)",'PL11'!$S$5)),1,0)+IF(ISNUMBER(SEARCH(MAP_TNHN!C76&amp;" (1 tiết)",'PL11'!$S$6)),1,0)+IF(ISNUMBER(SEARCH(MAP_TNHN!C76&amp;" (1 tiết)",'PL11'!$S$7)),1,0)+IF(ISNUMBER(SEARCH(MAP_TNHN!C76&amp;" (1 tiết)",'PL11'!$S$8)),1,0)+IF(ISNUMBER(SEARCH(MAP_TNHN!C76&amp;" (1 tiết)",'PL11'!$S$9)),1,0)+IF(ISNUMBER(SEARCH(MAP_TNHN!C76&amp;" (1 tiết)",'PL11'!$S$10)),1,0)+IF(ISNUMBER(SEARCH(MAP_TNHN!C76&amp;" (1 tiết)",'PL11'!$S$11)),1,0)+IF(ISNUMBER(SEARCH(MAP_TNHN!C76&amp;" (1 tiết)",'PL11'!$S$12)),1,0)+IF(ISNUMBER(SEARCH(MAP_TNHN!C76&amp;" (1 tiết)",'PL11'!$S$13)),1,0)+IF(ISNUMBER(SEARCH(MAP_TNHN!C76&amp;" (1 tiết)",'PL11'!$S$14)),1,0)+IF(ISNUMBER(SEARCH(MAP_TNHN!C76&amp;" (1 tiết)",'PL11'!$S$15)),1,0)+IF(ISNUMBER(SEARCH(MAP_TNHN!C76&amp;" (1 tiết)",'PL11'!$S$16)),1,0)+IF(ISNUMBER(SEARCH(MAP_TNHN!C76&amp;" (1 tiết)",'PL11'!$S$17)),1,0)+IF(ISNUMBER(SEARCH(MAP_TNHN!C76&amp;" (1 tiết)",'PL11'!$S$18)),1,0))-(IF(ISNUMBER(SEARCH(MAP_TNHN!C76&amp;" (2 tiết)",'PL11'!$S$5)),1,0)+IF(ISNUMBER(SEARCH(MAP_TNHN!C76&amp;" (2 tiết)",'PL11'!$S$6)),1,0)+IF(ISNUMBER(SEARCH(MAP_TNHN!C76&amp;" (2 tiết)",'PL11'!$S$7)),1,0)+IF(ISNUMBER(SEARCH(MAP_TNHN!C76&amp;" (2 tiết)",'PL11'!$S$8)),1,0)+IF(ISNUMBER(SEARCH(MAP_TNHN!C76&amp;" (2 tiết)",'PL11'!$S$9)),1,0)+IF(ISNUMBER(SEARCH(MAP_TNHN!C76&amp;" (2 tiết)",'PL11'!$S$10)),1,0)+IF(ISNUMBER(SEARCH(MAP_TNHN!C76&amp;" (2 tiết)",'PL11'!$S$11)),1,0)+IF(ISNUMBER(SEARCH(MAP_TNHN!C76&amp;" (2 tiết)",'PL11'!$S$12)),1,0)+IF(ISNUMBER(SEARCH(MAP_TNHN!C76&amp;" (2 tiết)",'PL11'!$S$13)),1,0)+IF(ISNUMBER(SEARCH(MAP_TNHN!C76&amp;" (2 tiết)",'PL11'!$S$14)),1,0)+IF(ISNUMBER(SEARCH(MAP_TNHN!C76&amp;" (2 tiết)",'PL11'!$S$15)),1,0)+IF(ISNUMBER(SEARCH(MAP_TNHN!C76&amp;" (2 tiết)",'PL11'!$S$16)),1,0)+IF(ISNUMBER(SEARCH(MAP_TNHN!C76&amp;" (2 tiết)",'PL11'!$S$17)),1,0)+IF(ISNUMBER(SEARCH(MAP_TNHN!C76&amp;" (2 tiết)",'PL11'!$S$18)),1,0))))</f>
        <v>0</v>
      </c>
      <c r="AY76">
        <f>IF(S76="",0,IF(MAP_TNHN!D76="",S76*3,S76*3-2*(IF(ISNUMBER(SEARCH(MAP_TNHN!D76&amp;" (1 tiết)",'PL10'!$S$5)),1,0)+IF(ISNUMBER(SEARCH(MAP_TNHN!D76&amp;" (1 tiết)",'PL10'!$S$6)),1,0)+IF(ISNUMBER(SEARCH(MAP_TNHN!D76&amp;" (1 tiết)",'PL10'!$S$7)),1,0)+IF(ISNUMBER(SEARCH(MAP_TNHN!D76&amp;" (1 tiết)",'PL10'!$S$8)),1,0)+IF(ISNUMBER(SEARCH(MAP_TNHN!D76&amp;" (1 tiết)",'PL10'!$S$9)),1,0)+IF(ISNUMBER(SEARCH(MAP_TNHN!D76&amp;" (1 tiết)",'PL10'!$S$10)),1,0)+IF(ISNUMBER(SEARCH(MAP_TNHN!D76&amp;" (1 tiết)",'PL10'!$S$11)),1,0)+IF(ISNUMBER(SEARCH(MAP_TNHN!D76&amp;" (1 tiết)",'PL10'!$S$12)),1,0)+IF(ISNUMBER(SEARCH(MAP_TNHN!D76&amp;" (1 tiết)",'PL10'!$S$13)),1,0)+IF(ISNUMBER(SEARCH(MAP_TNHN!D76&amp;" (1 tiết)",'PL10'!$S$14)),1,0)+IF(ISNUMBER(SEARCH(MAP_TNHN!D76&amp;" (1 tiết)",'PL10'!$S$15)),1,0)+IF(ISNUMBER(SEARCH(MAP_TNHN!D76&amp;" (1 tiết)",'PL10'!$S$16)),1,0)+IF(ISNUMBER(SEARCH(MAP_TNHN!D76&amp;" (1 tiết)",'PL10'!$S$17)),1,0)+IF(ISNUMBER(SEARCH(MAP_TNHN!D76&amp;" (1 tiết)",'PL10'!$S$18)),1,0)+IF(ISNUMBER(SEARCH(MAP_TNHN!D76&amp;" (1 tiết)",'PL10'!$S$19)),1,0)+IF(ISNUMBER(SEARCH(MAP_TNHN!D76&amp;" (1 tiết)",'PL10'!$S$20)),1,0)+IF(ISNUMBER(SEARCH(MAP_TNHN!D76&amp;" (1 tiết)",'PL10'!$S$21)),1,0)+IF(ISNUMBER(SEARCH(MAP_TNHN!D76&amp;" (1 tiết)",'PL10'!$S$22)),1,0)+IF(ISNUMBER(SEARCH(MAP_TNHN!D76&amp;" (1 tiết)",'PL10'!$S$23)),1,0)+IF(ISNUMBER(SEARCH(MAP_TNHN!D76&amp;" (1 tiết)",'PL10'!$S$24)),1,0)+IF(ISNUMBER(SEARCH(MAP_TNHN!D76&amp;" (1 tiết)",'PL10'!$S$25)),1,0))-(IF(ISNUMBER(SEARCH(MAP_TNHN!D76&amp;" (2 tiết)",'PL10'!$S$5)),1,0)+IF(ISNUMBER(SEARCH(MAP_TNHN!D76&amp;" (2 tiết)",'PL10'!$S$6)),1,0)+IF(ISNUMBER(SEARCH(MAP_TNHN!D76&amp;" (2 tiết)",'PL10'!$S$7)),1,0)+IF(ISNUMBER(SEARCH(MAP_TNHN!D76&amp;" (2 tiết)",'PL10'!$S$8)),1,0)+IF(ISNUMBER(SEARCH(MAP_TNHN!D76&amp;" (2 tiết)",'PL10'!$S$9)),1,0)+IF(ISNUMBER(SEARCH(MAP_TNHN!D76&amp;" (2 tiết)",'PL10'!$S$10)),1,0)+IF(ISNUMBER(SEARCH(MAP_TNHN!D76&amp;" (2 tiết)",'PL10'!$S$11)),1,0)+IF(ISNUMBER(SEARCH(MAP_TNHN!D76&amp;" (2 tiết)",'PL10'!$S$12)),1,0)+IF(ISNUMBER(SEARCH(MAP_TNHN!D76&amp;" (2 tiết)",'PL10'!$S$13)),1,0)+IF(ISNUMBER(SEARCH(MAP_TNHN!D76&amp;" (2 tiết)",'PL10'!$S$14)),1,0)+IF(ISNUMBER(SEARCH(MAP_TNHN!D76&amp;" (2 tiết)",'PL10'!$S$15)),1,0)+IF(ISNUMBER(SEARCH(MAP_TNHN!D76&amp;" (2 tiết)",'PL10'!$S$16)),1,0)+IF(ISNUMBER(SEARCH(MAP_TNHN!D76&amp;" (2 tiết)",'PL10'!$S$17)),1,0)+IF(ISNUMBER(SEARCH(MAP_TNHN!D76&amp;" (2 tiết)",'PL10'!$S$18)),1,0)+IF(ISNUMBER(SEARCH(MAP_TNHN!D76&amp;" (2 tiết)",'PL10'!$S$19)),1,0)+IF(ISNUMBER(SEARCH(MAP_TNHN!D76&amp;" (2 tiết)",'PL10'!$S$20)),1,0)+IF(ISNUMBER(SEARCH(MAP_TNHN!D76&amp;" (2 tiết)",'PL10'!$S$21)),1,0)+IF(ISNUMBER(SEARCH(MAP_TNHN!D76&amp;" (2 tiết)",'PL10'!$S$22)),1,0)+IF(ISNUMBER(SEARCH(MAP_TNHN!D76&amp;" (2 tiết)",'PL10'!$S$23)),1,0)+IF(ISNUMBER(SEARCH(MAP_TNHN!D76&amp;" (2 tiết)",'PL10'!$S$24)),1,0)+IF(ISNUMBER(SEARCH(MAP_TNHN!D76&amp;" (2 tiết)",'PL10'!$S$25)),1,0))))</f>
        <v>3</v>
      </c>
    </row>
    <row r="77" spans="1:51" ht="30" x14ac:dyDescent="0.35">
      <c r="A77" s="313"/>
      <c r="B77" s="8">
        <v>3</v>
      </c>
      <c r="C77" s="9" t="s">
        <v>177</v>
      </c>
      <c r="D77" s="20"/>
      <c r="E77" s="10"/>
      <c r="F77" s="10"/>
      <c r="G77" s="10"/>
      <c r="H77" s="10"/>
      <c r="I77" s="159"/>
      <c r="J77" s="10"/>
      <c r="K77" s="6">
        <v>3</v>
      </c>
      <c r="L77" s="6"/>
      <c r="M77" s="6"/>
      <c r="N77" s="139"/>
      <c r="O77" s="6"/>
      <c r="P77" s="42">
        <v>6</v>
      </c>
      <c r="Q77" s="42"/>
      <c r="R77" s="42"/>
      <c r="S77" s="138"/>
      <c r="T77" s="42"/>
      <c r="U77" s="11">
        <f>E77*('Phân tiết'!$M$18/4)+G77*('Phân tiết'!$M$21/3)+H77*'Phân tiết'!$L$26+AW77+J77*'Phân tiết'!$M$20+K77*('Phân tiết'!$I$18/4)+M77*('Phân tiết'!$I$21/3)+AX77+O77*'Phân tiết'!$I$20+P77*('Phân tiết'!$E$18/4)+R77*('Phân tiết'!$E$21/3)+AY77+T77*'Phân tiết'!$E$20</f>
        <v>18</v>
      </c>
      <c r="V77" s="8">
        <f>F77*4+L77*4+Q77*4</f>
        <v>0</v>
      </c>
      <c r="W77" s="6" t="s">
        <v>178</v>
      </c>
      <c r="X77" s="6"/>
      <c r="Y77" s="8">
        <v>3</v>
      </c>
      <c r="Z77" s="43">
        <f>SUM(U77:Y77)</f>
        <v>21</v>
      </c>
      <c r="AA77" s="34">
        <f>Z77-17</f>
        <v>4</v>
      </c>
      <c r="AB77" s="8"/>
      <c r="AC77" s="8"/>
      <c r="AD77" s="6">
        <f t="shared" si="25"/>
        <v>0</v>
      </c>
      <c r="AE77" s="8"/>
      <c r="AF77" s="8"/>
      <c r="AG77" s="6">
        <f t="shared" si="26"/>
        <v>0</v>
      </c>
      <c r="AH77" s="8"/>
      <c r="AI77" s="8"/>
      <c r="AJ77" s="6">
        <f>AH77*AI77</f>
        <v>0</v>
      </c>
      <c r="AK77" s="6">
        <f t="shared" si="27"/>
        <v>132</v>
      </c>
      <c r="AL77" s="8"/>
      <c r="AM77" s="8"/>
      <c r="AN77" s="8" t="s">
        <v>179</v>
      </c>
      <c r="AO77" s="8"/>
      <c r="AP77" s="8"/>
      <c r="AQ77" s="8" t="s">
        <v>46</v>
      </c>
      <c r="AR77" s="8"/>
      <c r="AS77" s="8"/>
      <c r="AT77" s="8" t="s">
        <v>46</v>
      </c>
      <c r="AU77" s="8"/>
      <c r="AV77" s="8"/>
      <c r="AW77">
        <f>IF(I77="",0,IF(MAP_TNHN!B77="",I77*3,I77*3-2*(IF(ISNUMBER(SEARCH(MAP_TNHN!B77&amp;" (1 tiết)",'PL12'!$S$5)),1,0)+IF(ISNUMBER(SEARCH(MAP_TNHN!B77&amp;" (1 tiết)",'PL12'!$S$6)),1,0)+IF(ISNUMBER(SEARCH(MAP_TNHN!B77&amp;" (1 tiết)",'PL12'!$S$7)),1,0)+IF(ISNUMBER(SEARCH(MAP_TNHN!B77&amp;" (1 tiết)",'PL12'!$S$8)),1,0)+IF(ISNUMBER(SEARCH(MAP_TNHN!B77&amp;" (1 tiết)",'PL12'!$S$9)),1,0)+IF(ISNUMBER(SEARCH(MAP_TNHN!B77&amp;" (1 tiết)",'PL12'!$S$10)),1,0)+IF(ISNUMBER(SEARCH(MAP_TNHN!B77&amp;" (1 tiết)",'PL12'!$S$11)),1,0)+IF(ISNUMBER(SEARCH(MAP_TNHN!B77&amp;" (1 tiết)",'PL12'!$S$12)),1,0)+IF(ISNUMBER(SEARCH(MAP_TNHN!B77&amp;" (1 tiết)",'PL12'!$S$13)),1,0)+IF(ISNUMBER(SEARCH(MAP_TNHN!B77&amp;" (1 tiết)",'PL12'!$S$14)),1,0)+IF(ISNUMBER(SEARCH(MAP_TNHN!B77&amp;" (1 tiết)",'PL12'!$S$15)),1,0)+IF(ISNUMBER(SEARCH(MAP_TNHN!B77&amp;" (1 tiết)",'PL12'!$S$16)),1,0)+IF(ISNUMBER(SEARCH(MAP_TNHN!B77&amp;" (1 tiết)",'PL12'!$S$17)),1,0)+IF(ISNUMBER(SEARCH(MAP_TNHN!B77&amp;" (1 tiết)",'PL12'!$S$18)),1,0)+IF(ISNUMBER(SEARCH(MAP_TNHN!B77&amp;" (1 tiết)",'PL12'!$S$19)),1,0))-(IF(ISNUMBER(SEARCH(MAP_TNHN!B77&amp;" (2 tiết)",'PL12'!$S$5)),1,0)+IF(ISNUMBER(SEARCH(MAP_TNHN!B77&amp;" (2 tiết)",'PL12'!$S$6)),1,0)+IF(ISNUMBER(SEARCH(MAP_TNHN!B77&amp;" (2 tiết)",'PL12'!$S$7)),1,0)+IF(ISNUMBER(SEARCH(MAP_TNHN!B77&amp;" (2 tiết)",'PL12'!$S$8)),1,0)+IF(ISNUMBER(SEARCH(MAP_TNHN!B77&amp;" (2 tiết)",'PL12'!$S$9)),1,0)+IF(ISNUMBER(SEARCH(MAP_TNHN!B77&amp;" (2 tiết)",'PL12'!$S$10)),1,0)+IF(ISNUMBER(SEARCH(MAP_TNHN!B77&amp;" (2 tiết)",'PL12'!$S$11)),1,0)+IF(ISNUMBER(SEARCH(MAP_TNHN!B77&amp;" (2 tiết)",'PL12'!$S$12)),1,0)+IF(ISNUMBER(SEARCH(MAP_TNHN!B77&amp;" (2 tiết)",'PL12'!$S$13)),1,0)+IF(ISNUMBER(SEARCH(MAP_TNHN!B77&amp;" (2 tiết)",'PL12'!$S$14)),1,0)+IF(ISNUMBER(SEARCH(MAP_TNHN!B77&amp;" (2 tiết)",'PL12'!$S$15)),1,0)+IF(ISNUMBER(SEARCH(MAP_TNHN!B77&amp;" (2 tiết)",'PL12'!$S$16)),1,0)+IF(ISNUMBER(SEARCH(MAP_TNHN!B77&amp;" (2 tiết)",'PL12'!$S$17)),1,0)+IF(ISNUMBER(SEARCH(MAP_TNHN!B77&amp;" (2 tiết)",'PL12'!$S$18)),1,0)+IF(ISNUMBER(SEARCH(MAP_TNHN!B77&amp;" (2 tiết)",'PL12'!$S$19)),1,0))))</f>
        <v>0</v>
      </c>
      <c r="AX77">
        <f>IF(N77="",0,IF(MAP_TNHN!C77="",N77*3,N77*3-2*(IF(ISNUMBER(SEARCH(MAP_TNHN!C77&amp;" (1 tiết)",'PL11'!$S$5)),1,0)+IF(ISNUMBER(SEARCH(MAP_TNHN!C77&amp;" (1 tiết)",'PL11'!$S$6)),1,0)+IF(ISNUMBER(SEARCH(MAP_TNHN!C77&amp;" (1 tiết)",'PL11'!$S$7)),1,0)+IF(ISNUMBER(SEARCH(MAP_TNHN!C77&amp;" (1 tiết)",'PL11'!$S$8)),1,0)+IF(ISNUMBER(SEARCH(MAP_TNHN!C77&amp;" (1 tiết)",'PL11'!$S$9)),1,0)+IF(ISNUMBER(SEARCH(MAP_TNHN!C77&amp;" (1 tiết)",'PL11'!$S$10)),1,0)+IF(ISNUMBER(SEARCH(MAP_TNHN!C77&amp;" (1 tiết)",'PL11'!$S$11)),1,0)+IF(ISNUMBER(SEARCH(MAP_TNHN!C77&amp;" (1 tiết)",'PL11'!$S$12)),1,0)+IF(ISNUMBER(SEARCH(MAP_TNHN!C77&amp;" (1 tiết)",'PL11'!$S$13)),1,0)+IF(ISNUMBER(SEARCH(MAP_TNHN!C77&amp;" (1 tiết)",'PL11'!$S$14)),1,0)+IF(ISNUMBER(SEARCH(MAP_TNHN!C77&amp;" (1 tiết)",'PL11'!$S$15)),1,0)+IF(ISNUMBER(SEARCH(MAP_TNHN!C77&amp;" (1 tiết)",'PL11'!$S$16)),1,0)+IF(ISNUMBER(SEARCH(MAP_TNHN!C77&amp;" (1 tiết)",'PL11'!$S$17)),1,0)+IF(ISNUMBER(SEARCH(MAP_TNHN!C77&amp;" (1 tiết)",'PL11'!$S$18)),1,0))-(IF(ISNUMBER(SEARCH(MAP_TNHN!C77&amp;" (2 tiết)",'PL11'!$S$5)),1,0)+IF(ISNUMBER(SEARCH(MAP_TNHN!C77&amp;" (2 tiết)",'PL11'!$S$6)),1,0)+IF(ISNUMBER(SEARCH(MAP_TNHN!C77&amp;" (2 tiết)",'PL11'!$S$7)),1,0)+IF(ISNUMBER(SEARCH(MAP_TNHN!C77&amp;" (2 tiết)",'PL11'!$S$8)),1,0)+IF(ISNUMBER(SEARCH(MAP_TNHN!C77&amp;" (2 tiết)",'PL11'!$S$9)),1,0)+IF(ISNUMBER(SEARCH(MAP_TNHN!C77&amp;" (2 tiết)",'PL11'!$S$10)),1,0)+IF(ISNUMBER(SEARCH(MAP_TNHN!C77&amp;" (2 tiết)",'PL11'!$S$11)),1,0)+IF(ISNUMBER(SEARCH(MAP_TNHN!C77&amp;" (2 tiết)",'PL11'!$S$12)),1,0)+IF(ISNUMBER(SEARCH(MAP_TNHN!C77&amp;" (2 tiết)",'PL11'!$S$13)),1,0)+IF(ISNUMBER(SEARCH(MAP_TNHN!C77&amp;" (2 tiết)",'PL11'!$S$14)),1,0)+IF(ISNUMBER(SEARCH(MAP_TNHN!C77&amp;" (2 tiết)",'PL11'!$S$15)),1,0)+IF(ISNUMBER(SEARCH(MAP_TNHN!C77&amp;" (2 tiết)",'PL11'!$S$16)),1,0)+IF(ISNUMBER(SEARCH(MAP_TNHN!C77&amp;" (2 tiết)",'PL11'!$S$17)),1,0)+IF(ISNUMBER(SEARCH(MAP_TNHN!C77&amp;" (2 tiết)",'PL11'!$S$18)),1,0))))</f>
        <v>0</v>
      </c>
      <c r="AY77">
        <f>IF(S77="",0,IF(MAP_TNHN!D77="",S77*3,S77*3-2*(IF(ISNUMBER(SEARCH(MAP_TNHN!D77&amp;" (1 tiết)",'PL10'!$S$5)),1,0)+IF(ISNUMBER(SEARCH(MAP_TNHN!D77&amp;" (1 tiết)",'PL10'!$S$6)),1,0)+IF(ISNUMBER(SEARCH(MAP_TNHN!D77&amp;" (1 tiết)",'PL10'!$S$7)),1,0)+IF(ISNUMBER(SEARCH(MAP_TNHN!D77&amp;" (1 tiết)",'PL10'!$S$8)),1,0)+IF(ISNUMBER(SEARCH(MAP_TNHN!D77&amp;" (1 tiết)",'PL10'!$S$9)),1,0)+IF(ISNUMBER(SEARCH(MAP_TNHN!D77&amp;" (1 tiết)",'PL10'!$S$10)),1,0)+IF(ISNUMBER(SEARCH(MAP_TNHN!D77&amp;" (1 tiết)",'PL10'!$S$11)),1,0)+IF(ISNUMBER(SEARCH(MAP_TNHN!D77&amp;" (1 tiết)",'PL10'!$S$12)),1,0)+IF(ISNUMBER(SEARCH(MAP_TNHN!D77&amp;" (1 tiết)",'PL10'!$S$13)),1,0)+IF(ISNUMBER(SEARCH(MAP_TNHN!D77&amp;" (1 tiết)",'PL10'!$S$14)),1,0)+IF(ISNUMBER(SEARCH(MAP_TNHN!D77&amp;" (1 tiết)",'PL10'!$S$15)),1,0)+IF(ISNUMBER(SEARCH(MAP_TNHN!D77&amp;" (1 tiết)",'PL10'!$S$16)),1,0)+IF(ISNUMBER(SEARCH(MAP_TNHN!D77&amp;" (1 tiết)",'PL10'!$S$17)),1,0)+IF(ISNUMBER(SEARCH(MAP_TNHN!D77&amp;" (1 tiết)",'PL10'!$S$18)),1,0)+IF(ISNUMBER(SEARCH(MAP_TNHN!D77&amp;" (1 tiết)",'PL10'!$S$19)),1,0)+IF(ISNUMBER(SEARCH(MAP_TNHN!D77&amp;" (1 tiết)",'PL10'!$S$20)),1,0)+IF(ISNUMBER(SEARCH(MAP_TNHN!D77&amp;" (1 tiết)",'PL10'!$S$21)),1,0)+IF(ISNUMBER(SEARCH(MAP_TNHN!D77&amp;" (1 tiết)",'PL10'!$S$22)),1,0)+IF(ISNUMBER(SEARCH(MAP_TNHN!D77&amp;" (1 tiết)",'PL10'!$S$23)),1,0)+IF(ISNUMBER(SEARCH(MAP_TNHN!D77&amp;" (1 tiết)",'PL10'!$S$24)),1,0)+IF(ISNUMBER(SEARCH(MAP_TNHN!D77&amp;" (1 tiết)",'PL10'!$S$25)),1,0))-(IF(ISNUMBER(SEARCH(MAP_TNHN!D77&amp;" (2 tiết)",'PL10'!$S$5)),1,0)+IF(ISNUMBER(SEARCH(MAP_TNHN!D77&amp;" (2 tiết)",'PL10'!$S$6)),1,0)+IF(ISNUMBER(SEARCH(MAP_TNHN!D77&amp;" (2 tiết)",'PL10'!$S$7)),1,0)+IF(ISNUMBER(SEARCH(MAP_TNHN!D77&amp;" (2 tiết)",'PL10'!$S$8)),1,0)+IF(ISNUMBER(SEARCH(MAP_TNHN!D77&amp;" (2 tiết)",'PL10'!$S$9)),1,0)+IF(ISNUMBER(SEARCH(MAP_TNHN!D77&amp;" (2 tiết)",'PL10'!$S$10)),1,0)+IF(ISNUMBER(SEARCH(MAP_TNHN!D77&amp;" (2 tiết)",'PL10'!$S$11)),1,0)+IF(ISNUMBER(SEARCH(MAP_TNHN!D77&amp;" (2 tiết)",'PL10'!$S$12)),1,0)+IF(ISNUMBER(SEARCH(MAP_TNHN!D77&amp;" (2 tiết)",'PL10'!$S$13)),1,0)+IF(ISNUMBER(SEARCH(MAP_TNHN!D77&amp;" (2 tiết)",'PL10'!$S$14)),1,0)+IF(ISNUMBER(SEARCH(MAP_TNHN!D77&amp;" (2 tiết)",'PL10'!$S$15)),1,0)+IF(ISNUMBER(SEARCH(MAP_TNHN!D77&amp;" (2 tiết)",'PL10'!$S$16)),1,0)+IF(ISNUMBER(SEARCH(MAP_TNHN!D77&amp;" (2 tiết)",'PL10'!$S$17)),1,0)+IF(ISNUMBER(SEARCH(MAP_TNHN!D77&amp;" (2 tiết)",'PL10'!$S$18)),1,0)+IF(ISNUMBER(SEARCH(MAP_TNHN!D77&amp;" (2 tiết)",'PL10'!$S$19)),1,0)+IF(ISNUMBER(SEARCH(MAP_TNHN!D77&amp;" (2 tiết)",'PL10'!$S$20)),1,0)+IF(ISNUMBER(SEARCH(MAP_TNHN!D77&amp;" (2 tiết)",'PL10'!$S$21)),1,0)+IF(ISNUMBER(SEARCH(MAP_TNHN!D77&amp;" (2 tiết)",'PL10'!$S$22)),1,0)+IF(ISNUMBER(SEARCH(MAP_TNHN!D77&amp;" (2 tiết)",'PL10'!$S$23)),1,0)+IF(ISNUMBER(SEARCH(MAP_TNHN!D77&amp;" (2 tiết)",'PL10'!$S$24)),1,0)+IF(ISNUMBER(SEARCH(MAP_TNHN!D77&amp;" (2 tiết)",'PL10'!$S$25)),1,0))))</f>
        <v>0</v>
      </c>
    </row>
    <row r="78" spans="1:51" ht="30" x14ac:dyDescent="0.35">
      <c r="A78" s="313"/>
      <c r="B78" s="8">
        <v>4</v>
      </c>
      <c r="C78" s="9" t="s">
        <v>180</v>
      </c>
      <c r="D78" s="20">
        <v>11</v>
      </c>
      <c r="E78" s="10"/>
      <c r="F78" s="10"/>
      <c r="G78" s="10"/>
      <c r="H78" s="10"/>
      <c r="I78" s="159"/>
      <c r="J78" s="10"/>
      <c r="K78" s="6">
        <v>4</v>
      </c>
      <c r="L78" s="6">
        <v>1</v>
      </c>
      <c r="M78" s="6"/>
      <c r="N78" s="169">
        <v>1</v>
      </c>
      <c r="O78" s="6"/>
      <c r="P78" s="42">
        <v>5</v>
      </c>
      <c r="Q78" s="42"/>
      <c r="R78" s="42"/>
      <c r="S78" s="196"/>
      <c r="T78" s="42"/>
      <c r="U78" s="11">
        <f>E78*('Phân tiết'!$M$18/4)+G78*('Phân tiết'!$M$21/3)+H78*'Phân tiết'!$L$26+AW78+J78*'Phân tiết'!$M$20+K78*('Phân tiết'!$I$18/4)+M78*('Phân tiết'!$I$21/3)+AX78+O78*'Phân tiết'!$I$20+P78*('Phân tiết'!$E$18/4)+R78*('Phân tiết'!$E$21/3)+AY78+T78*'Phân tiết'!$E$20</f>
        <v>19</v>
      </c>
      <c r="V78" s="8">
        <f>F78*4+L78*4+Q78*4</f>
        <v>4</v>
      </c>
      <c r="W78" s="6"/>
      <c r="X78" s="6"/>
      <c r="Y78" s="8">
        <v>0</v>
      </c>
      <c r="Z78" s="43">
        <f>SUM(U78:Y78)</f>
        <v>23</v>
      </c>
      <c r="AA78" s="34">
        <f>Z78-17</f>
        <v>6</v>
      </c>
      <c r="AB78" s="8"/>
      <c r="AC78" s="8"/>
      <c r="AD78" s="6">
        <f t="shared" si="25"/>
        <v>0</v>
      </c>
      <c r="AE78" s="8"/>
      <c r="AF78" s="8"/>
      <c r="AG78" s="6">
        <f t="shared" si="26"/>
        <v>0</v>
      </c>
      <c r="AH78" s="8"/>
      <c r="AI78" s="8"/>
      <c r="AJ78" s="6">
        <f>AH78*AI78</f>
        <v>0</v>
      </c>
      <c r="AK78" s="6">
        <f t="shared" si="27"/>
        <v>198</v>
      </c>
      <c r="AL78" s="8"/>
      <c r="AM78" s="8"/>
      <c r="AN78" s="8" t="s">
        <v>175</v>
      </c>
      <c r="AO78" s="8"/>
      <c r="AP78" s="8"/>
      <c r="AQ78" s="8" t="s">
        <v>46</v>
      </c>
      <c r="AR78" s="8" t="s">
        <v>181</v>
      </c>
      <c r="AS78" s="8" t="s">
        <v>182</v>
      </c>
      <c r="AT78" s="8" t="s">
        <v>46</v>
      </c>
      <c r="AU78" s="8"/>
      <c r="AV78" s="8"/>
      <c r="AW78">
        <f>IF(I78="",0,IF(MAP_TNHN!B78="",I78*3,I78*3-2*(IF(ISNUMBER(SEARCH(MAP_TNHN!B78&amp;" (1 tiết)",'PL12'!$S$5)),1,0)+IF(ISNUMBER(SEARCH(MAP_TNHN!B78&amp;" (1 tiết)",'PL12'!$S$6)),1,0)+IF(ISNUMBER(SEARCH(MAP_TNHN!B78&amp;" (1 tiết)",'PL12'!$S$7)),1,0)+IF(ISNUMBER(SEARCH(MAP_TNHN!B78&amp;" (1 tiết)",'PL12'!$S$8)),1,0)+IF(ISNUMBER(SEARCH(MAP_TNHN!B78&amp;" (1 tiết)",'PL12'!$S$9)),1,0)+IF(ISNUMBER(SEARCH(MAP_TNHN!B78&amp;" (1 tiết)",'PL12'!$S$10)),1,0)+IF(ISNUMBER(SEARCH(MAP_TNHN!B78&amp;" (1 tiết)",'PL12'!$S$11)),1,0)+IF(ISNUMBER(SEARCH(MAP_TNHN!B78&amp;" (1 tiết)",'PL12'!$S$12)),1,0)+IF(ISNUMBER(SEARCH(MAP_TNHN!B78&amp;" (1 tiết)",'PL12'!$S$13)),1,0)+IF(ISNUMBER(SEARCH(MAP_TNHN!B78&amp;" (1 tiết)",'PL12'!$S$14)),1,0)+IF(ISNUMBER(SEARCH(MAP_TNHN!B78&amp;" (1 tiết)",'PL12'!$S$15)),1,0)+IF(ISNUMBER(SEARCH(MAP_TNHN!B78&amp;" (1 tiết)",'PL12'!$S$16)),1,0)+IF(ISNUMBER(SEARCH(MAP_TNHN!B78&amp;" (1 tiết)",'PL12'!$S$17)),1,0)+IF(ISNUMBER(SEARCH(MAP_TNHN!B78&amp;" (1 tiết)",'PL12'!$S$18)),1,0)+IF(ISNUMBER(SEARCH(MAP_TNHN!B78&amp;" (1 tiết)",'PL12'!$S$19)),1,0))-(IF(ISNUMBER(SEARCH(MAP_TNHN!B78&amp;" (2 tiết)",'PL12'!$S$5)),1,0)+IF(ISNUMBER(SEARCH(MAP_TNHN!B78&amp;" (2 tiết)",'PL12'!$S$6)),1,0)+IF(ISNUMBER(SEARCH(MAP_TNHN!B78&amp;" (2 tiết)",'PL12'!$S$7)),1,0)+IF(ISNUMBER(SEARCH(MAP_TNHN!B78&amp;" (2 tiết)",'PL12'!$S$8)),1,0)+IF(ISNUMBER(SEARCH(MAP_TNHN!B78&amp;" (2 tiết)",'PL12'!$S$9)),1,0)+IF(ISNUMBER(SEARCH(MAP_TNHN!B78&amp;" (2 tiết)",'PL12'!$S$10)),1,0)+IF(ISNUMBER(SEARCH(MAP_TNHN!B78&amp;" (2 tiết)",'PL12'!$S$11)),1,0)+IF(ISNUMBER(SEARCH(MAP_TNHN!B78&amp;" (2 tiết)",'PL12'!$S$12)),1,0)+IF(ISNUMBER(SEARCH(MAP_TNHN!B78&amp;" (2 tiết)",'PL12'!$S$13)),1,0)+IF(ISNUMBER(SEARCH(MAP_TNHN!B78&amp;" (2 tiết)",'PL12'!$S$14)),1,0)+IF(ISNUMBER(SEARCH(MAP_TNHN!B78&amp;" (2 tiết)",'PL12'!$S$15)),1,0)+IF(ISNUMBER(SEARCH(MAP_TNHN!B78&amp;" (2 tiết)",'PL12'!$S$16)),1,0)+IF(ISNUMBER(SEARCH(MAP_TNHN!B78&amp;" (2 tiết)",'PL12'!$S$17)),1,0)+IF(ISNUMBER(SEARCH(MAP_TNHN!B78&amp;" (2 tiết)",'PL12'!$S$18)),1,0)+IF(ISNUMBER(SEARCH(MAP_TNHN!B78&amp;" (2 tiết)",'PL12'!$S$19)),1,0))))</f>
        <v>0</v>
      </c>
      <c r="AX78">
        <f>IF(N78="",0,IF(MAP_TNHN!C78="",N78*3,N78*3-2*(IF(ISNUMBER(SEARCH(MAP_TNHN!C78&amp;" (1 tiết)",'PL11'!$S$5)),1,0)+IF(ISNUMBER(SEARCH(MAP_TNHN!C78&amp;" (1 tiết)",'PL11'!$S$6)),1,0)+IF(ISNUMBER(SEARCH(MAP_TNHN!C78&amp;" (1 tiết)",'PL11'!$S$7)),1,0)+IF(ISNUMBER(SEARCH(MAP_TNHN!C78&amp;" (1 tiết)",'PL11'!$S$8)),1,0)+IF(ISNUMBER(SEARCH(MAP_TNHN!C78&amp;" (1 tiết)",'PL11'!$S$9)),1,0)+IF(ISNUMBER(SEARCH(MAP_TNHN!C78&amp;" (1 tiết)",'PL11'!$S$10)),1,0)+IF(ISNUMBER(SEARCH(MAP_TNHN!C78&amp;" (1 tiết)",'PL11'!$S$11)),1,0)+IF(ISNUMBER(SEARCH(MAP_TNHN!C78&amp;" (1 tiết)",'PL11'!$S$12)),1,0)+IF(ISNUMBER(SEARCH(MAP_TNHN!C78&amp;" (1 tiết)",'PL11'!$S$13)),1,0)+IF(ISNUMBER(SEARCH(MAP_TNHN!C78&amp;" (1 tiết)",'PL11'!$S$14)),1,0)+IF(ISNUMBER(SEARCH(MAP_TNHN!C78&amp;" (1 tiết)",'PL11'!$S$15)),1,0)+IF(ISNUMBER(SEARCH(MAP_TNHN!C78&amp;" (1 tiết)",'PL11'!$S$16)),1,0)+IF(ISNUMBER(SEARCH(MAP_TNHN!C78&amp;" (1 tiết)",'PL11'!$S$17)),1,0)+IF(ISNUMBER(SEARCH(MAP_TNHN!C78&amp;" (1 tiết)",'PL11'!$S$18)),1,0))-(IF(ISNUMBER(SEARCH(MAP_TNHN!C78&amp;" (2 tiết)",'PL11'!$S$5)),1,0)+IF(ISNUMBER(SEARCH(MAP_TNHN!C78&amp;" (2 tiết)",'PL11'!$S$6)),1,0)+IF(ISNUMBER(SEARCH(MAP_TNHN!C78&amp;" (2 tiết)",'PL11'!$S$7)),1,0)+IF(ISNUMBER(SEARCH(MAP_TNHN!C78&amp;" (2 tiết)",'PL11'!$S$8)),1,0)+IF(ISNUMBER(SEARCH(MAP_TNHN!C78&amp;" (2 tiết)",'PL11'!$S$9)),1,0)+IF(ISNUMBER(SEARCH(MAP_TNHN!C78&amp;" (2 tiết)",'PL11'!$S$10)),1,0)+IF(ISNUMBER(SEARCH(MAP_TNHN!C78&amp;" (2 tiết)",'PL11'!$S$11)),1,0)+IF(ISNUMBER(SEARCH(MAP_TNHN!C78&amp;" (2 tiết)",'PL11'!$S$12)),1,0)+IF(ISNUMBER(SEARCH(MAP_TNHN!C78&amp;" (2 tiết)",'PL11'!$S$13)),1,0)+IF(ISNUMBER(SEARCH(MAP_TNHN!C78&amp;" (2 tiết)",'PL11'!$S$14)),1,0)+IF(ISNUMBER(SEARCH(MAP_TNHN!C78&amp;" (2 tiết)",'PL11'!$S$15)),1,0)+IF(ISNUMBER(SEARCH(MAP_TNHN!C78&amp;" (2 tiết)",'PL11'!$S$16)),1,0)+IF(ISNUMBER(SEARCH(MAP_TNHN!C78&amp;" (2 tiết)",'PL11'!$S$17)),1,0)+IF(ISNUMBER(SEARCH(MAP_TNHN!C78&amp;" (2 tiết)",'PL11'!$S$18)),1,0))))</f>
        <v>1</v>
      </c>
      <c r="AY78">
        <f>IF(S78="",0,IF(MAP_TNHN!D78="",S78*3,S78*3-2*(IF(ISNUMBER(SEARCH(MAP_TNHN!D78&amp;" (1 tiết)",'PL10'!$S$5)),1,0)+IF(ISNUMBER(SEARCH(MAP_TNHN!D78&amp;" (1 tiết)",'PL10'!$S$6)),1,0)+IF(ISNUMBER(SEARCH(MAP_TNHN!D78&amp;" (1 tiết)",'PL10'!$S$7)),1,0)+IF(ISNUMBER(SEARCH(MAP_TNHN!D78&amp;" (1 tiết)",'PL10'!$S$8)),1,0)+IF(ISNUMBER(SEARCH(MAP_TNHN!D78&amp;" (1 tiết)",'PL10'!$S$9)),1,0)+IF(ISNUMBER(SEARCH(MAP_TNHN!D78&amp;" (1 tiết)",'PL10'!$S$10)),1,0)+IF(ISNUMBER(SEARCH(MAP_TNHN!D78&amp;" (1 tiết)",'PL10'!$S$11)),1,0)+IF(ISNUMBER(SEARCH(MAP_TNHN!D78&amp;" (1 tiết)",'PL10'!$S$12)),1,0)+IF(ISNUMBER(SEARCH(MAP_TNHN!D78&amp;" (1 tiết)",'PL10'!$S$13)),1,0)+IF(ISNUMBER(SEARCH(MAP_TNHN!D78&amp;" (1 tiết)",'PL10'!$S$14)),1,0)+IF(ISNUMBER(SEARCH(MAP_TNHN!D78&amp;" (1 tiết)",'PL10'!$S$15)),1,0)+IF(ISNUMBER(SEARCH(MAP_TNHN!D78&amp;" (1 tiết)",'PL10'!$S$16)),1,0)+IF(ISNUMBER(SEARCH(MAP_TNHN!D78&amp;" (1 tiết)",'PL10'!$S$17)),1,0)+IF(ISNUMBER(SEARCH(MAP_TNHN!D78&amp;" (1 tiết)",'PL10'!$S$18)),1,0)+IF(ISNUMBER(SEARCH(MAP_TNHN!D78&amp;" (1 tiết)",'PL10'!$S$19)),1,0)+IF(ISNUMBER(SEARCH(MAP_TNHN!D78&amp;" (1 tiết)",'PL10'!$S$20)),1,0)+IF(ISNUMBER(SEARCH(MAP_TNHN!D78&amp;" (1 tiết)",'PL10'!$S$21)),1,0)+IF(ISNUMBER(SEARCH(MAP_TNHN!D78&amp;" (1 tiết)",'PL10'!$S$22)),1,0)+IF(ISNUMBER(SEARCH(MAP_TNHN!D78&amp;" (1 tiết)",'PL10'!$S$23)),1,0)+IF(ISNUMBER(SEARCH(MAP_TNHN!D78&amp;" (1 tiết)",'PL10'!$S$24)),1,0)+IF(ISNUMBER(SEARCH(MAP_TNHN!D78&amp;" (1 tiết)",'PL10'!$S$25)),1,0))-(IF(ISNUMBER(SEARCH(MAP_TNHN!D78&amp;" (2 tiết)",'PL10'!$S$5)),1,0)+IF(ISNUMBER(SEARCH(MAP_TNHN!D78&amp;" (2 tiết)",'PL10'!$S$6)),1,0)+IF(ISNUMBER(SEARCH(MAP_TNHN!D78&amp;" (2 tiết)",'PL10'!$S$7)),1,0)+IF(ISNUMBER(SEARCH(MAP_TNHN!D78&amp;" (2 tiết)",'PL10'!$S$8)),1,0)+IF(ISNUMBER(SEARCH(MAP_TNHN!D78&amp;" (2 tiết)",'PL10'!$S$9)),1,0)+IF(ISNUMBER(SEARCH(MAP_TNHN!D78&amp;" (2 tiết)",'PL10'!$S$10)),1,0)+IF(ISNUMBER(SEARCH(MAP_TNHN!D78&amp;" (2 tiết)",'PL10'!$S$11)),1,0)+IF(ISNUMBER(SEARCH(MAP_TNHN!D78&amp;" (2 tiết)",'PL10'!$S$12)),1,0)+IF(ISNUMBER(SEARCH(MAP_TNHN!D78&amp;" (2 tiết)",'PL10'!$S$13)),1,0)+IF(ISNUMBER(SEARCH(MAP_TNHN!D78&amp;" (2 tiết)",'PL10'!$S$14)),1,0)+IF(ISNUMBER(SEARCH(MAP_TNHN!D78&amp;" (2 tiết)",'PL10'!$S$15)),1,0)+IF(ISNUMBER(SEARCH(MAP_TNHN!D78&amp;" (2 tiết)",'PL10'!$S$16)),1,0)+IF(ISNUMBER(SEARCH(MAP_TNHN!D78&amp;" (2 tiết)",'PL10'!$S$17)),1,0)+IF(ISNUMBER(SEARCH(MAP_TNHN!D78&amp;" (2 tiết)",'PL10'!$S$18)),1,0)+IF(ISNUMBER(SEARCH(MAP_TNHN!D78&amp;" (2 tiết)",'PL10'!$S$19)),1,0)+IF(ISNUMBER(SEARCH(MAP_TNHN!D78&amp;" (2 tiết)",'PL10'!$S$20)),1,0)+IF(ISNUMBER(SEARCH(MAP_TNHN!D78&amp;" (2 tiết)",'PL10'!$S$21)),1,0)+IF(ISNUMBER(SEARCH(MAP_TNHN!D78&amp;" (2 tiết)",'PL10'!$S$22)),1,0)+IF(ISNUMBER(SEARCH(MAP_TNHN!D78&amp;" (2 tiết)",'PL10'!$S$23)),1,0)+IF(ISNUMBER(SEARCH(MAP_TNHN!D78&amp;" (2 tiết)",'PL10'!$S$24)),1,0)+IF(ISNUMBER(SEARCH(MAP_TNHN!D78&amp;" (2 tiết)",'PL10'!$S$25)),1,0))))</f>
        <v>0</v>
      </c>
    </row>
    <row r="79" spans="1:51" ht="30" x14ac:dyDescent="0.35">
      <c r="A79" s="313"/>
      <c r="B79" s="8">
        <v>5</v>
      </c>
      <c r="C79" s="9" t="s">
        <v>183</v>
      </c>
      <c r="D79" s="20"/>
      <c r="E79" s="10">
        <v>5</v>
      </c>
      <c r="F79" s="10"/>
      <c r="G79" s="10"/>
      <c r="H79" s="10"/>
      <c r="I79" s="159"/>
      <c r="J79" s="10"/>
      <c r="K79" s="6">
        <v>5</v>
      </c>
      <c r="L79" s="6"/>
      <c r="M79" s="6"/>
      <c r="N79" s="139"/>
      <c r="O79" s="6"/>
      <c r="P79" s="42"/>
      <c r="Q79" s="42"/>
      <c r="R79" s="42"/>
      <c r="S79" s="138"/>
      <c r="T79" s="42"/>
      <c r="U79" s="11">
        <f>E79*('Phân tiết'!$M$18/4)+G79*('Phân tiết'!$M$21/3)+H79*'Phân tiết'!$L$26+AW79+J79*'Phân tiết'!$M$20+K79*('Phân tiết'!$I$18/4)+M79*('Phân tiết'!$I$21/3)+AX79+O79*'Phân tiết'!$I$20+P79*('Phân tiết'!$E$18/4)+R79*('Phân tiết'!$E$21/3)+AY79+T79*'Phân tiết'!$E$20</f>
        <v>20</v>
      </c>
      <c r="V79" s="8">
        <f>F79*4+L79*4+Q79*4</f>
        <v>0</v>
      </c>
      <c r="W79" s="6"/>
      <c r="X79" s="6" t="s">
        <v>54</v>
      </c>
      <c r="Y79" s="8">
        <v>1</v>
      </c>
      <c r="Z79" s="43">
        <f>SUM(U79:Y79)</f>
        <v>21</v>
      </c>
      <c r="AA79" s="34">
        <f>Z79-17</f>
        <v>4</v>
      </c>
      <c r="AB79" s="8">
        <v>2</v>
      </c>
      <c r="AC79" s="8">
        <v>20</v>
      </c>
      <c r="AD79" s="6">
        <f t="shared" si="25"/>
        <v>60</v>
      </c>
      <c r="AE79" s="8"/>
      <c r="AF79" s="8"/>
      <c r="AG79" s="6">
        <f t="shared" si="26"/>
        <v>0</v>
      </c>
      <c r="AH79" s="8"/>
      <c r="AI79" s="8"/>
      <c r="AJ79" s="6">
        <f>AH79*AI79</f>
        <v>0</v>
      </c>
      <c r="AK79" s="6">
        <f t="shared" si="27"/>
        <v>192</v>
      </c>
      <c r="AL79" s="8" t="s">
        <v>121</v>
      </c>
      <c r="AM79" s="8"/>
      <c r="AN79" s="8" t="s">
        <v>184</v>
      </c>
      <c r="AO79" s="8"/>
      <c r="AP79" s="8"/>
      <c r="AQ79" s="8" t="s">
        <v>46</v>
      </c>
      <c r="AR79" s="8" t="s">
        <v>185</v>
      </c>
      <c r="AS79" s="8" t="s">
        <v>186</v>
      </c>
      <c r="AT79" s="8" t="s">
        <v>46</v>
      </c>
      <c r="AU79" s="8"/>
      <c r="AV79" s="44" t="s">
        <v>187</v>
      </c>
      <c r="AW79">
        <f>IF(I79="",0,IF(MAP_TNHN!B79="",I79*3,I79*3-2*(IF(ISNUMBER(SEARCH(MAP_TNHN!B79&amp;" (1 tiết)",'PL12'!$S$5)),1,0)+IF(ISNUMBER(SEARCH(MAP_TNHN!B79&amp;" (1 tiết)",'PL12'!$S$6)),1,0)+IF(ISNUMBER(SEARCH(MAP_TNHN!B79&amp;" (1 tiết)",'PL12'!$S$7)),1,0)+IF(ISNUMBER(SEARCH(MAP_TNHN!B79&amp;" (1 tiết)",'PL12'!$S$8)),1,0)+IF(ISNUMBER(SEARCH(MAP_TNHN!B79&amp;" (1 tiết)",'PL12'!$S$9)),1,0)+IF(ISNUMBER(SEARCH(MAP_TNHN!B79&amp;" (1 tiết)",'PL12'!$S$10)),1,0)+IF(ISNUMBER(SEARCH(MAP_TNHN!B79&amp;" (1 tiết)",'PL12'!$S$11)),1,0)+IF(ISNUMBER(SEARCH(MAP_TNHN!B79&amp;" (1 tiết)",'PL12'!$S$12)),1,0)+IF(ISNUMBER(SEARCH(MAP_TNHN!B79&amp;" (1 tiết)",'PL12'!$S$13)),1,0)+IF(ISNUMBER(SEARCH(MAP_TNHN!B79&amp;" (1 tiết)",'PL12'!$S$14)),1,0)+IF(ISNUMBER(SEARCH(MAP_TNHN!B79&amp;" (1 tiết)",'PL12'!$S$15)),1,0)+IF(ISNUMBER(SEARCH(MAP_TNHN!B79&amp;" (1 tiết)",'PL12'!$S$16)),1,0)+IF(ISNUMBER(SEARCH(MAP_TNHN!B79&amp;" (1 tiết)",'PL12'!$S$17)),1,0)+IF(ISNUMBER(SEARCH(MAP_TNHN!B79&amp;" (1 tiết)",'PL12'!$S$18)),1,0)+IF(ISNUMBER(SEARCH(MAP_TNHN!B79&amp;" (1 tiết)",'PL12'!$S$19)),1,0))-(IF(ISNUMBER(SEARCH(MAP_TNHN!B79&amp;" (2 tiết)",'PL12'!$S$5)),1,0)+IF(ISNUMBER(SEARCH(MAP_TNHN!B79&amp;" (2 tiết)",'PL12'!$S$6)),1,0)+IF(ISNUMBER(SEARCH(MAP_TNHN!B79&amp;" (2 tiết)",'PL12'!$S$7)),1,0)+IF(ISNUMBER(SEARCH(MAP_TNHN!B79&amp;" (2 tiết)",'PL12'!$S$8)),1,0)+IF(ISNUMBER(SEARCH(MAP_TNHN!B79&amp;" (2 tiết)",'PL12'!$S$9)),1,0)+IF(ISNUMBER(SEARCH(MAP_TNHN!B79&amp;" (2 tiết)",'PL12'!$S$10)),1,0)+IF(ISNUMBER(SEARCH(MAP_TNHN!B79&amp;" (2 tiết)",'PL12'!$S$11)),1,0)+IF(ISNUMBER(SEARCH(MAP_TNHN!B79&amp;" (2 tiết)",'PL12'!$S$12)),1,0)+IF(ISNUMBER(SEARCH(MAP_TNHN!B79&amp;" (2 tiết)",'PL12'!$S$13)),1,0)+IF(ISNUMBER(SEARCH(MAP_TNHN!B79&amp;" (2 tiết)",'PL12'!$S$14)),1,0)+IF(ISNUMBER(SEARCH(MAP_TNHN!B79&amp;" (2 tiết)",'PL12'!$S$15)),1,0)+IF(ISNUMBER(SEARCH(MAP_TNHN!B79&amp;" (2 tiết)",'PL12'!$S$16)),1,0)+IF(ISNUMBER(SEARCH(MAP_TNHN!B79&amp;" (2 tiết)",'PL12'!$S$17)),1,0)+IF(ISNUMBER(SEARCH(MAP_TNHN!B79&amp;" (2 tiết)",'PL12'!$S$18)),1,0)+IF(ISNUMBER(SEARCH(MAP_TNHN!B79&amp;" (2 tiết)",'PL12'!$S$19)),1,0))))</f>
        <v>0</v>
      </c>
      <c r="AX79">
        <f>IF(N79="",0,IF(MAP_TNHN!C79="",N79*3,N79*3-2*(IF(ISNUMBER(SEARCH(MAP_TNHN!C79&amp;" (1 tiết)",'PL11'!$S$5)),1,0)+IF(ISNUMBER(SEARCH(MAP_TNHN!C79&amp;" (1 tiết)",'PL11'!$S$6)),1,0)+IF(ISNUMBER(SEARCH(MAP_TNHN!C79&amp;" (1 tiết)",'PL11'!$S$7)),1,0)+IF(ISNUMBER(SEARCH(MAP_TNHN!C79&amp;" (1 tiết)",'PL11'!$S$8)),1,0)+IF(ISNUMBER(SEARCH(MAP_TNHN!C79&amp;" (1 tiết)",'PL11'!$S$9)),1,0)+IF(ISNUMBER(SEARCH(MAP_TNHN!C79&amp;" (1 tiết)",'PL11'!$S$10)),1,0)+IF(ISNUMBER(SEARCH(MAP_TNHN!C79&amp;" (1 tiết)",'PL11'!$S$11)),1,0)+IF(ISNUMBER(SEARCH(MAP_TNHN!C79&amp;" (1 tiết)",'PL11'!$S$12)),1,0)+IF(ISNUMBER(SEARCH(MAP_TNHN!C79&amp;" (1 tiết)",'PL11'!$S$13)),1,0)+IF(ISNUMBER(SEARCH(MAP_TNHN!C79&amp;" (1 tiết)",'PL11'!$S$14)),1,0)+IF(ISNUMBER(SEARCH(MAP_TNHN!C79&amp;" (1 tiết)",'PL11'!$S$15)),1,0)+IF(ISNUMBER(SEARCH(MAP_TNHN!C79&amp;" (1 tiết)",'PL11'!$S$16)),1,0)+IF(ISNUMBER(SEARCH(MAP_TNHN!C79&amp;" (1 tiết)",'PL11'!$S$17)),1,0)+IF(ISNUMBER(SEARCH(MAP_TNHN!C79&amp;" (1 tiết)",'PL11'!$S$18)),1,0))-(IF(ISNUMBER(SEARCH(MAP_TNHN!C79&amp;" (2 tiết)",'PL11'!$S$5)),1,0)+IF(ISNUMBER(SEARCH(MAP_TNHN!C79&amp;" (2 tiết)",'PL11'!$S$6)),1,0)+IF(ISNUMBER(SEARCH(MAP_TNHN!C79&amp;" (2 tiết)",'PL11'!$S$7)),1,0)+IF(ISNUMBER(SEARCH(MAP_TNHN!C79&amp;" (2 tiết)",'PL11'!$S$8)),1,0)+IF(ISNUMBER(SEARCH(MAP_TNHN!C79&amp;" (2 tiết)",'PL11'!$S$9)),1,0)+IF(ISNUMBER(SEARCH(MAP_TNHN!C79&amp;" (2 tiết)",'PL11'!$S$10)),1,0)+IF(ISNUMBER(SEARCH(MAP_TNHN!C79&amp;" (2 tiết)",'PL11'!$S$11)),1,0)+IF(ISNUMBER(SEARCH(MAP_TNHN!C79&amp;" (2 tiết)",'PL11'!$S$12)),1,0)+IF(ISNUMBER(SEARCH(MAP_TNHN!C79&amp;" (2 tiết)",'PL11'!$S$13)),1,0)+IF(ISNUMBER(SEARCH(MAP_TNHN!C79&amp;" (2 tiết)",'PL11'!$S$14)),1,0)+IF(ISNUMBER(SEARCH(MAP_TNHN!C79&amp;" (2 tiết)",'PL11'!$S$15)),1,0)+IF(ISNUMBER(SEARCH(MAP_TNHN!C79&amp;" (2 tiết)",'PL11'!$S$16)),1,0)+IF(ISNUMBER(SEARCH(MAP_TNHN!C79&amp;" (2 tiết)",'PL11'!$S$17)),1,0)+IF(ISNUMBER(SEARCH(MAP_TNHN!C79&amp;" (2 tiết)",'PL11'!$S$18)),1,0))))</f>
        <v>0</v>
      </c>
      <c r="AY79">
        <f>IF(S79="",0,IF(MAP_TNHN!D79="",S79*3,S79*3-2*(IF(ISNUMBER(SEARCH(MAP_TNHN!D79&amp;" (1 tiết)",'PL10'!$S$5)),1,0)+IF(ISNUMBER(SEARCH(MAP_TNHN!D79&amp;" (1 tiết)",'PL10'!$S$6)),1,0)+IF(ISNUMBER(SEARCH(MAP_TNHN!D79&amp;" (1 tiết)",'PL10'!$S$7)),1,0)+IF(ISNUMBER(SEARCH(MAP_TNHN!D79&amp;" (1 tiết)",'PL10'!$S$8)),1,0)+IF(ISNUMBER(SEARCH(MAP_TNHN!D79&amp;" (1 tiết)",'PL10'!$S$9)),1,0)+IF(ISNUMBER(SEARCH(MAP_TNHN!D79&amp;" (1 tiết)",'PL10'!$S$10)),1,0)+IF(ISNUMBER(SEARCH(MAP_TNHN!D79&amp;" (1 tiết)",'PL10'!$S$11)),1,0)+IF(ISNUMBER(SEARCH(MAP_TNHN!D79&amp;" (1 tiết)",'PL10'!$S$12)),1,0)+IF(ISNUMBER(SEARCH(MAP_TNHN!D79&amp;" (1 tiết)",'PL10'!$S$13)),1,0)+IF(ISNUMBER(SEARCH(MAP_TNHN!D79&amp;" (1 tiết)",'PL10'!$S$14)),1,0)+IF(ISNUMBER(SEARCH(MAP_TNHN!D79&amp;" (1 tiết)",'PL10'!$S$15)),1,0)+IF(ISNUMBER(SEARCH(MAP_TNHN!D79&amp;" (1 tiết)",'PL10'!$S$16)),1,0)+IF(ISNUMBER(SEARCH(MAP_TNHN!D79&amp;" (1 tiết)",'PL10'!$S$17)),1,0)+IF(ISNUMBER(SEARCH(MAP_TNHN!D79&amp;" (1 tiết)",'PL10'!$S$18)),1,0)+IF(ISNUMBER(SEARCH(MAP_TNHN!D79&amp;" (1 tiết)",'PL10'!$S$19)),1,0)+IF(ISNUMBER(SEARCH(MAP_TNHN!D79&amp;" (1 tiết)",'PL10'!$S$20)),1,0)+IF(ISNUMBER(SEARCH(MAP_TNHN!D79&amp;" (1 tiết)",'PL10'!$S$21)),1,0)+IF(ISNUMBER(SEARCH(MAP_TNHN!D79&amp;" (1 tiết)",'PL10'!$S$22)),1,0)+IF(ISNUMBER(SEARCH(MAP_TNHN!D79&amp;" (1 tiết)",'PL10'!$S$23)),1,0)+IF(ISNUMBER(SEARCH(MAP_TNHN!D79&amp;" (1 tiết)",'PL10'!$S$24)),1,0)+IF(ISNUMBER(SEARCH(MAP_TNHN!D79&amp;" (1 tiết)",'PL10'!$S$25)),1,0))-(IF(ISNUMBER(SEARCH(MAP_TNHN!D79&amp;" (2 tiết)",'PL10'!$S$5)),1,0)+IF(ISNUMBER(SEARCH(MAP_TNHN!D79&amp;" (2 tiết)",'PL10'!$S$6)),1,0)+IF(ISNUMBER(SEARCH(MAP_TNHN!D79&amp;" (2 tiết)",'PL10'!$S$7)),1,0)+IF(ISNUMBER(SEARCH(MAP_TNHN!D79&amp;" (2 tiết)",'PL10'!$S$8)),1,0)+IF(ISNUMBER(SEARCH(MAP_TNHN!D79&amp;" (2 tiết)",'PL10'!$S$9)),1,0)+IF(ISNUMBER(SEARCH(MAP_TNHN!D79&amp;" (2 tiết)",'PL10'!$S$10)),1,0)+IF(ISNUMBER(SEARCH(MAP_TNHN!D79&amp;" (2 tiết)",'PL10'!$S$11)),1,0)+IF(ISNUMBER(SEARCH(MAP_TNHN!D79&amp;" (2 tiết)",'PL10'!$S$12)),1,0)+IF(ISNUMBER(SEARCH(MAP_TNHN!D79&amp;" (2 tiết)",'PL10'!$S$13)),1,0)+IF(ISNUMBER(SEARCH(MAP_TNHN!D79&amp;" (2 tiết)",'PL10'!$S$14)),1,0)+IF(ISNUMBER(SEARCH(MAP_TNHN!D79&amp;" (2 tiết)",'PL10'!$S$15)),1,0)+IF(ISNUMBER(SEARCH(MAP_TNHN!D79&amp;" (2 tiết)",'PL10'!$S$16)),1,0)+IF(ISNUMBER(SEARCH(MAP_TNHN!D79&amp;" (2 tiết)",'PL10'!$S$17)),1,0)+IF(ISNUMBER(SEARCH(MAP_TNHN!D79&amp;" (2 tiết)",'PL10'!$S$18)),1,0)+IF(ISNUMBER(SEARCH(MAP_TNHN!D79&amp;" (2 tiết)",'PL10'!$S$19)),1,0)+IF(ISNUMBER(SEARCH(MAP_TNHN!D79&amp;" (2 tiết)",'PL10'!$S$20)),1,0)+IF(ISNUMBER(SEARCH(MAP_TNHN!D79&amp;" (2 tiết)",'PL10'!$S$21)),1,0)+IF(ISNUMBER(SEARCH(MAP_TNHN!D79&amp;" (2 tiết)",'PL10'!$S$22)),1,0)+IF(ISNUMBER(SEARCH(MAP_TNHN!D79&amp;" (2 tiết)",'PL10'!$S$23)),1,0)+IF(ISNUMBER(SEARCH(MAP_TNHN!D79&amp;" (2 tiết)",'PL10'!$S$24)),1,0)+IF(ISNUMBER(SEARCH(MAP_TNHN!D79&amp;" (2 tiết)",'PL10'!$S$25)),1,0))))</f>
        <v>0</v>
      </c>
    </row>
    <row r="80" spans="1:51" s="89" customFormat="1" x14ac:dyDescent="0.35">
      <c r="A80" s="88"/>
      <c r="B80" s="85"/>
      <c r="C80" s="86" t="s">
        <v>65</v>
      </c>
      <c r="D80" s="85"/>
      <c r="E80" s="85">
        <f>SUM(E75:E79)</f>
        <v>12</v>
      </c>
      <c r="F80" s="85"/>
      <c r="G80" s="85">
        <f>SUM(G75:G79)</f>
        <v>0</v>
      </c>
      <c r="H80" s="85"/>
      <c r="I80" s="160"/>
      <c r="J80" s="85"/>
      <c r="K80" s="85">
        <f>SUM(K75:K79)</f>
        <v>12</v>
      </c>
      <c r="L80" s="85"/>
      <c r="M80" s="85">
        <f>SUM(M75:M79)</f>
        <v>0</v>
      </c>
      <c r="N80" s="160"/>
      <c r="O80" s="85"/>
      <c r="P80" s="85">
        <f>SUM(P75:P79)</f>
        <v>21</v>
      </c>
      <c r="Q80" s="85"/>
      <c r="R80" s="85">
        <f>SUM(R75:R79)</f>
        <v>0</v>
      </c>
      <c r="S80" s="160"/>
      <c r="T80" s="85"/>
      <c r="U80" s="87"/>
      <c r="V80" s="85"/>
      <c r="W80" s="85"/>
      <c r="X80" s="85"/>
      <c r="Y80" s="85"/>
      <c r="Z80" s="88"/>
      <c r="AA80" s="88"/>
      <c r="AB80" s="85"/>
      <c r="AC80" s="85"/>
      <c r="AD80" s="85">
        <f t="shared" si="25"/>
        <v>0</v>
      </c>
      <c r="AE80" s="85"/>
      <c r="AF80" s="85"/>
      <c r="AG80" s="85">
        <f t="shared" si="26"/>
        <v>0</v>
      </c>
      <c r="AH80" s="85"/>
      <c r="AI80" s="85"/>
      <c r="AJ80" s="85"/>
      <c r="AK80" s="85">
        <f t="shared" si="27"/>
        <v>0</v>
      </c>
      <c r="AL80" s="85"/>
      <c r="AM80" s="85"/>
      <c r="AN80" s="85"/>
      <c r="AO80" s="85"/>
      <c r="AP80" s="85"/>
      <c r="AQ80" s="85"/>
      <c r="AR80" s="85"/>
      <c r="AS80" s="85"/>
      <c r="AT80" s="85"/>
      <c r="AU80" s="85"/>
      <c r="AV80" s="94"/>
      <c r="AW80"/>
      <c r="AX80"/>
      <c r="AY80"/>
    </row>
    <row r="81" spans="1:51" ht="45" x14ac:dyDescent="0.35">
      <c r="A81" s="309" t="s">
        <v>188</v>
      </c>
      <c r="B81" s="8">
        <v>1</v>
      </c>
      <c r="C81" s="9" t="s">
        <v>189</v>
      </c>
      <c r="D81" s="20"/>
      <c r="E81" s="10">
        <v>2</v>
      </c>
      <c r="F81" s="10"/>
      <c r="G81" s="10">
        <v>2</v>
      </c>
      <c r="H81" s="10">
        <v>2</v>
      </c>
      <c r="I81" s="159"/>
      <c r="J81" s="10"/>
      <c r="K81" s="6"/>
      <c r="L81" s="6"/>
      <c r="M81" s="6"/>
      <c r="N81" s="139"/>
      <c r="O81" s="6"/>
      <c r="P81" s="42">
        <v>2</v>
      </c>
      <c r="Q81" s="42"/>
      <c r="R81" s="42">
        <v>1</v>
      </c>
      <c r="S81" s="138"/>
      <c r="T81" s="42"/>
      <c r="U81" s="11">
        <f>E81*'Phân tiết'!$M$6+G81*('Phân tiết'!$M$21/3)+H81*'Phân tiết'!$L$26+AW81+J81*'Phân tiết'!$M$20+K81*'Phân tiết'!$I$6+M81*('Phân tiết'!$I$21/3)+AX81+O81*'Phân tiết'!$I$20+P81*'Phân tiết'!$E$6+R81*('Phân tiết'!$E$21/3)+AY81+T81*'Phân tiết'!$E$20</f>
        <v>19</v>
      </c>
      <c r="V81" s="8">
        <f t="shared" ref="V81:V94" si="28">F81*4+L81*4+Q81*4</f>
        <v>0</v>
      </c>
      <c r="W81" s="6" t="s">
        <v>45</v>
      </c>
      <c r="X81" s="6"/>
      <c r="Y81" s="8">
        <v>3</v>
      </c>
      <c r="Z81" s="43">
        <f t="shared" ref="Z81:Z94" si="29">SUM(U81:Y81)</f>
        <v>22</v>
      </c>
      <c r="AA81" s="34">
        <f t="shared" ref="AA81:AA93" si="30">Z81-17</f>
        <v>5</v>
      </c>
      <c r="AB81" s="8">
        <v>2</v>
      </c>
      <c r="AC81" s="8">
        <v>15</v>
      </c>
      <c r="AD81" s="6">
        <f t="shared" si="25"/>
        <v>45</v>
      </c>
      <c r="AE81" s="8"/>
      <c r="AF81" s="8"/>
      <c r="AG81" s="6">
        <f t="shared" si="26"/>
        <v>0</v>
      </c>
      <c r="AH81" s="8"/>
      <c r="AI81" s="8"/>
      <c r="AJ81" s="6">
        <f t="shared" ref="AJ81:AJ93" si="31">AH81*AI81</f>
        <v>0</v>
      </c>
      <c r="AK81" s="6">
        <f t="shared" si="27"/>
        <v>210</v>
      </c>
      <c r="AL81" s="8" t="s">
        <v>190</v>
      </c>
      <c r="AM81" s="8"/>
      <c r="AN81" s="8" t="s">
        <v>191</v>
      </c>
      <c r="AO81" s="8" t="s">
        <v>46</v>
      </c>
      <c r="AP81" s="8" t="s">
        <v>46</v>
      </c>
      <c r="AQ81" s="8" t="s">
        <v>46</v>
      </c>
      <c r="AR81" s="8" t="s">
        <v>46</v>
      </c>
      <c r="AS81" s="8"/>
      <c r="AT81" s="8" t="s">
        <v>46</v>
      </c>
      <c r="AU81" s="8" t="s">
        <v>84</v>
      </c>
      <c r="AV81" s="8" t="s">
        <v>192</v>
      </c>
      <c r="AW81">
        <f>IF(I81="",0,IF(MAP_TNHN!B81="",I81*3,I81*3-2*(IF(ISNUMBER(SEARCH(MAP_TNHN!B81&amp;" (1 tiết)",'PL12'!$S$5)),1,0)+IF(ISNUMBER(SEARCH(MAP_TNHN!B81&amp;" (1 tiết)",'PL12'!$S$6)),1,0)+IF(ISNUMBER(SEARCH(MAP_TNHN!B81&amp;" (1 tiết)",'PL12'!$S$7)),1,0)+IF(ISNUMBER(SEARCH(MAP_TNHN!B81&amp;" (1 tiết)",'PL12'!$S$8)),1,0)+IF(ISNUMBER(SEARCH(MAP_TNHN!B81&amp;" (1 tiết)",'PL12'!$S$9)),1,0)+IF(ISNUMBER(SEARCH(MAP_TNHN!B81&amp;" (1 tiết)",'PL12'!$S$10)),1,0)+IF(ISNUMBER(SEARCH(MAP_TNHN!B81&amp;" (1 tiết)",'PL12'!$S$11)),1,0)+IF(ISNUMBER(SEARCH(MAP_TNHN!B81&amp;" (1 tiết)",'PL12'!$S$12)),1,0)+IF(ISNUMBER(SEARCH(MAP_TNHN!B81&amp;" (1 tiết)",'PL12'!$S$13)),1,0)+IF(ISNUMBER(SEARCH(MAP_TNHN!B81&amp;" (1 tiết)",'PL12'!$S$14)),1,0)+IF(ISNUMBER(SEARCH(MAP_TNHN!B81&amp;" (1 tiết)",'PL12'!$S$15)),1,0)+IF(ISNUMBER(SEARCH(MAP_TNHN!B81&amp;" (1 tiết)",'PL12'!$S$16)),1,0)+IF(ISNUMBER(SEARCH(MAP_TNHN!B81&amp;" (1 tiết)",'PL12'!$S$17)),1,0)+IF(ISNUMBER(SEARCH(MAP_TNHN!B81&amp;" (1 tiết)",'PL12'!$S$18)),1,0)+IF(ISNUMBER(SEARCH(MAP_TNHN!B81&amp;" (1 tiết)",'PL12'!$S$19)),1,0))-(IF(ISNUMBER(SEARCH(MAP_TNHN!B81&amp;" (2 tiết)",'PL12'!$S$5)),1,0)+IF(ISNUMBER(SEARCH(MAP_TNHN!B81&amp;" (2 tiết)",'PL12'!$S$6)),1,0)+IF(ISNUMBER(SEARCH(MAP_TNHN!B81&amp;" (2 tiết)",'PL12'!$S$7)),1,0)+IF(ISNUMBER(SEARCH(MAP_TNHN!B81&amp;" (2 tiết)",'PL12'!$S$8)),1,0)+IF(ISNUMBER(SEARCH(MAP_TNHN!B81&amp;" (2 tiết)",'PL12'!$S$9)),1,0)+IF(ISNUMBER(SEARCH(MAP_TNHN!B81&amp;" (2 tiết)",'PL12'!$S$10)),1,0)+IF(ISNUMBER(SEARCH(MAP_TNHN!B81&amp;" (2 tiết)",'PL12'!$S$11)),1,0)+IF(ISNUMBER(SEARCH(MAP_TNHN!B81&amp;" (2 tiết)",'PL12'!$S$12)),1,0)+IF(ISNUMBER(SEARCH(MAP_TNHN!B81&amp;" (2 tiết)",'PL12'!$S$13)),1,0)+IF(ISNUMBER(SEARCH(MAP_TNHN!B81&amp;" (2 tiết)",'PL12'!$S$14)),1,0)+IF(ISNUMBER(SEARCH(MAP_TNHN!B81&amp;" (2 tiết)",'PL12'!$S$15)),1,0)+IF(ISNUMBER(SEARCH(MAP_TNHN!B81&amp;" (2 tiết)",'PL12'!$S$16)),1,0)+IF(ISNUMBER(SEARCH(MAP_TNHN!B81&amp;" (2 tiết)",'PL12'!$S$17)),1,0)+IF(ISNUMBER(SEARCH(MAP_TNHN!B81&amp;" (2 tiết)",'PL12'!$S$18)),1,0)+IF(ISNUMBER(SEARCH(MAP_TNHN!B81&amp;" (2 tiết)",'PL12'!$S$19)),1,0))))</f>
        <v>0</v>
      </c>
      <c r="AX81">
        <f>IF(N81="",0,IF(MAP_TNHN!C81="",N81*3,N81*3-2*(IF(ISNUMBER(SEARCH(MAP_TNHN!C81&amp;" (1 tiết)",'PL11'!$S$5)),1,0)+IF(ISNUMBER(SEARCH(MAP_TNHN!C81&amp;" (1 tiết)",'PL11'!$S$6)),1,0)+IF(ISNUMBER(SEARCH(MAP_TNHN!C81&amp;" (1 tiết)",'PL11'!$S$7)),1,0)+IF(ISNUMBER(SEARCH(MAP_TNHN!C81&amp;" (1 tiết)",'PL11'!$S$8)),1,0)+IF(ISNUMBER(SEARCH(MAP_TNHN!C81&amp;" (1 tiết)",'PL11'!$S$9)),1,0)+IF(ISNUMBER(SEARCH(MAP_TNHN!C81&amp;" (1 tiết)",'PL11'!$S$10)),1,0)+IF(ISNUMBER(SEARCH(MAP_TNHN!C81&amp;" (1 tiết)",'PL11'!$S$11)),1,0)+IF(ISNUMBER(SEARCH(MAP_TNHN!C81&amp;" (1 tiết)",'PL11'!$S$12)),1,0)+IF(ISNUMBER(SEARCH(MAP_TNHN!C81&amp;" (1 tiết)",'PL11'!$S$13)),1,0)+IF(ISNUMBER(SEARCH(MAP_TNHN!C81&amp;" (1 tiết)",'PL11'!$S$14)),1,0)+IF(ISNUMBER(SEARCH(MAP_TNHN!C81&amp;" (1 tiết)",'PL11'!$S$15)),1,0)+IF(ISNUMBER(SEARCH(MAP_TNHN!C81&amp;" (1 tiết)",'PL11'!$S$16)),1,0)+IF(ISNUMBER(SEARCH(MAP_TNHN!C81&amp;" (1 tiết)",'PL11'!$S$17)),1,0)+IF(ISNUMBER(SEARCH(MAP_TNHN!C81&amp;" (1 tiết)",'PL11'!$S$18)),1,0))-(IF(ISNUMBER(SEARCH(MAP_TNHN!C81&amp;" (2 tiết)",'PL11'!$S$5)),1,0)+IF(ISNUMBER(SEARCH(MAP_TNHN!C81&amp;" (2 tiết)",'PL11'!$S$6)),1,0)+IF(ISNUMBER(SEARCH(MAP_TNHN!C81&amp;" (2 tiết)",'PL11'!$S$7)),1,0)+IF(ISNUMBER(SEARCH(MAP_TNHN!C81&amp;" (2 tiết)",'PL11'!$S$8)),1,0)+IF(ISNUMBER(SEARCH(MAP_TNHN!C81&amp;" (2 tiết)",'PL11'!$S$9)),1,0)+IF(ISNUMBER(SEARCH(MAP_TNHN!C81&amp;" (2 tiết)",'PL11'!$S$10)),1,0)+IF(ISNUMBER(SEARCH(MAP_TNHN!C81&amp;" (2 tiết)",'PL11'!$S$11)),1,0)+IF(ISNUMBER(SEARCH(MAP_TNHN!C81&amp;" (2 tiết)",'PL11'!$S$12)),1,0)+IF(ISNUMBER(SEARCH(MAP_TNHN!C81&amp;" (2 tiết)",'PL11'!$S$13)),1,0)+IF(ISNUMBER(SEARCH(MAP_TNHN!C81&amp;" (2 tiết)",'PL11'!$S$14)),1,0)+IF(ISNUMBER(SEARCH(MAP_TNHN!C81&amp;" (2 tiết)",'PL11'!$S$15)),1,0)+IF(ISNUMBER(SEARCH(MAP_TNHN!C81&amp;" (2 tiết)",'PL11'!$S$16)),1,0)+IF(ISNUMBER(SEARCH(MAP_TNHN!C81&amp;" (2 tiết)",'PL11'!$S$17)),1,0)+IF(ISNUMBER(SEARCH(MAP_TNHN!C81&amp;" (2 tiết)",'PL11'!$S$18)),1,0))))</f>
        <v>0</v>
      </c>
      <c r="AY81">
        <f>IF(S81="",0,IF(MAP_TNHN!D81="",S81*3,S81*3-2*(IF(ISNUMBER(SEARCH(MAP_TNHN!D81&amp;" (1 tiết)",'PL10'!$S$5)),1,0)+IF(ISNUMBER(SEARCH(MAP_TNHN!D81&amp;" (1 tiết)",'PL10'!$S$6)),1,0)+IF(ISNUMBER(SEARCH(MAP_TNHN!D81&amp;" (1 tiết)",'PL10'!$S$7)),1,0)+IF(ISNUMBER(SEARCH(MAP_TNHN!D81&amp;" (1 tiết)",'PL10'!$S$8)),1,0)+IF(ISNUMBER(SEARCH(MAP_TNHN!D81&amp;" (1 tiết)",'PL10'!$S$9)),1,0)+IF(ISNUMBER(SEARCH(MAP_TNHN!D81&amp;" (1 tiết)",'PL10'!$S$10)),1,0)+IF(ISNUMBER(SEARCH(MAP_TNHN!D81&amp;" (1 tiết)",'PL10'!$S$11)),1,0)+IF(ISNUMBER(SEARCH(MAP_TNHN!D81&amp;" (1 tiết)",'PL10'!$S$12)),1,0)+IF(ISNUMBER(SEARCH(MAP_TNHN!D81&amp;" (1 tiết)",'PL10'!$S$13)),1,0)+IF(ISNUMBER(SEARCH(MAP_TNHN!D81&amp;" (1 tiết)",'PL10'!$S$14)),1,0)+IF(ISNUMBER(SEARCH(MAP_TNHN!D81&amp;" (1 tiết)",'PL10'!$S$15)),1,0)+IF(ISNUMBER(SEARCH(MAP_TNHN!D81&amp;" (1 tiết)",'PL10'!$S$16)),1,0)+IF(ISNUMBER(SEARCH(MAP_TNHN!D81&amp;" (1 tiết)",'PL10'!$S$17)),1,0)+IF(ISNUMBER(SEARCH(MAP_TNHN!D81&amp;" (1 tiết)",'PL10'!$S$18)),1,0)+IF(ISNUMBER(SEARCH(MAP_TNHN!D81&amp;" (1 tiết)",'PL10'!$S$19)),1,0)+IF(ISNUMBER(SEARCH(MAP_TNHN!D81&amp;" (1 tiết)",'PL10'!$S$20)),1,0)+IF(ISNUMBER(SEARCH(MAP_TNHN!D81&amp;" (1 tiết)",'PL10'!$S$21)),1,0)+IF(ISNUMBER(SEARCH(MAP_TNHN!D81&amp;" (1 tiết)",'PL10'!$S$22)),1,0)+IF(ISNUMBER(SEARCH(MAP_TNHN!D81&amp;" (1 tiết)",'PL10'!$S$23)),1,0)+IF(ISNUMBER(SEARCH(MAP_TNHN!D81&amp;" (1 tiết)",'PL10'!$S$24)),1,0)+IF(ISNUMBER(SEARCH(MAP_TNHN!D81&amp;" (1 tiết)",'PL10'!$S$25)),1,0))-(IF(ISNUMBER(SEARCH(MAP_TNHN!D81&amp;" (2 tiết)",'PL10'!$S$5)),1,0)+IF(ISNUMBER(SEARCH(MAP_TNHN!D81&amp;" (2 tiết)",'PL10'!$S$6)),1,0)+IF(ISNUMBER(SEARCH(MAP_TNHN!D81&amp;" (2 tiết)",'PL10'!$S$7)),1,0)+IF(ISNUMBER(SEARCH(MAP_TNHN!D81&amp;" (2 tiết)",'PL10'!$S$8)),1,0)+IF(ISNUMBER(SEARCH(MAP_TNHN!D81&amp;" (2 tiết)",'PL10'!$S$9)),1,0)+IF(ISNUMBER(SEARCH(MAP_TNHN!D81&amp;" (2 tiết)",'PL10'!$S$10)),1,0)+IF(ISNUMBER(SEARCH(MAP_TNHN!D81&amp;" (2 tiết)",'PL10'!$S$11)),1,0)+IF(ISNUMBER(SEARCH(MAP_TNHN!D81&amp;" (2 tiết)",'PL10'!$S$12)),1,0)+IF(ISNUMBER(SEARCH(MAP_TNHN!D81&amp;" (2 tiết)",'PL10'!$S$13)),1,0)+IF(ISNUMBER(SEARCH(MAP_TNHN!D81&amp;" (2 tiết)",'PL10'!$S$14)),1,0)+IF(ISNUMBER(SEARCH(MAP_TNHN!D81&amp;" (2 tiết)",'PL10'!$S$15)),1,0)+IF(ISNUMBER(SEARCH(MAP_TNHN!D81&amp;" (2 tiết)",'PL10'!$S$16)),1,0)+IF(ISNUMBER(SEARCH(MAP_TNHN!D81&amp;" (2 tiết)",'PL10'!$S$17)),1,0)+IF(ISNUMBER(SEARCH(MAP_TNHN!D81&amp;" (2 tiết)",'PL10'!$S$18)),1,0)+IF(ISNUMBER(SEARCH(MAP_TNHN!D81&amp;" (2 tiết)",'PL10'!$S$19)),1,0)+IF(ISNUMBER(SEARCH(MAP_TNHN!D81&amp;" (2 tiết)",'PL10'!$S$20)),1,0)+IF(ISNUMBER(SEARCH(MAP_TNHN!D81&amp;" (2 tiết)",'PL10'!$S$21)),1,0)+IF(ISNUMBER(SEARCH(MAP_TNHN!D81&amp;" (2 tiết)",'PL10'!$S$22)),1,0)+IF(ISNUMBER(SEARCH(MAP_TNHN!D81&amp;" (2 tiết)",'PL10'!$S$23)),1,0)+IF(ISNUMBER(SEARCH(MAP_TNHN!D81&amp;" (2 tiết)",'PL10'!$S$24)),1,0)+IF(ISNUMBER(SEARCH(MAP_TNHN!D81&amp;" (2 tiết)",'PL10'!$S$25)),1,0))))</f>
        <v>0</v>
      </c>
    </row>
    <row r="82" spans="1:51" x14ac:dyDescent="0.35">
      <c r="A82" s="311"/>
      <c r="B82" s="8">
        <v>2</v>
      </c>
      <c r="C82" s="9" t="s">
        <v>193</v>
      </c>
      <c r="D82" s="20">
        <v>10</v>
      </c>
      <c r="E82" s="10"/>
      <c r="F82" s="10"/>
      <c r="G82" s="10"/>
      <c r="H82" s="10"/>
      <c r="I82" s="159"/>
      <c r="J82" s="10"/>
      <c r="K82" s="6"/>
      <c r="L82" s="6"/>
      <c r="M82" s="6"/>
      <c r="N82" s="139"/>
      <c r="O82" s="6"/>
      <c r="P82" s="42">
        <v>2</v>
      </c>
      <c r="Q82" s="42">
        <v>1</v>
      </c>
      <c r="R82" s="42">
        <v>2</v>
      </c>
      <c r="S82" s="138">
        <v>2</v>
      </c>
      <c r="T82" s="42"/>
      <c r="U82" s="11">
        <f>E82*'Phân tiết'!$M$6+G82*('Phân tiết'!$M$21/3)+H82*'Phân tiết'!$L$26+AW82+J82*'Phân tiết'!$M$20+K82*'Phân tiết'!$I$6+M82*('Phân tiết'!$I$21/3)+AX82+O82*'Phân tiết'!$I$20+P82*'Phân tiết'!$E$6+R82*('Phân tiết'!$E$21/3)+AY82+T82*'Phân tiết'!$E$20</f>
        <v>13</v>
      </c>
      <c r="V82" s="8">
        <f t="shared" si="28"/>
        <v>4</v>
      </c>
      <c r="W82" s="6"/>
      <c r="X82" s="6"/>
      <c r="Y82" s="8"/>
      <c r="Z82" s="43">
        <f t="shared" si="29"/>
        <v>17</v>
      </c>
      <c r="AA82" s="34">
        <f t="shared" si="30"/>
        <v>0</v>
      </c>
      <c r="AB82" s="8"/>
      <c r="AC82" s="8"/>
      <c r="AD82" s="6">
        <f t="shared" si="25"/>
        <v>0</v>
      </c>
      <c r="AE82" s="8"/>
      <c r="AF82" s="8"/>
      <c r="AG82" s="6">
        <f t="shared" si="26"/>
        <v>0</v>
      </c>
      <c r="AH82" s="8"/>
      <c r="AI82" s="8"/>
      <c r="AJ82" s="6">
        <f t="shared" si="31"/>
        <v>0</v>
      </c>
      <c r="AK82" s="6">
        <f t="shared" si="27"/>
        <v>0</v>
      </c>
      <c r="AL82" s="8"/>
      <c r="AM82" s="8"/>
      <c r="AN82" s="8" t="s">
        <v>83</v>
      </c>
      <c r="AO82" s="8"/>
      <c r="AP82" s="8"/>
      <c r="AQ82" s="8" t="s">
        <v>46</v>
      </c>
      <c r="AR82" s="8"/>
      <c r="AS82" s="8"/>
      <c r="AT82" s="8" t="s">
        <v>46</v>
      </c>
      <c r="AU82" s="8" t="s">
        <v>84</v>
      </c>
      <c r="AV82" s="8" t="s">
        <v>194</v>
      </c>
      <c r="AW82">
        <f>IF(I82="",0,IF(MAP_TNHN!B82="",I82*3,I82*3-2*(IF(ISNUMBER(SEARCH(MAP_TNHN!B82&amp;" (1 tiết)",'PL12'!$S$5)),1,0)+IF(ISNUMBER(SEARCH(MAP_TNHN!B82&amp;" (1 tiết)",'PL12'!$S$6)),1,0)+IF(ISNUMBER(SEARCH(MAP_TNHN!B82&amp;" (1 tiết)",'PL12'!$S$7)),1,0)+IF(ISNUMBER(SEARCH(MAP_TNHN!B82&amp;" (1 tiết)",'PL12'!$S$8)),1,0)+IF(ISNUMBER(SEARCH(MAP_TNHN!B82&amp;" (1 tiết)",'PL12'!$S$9)),1,0)+IF(ISNUMBER(SEARCH(MAP_TNHN!B82&amp;" (1 tiết)",'PL12'!$S$10)),1,0)+IF(ISNUMBER(SEARCH(MAP_TNHN!B82&amp;" (1 tiết)",'PL12'!$S$11)),1,0)+IF(ISNUMBER(SEARCH(MAP_TNHN!B82&amp;" (1 tiết)",'PL12'!$S$12)),1,0)+IF(ISNUMBER(SEARCH(MAP_TNHN!B82&amp;" (1 tiết)",'PL12'!$S$13)),1,0)+IF(ISNUMBER(SEARCH(MAP_TNHN!B82&amp;" (1 tiết)",'PL12'!$S$14)),1,0)+IF(ISNUMBER(SEARCH(MAP_TNHN!B82&amp;" (1 tiết)",'PL12'!$S$15)),1,0)+IF(ISNUMBER(SEARCH(MAP_TNHN!B82&amp;" (1 tiết)",'PL12'!$S$16)),1,0)+IF(ISNUMBER(SEARCH(MAP_TNHN!B82&amp;" (1 tiết)",'PL12'!$S$17)),1,0)+IF(ISNUMBER(SEARCH(MAP_TNHN!B82&amp;" (1 tiết)",'PL12'!$S$18)),1,0)+IF(ISNUMBER(SEARCH(MAP_TNHN!B82&amp;" (1 tiết)",'PL12'!$S$19)),1,0))-(IF(ISNUMBER(SEARCH(MAP_TNHN!B82&amp;" (2 tiết)",'PL12'!$S$5)),1,0)+IF(ISNUMBER(SEARCH(MAP_TNHN!B82&amp;" (2 tiết)",'PL12'!$S$6)),1,0)+IF(ISNUMBER(SEARCH(MAP_TNHN!B82&amp;" (2 tiết)",'PL12'!$S$7)),1,0)+IF(ISNUMBER(SEARCH(MAP_TNHN!B82&amp;" (2 tiết)",'PL12'!$S$8)),1,0)+IF(ISNUMBER(SEARCH(MAP_TNHN!B82&amp;" (2 tiết)",'PL12'!$S$9)),1,0)+IF(ISNUMBER(SEARCH(MAP_TNHN!B82&amp;" (2 tiết)",'PL12'!$S$10)),1,0)+IF(ISNUMBER(SEARCH(MAP_TNHN!B82&amp;" (2 tiết)",'PL12'!$S$11)),1,0)+IF(ISNUMBER(SEARCH(MAP_TNHN!B82&amp;" (2 tiết)",'PL12'!$S$12)),1,0)+IF(ISNUMBER(SEARCH(MAP_TNHN!B82&amp;" (2 tiết)",'PL12'!$S$13)),1,0)+IF(ISNUMBER(SEARCH(MAP_TNHN!B82&amp;" (2 tiết)",'PL12'!$S$14)),1,0)+IF(ISNUMBER(SEARCH(MAP_TNHN!B82&amp;" (2 tiết)",'PL12'!$S$15)),1,0)+IF(ISNUMBER(SEARCH(MAP_TNHN!B82&amp;" (2 tiết)",'PL12'!$S$16)),1,0)+IF(ISNUMBER(SEARCH(MAP_TNHN!B82&amp;" (2 tiết)",'PL12'!$S$17)),1,0)+IF(ISNUMBER(SEARCH(MAP_TNHN!B82&amp;" (2 tiết)",'PL12'!$S$18)),1,0)+IF(ISNUMBER(SEARCH(MAP_TNHN!B82&amp;" (2 tiết)",'PL12'!$S$19)),1,0))))</f>
        <v>0</v>
      </c>
      <c r="AX82">
        <f>IF(N82="",0,IF(MAP_TNHN!C82="",N82*3,N82*3-2*(IF(ISNUMBER(SEARCH(MAP_TNHN!C82&amp;" (1 tiết)",'PL11'!$S$5)),1,0)+IF(ISNUMBER(SEARCH(MAP_TNHN!C82&amp;" (1 tiết)",'PL11'!$S$6)),1,0)+IF(ISNUMBER(SEARCH(MAP_TNHN!C82&amp;" (1 tiết)",'PL11'!$S$7)),1,0)+IF(ISNUMBER(SEARCH(MAP_TNHN!C82&amp;" (1 tiết)",'PL11'!$S$8)),1,0)+IF(ISNUMBER(SEARCH(MAP_TNHN!C82&amp;" (1 tiết)",'PL11'!$S$9)),1,0)+IF(ISNUMBER(SEARCH(MAP_TNHN!C82&amp;" (1 tiết)",'PL11'!$S$10)),1,0)+IF(ISNUMBER(SEARCH(MAP_TNHN!C82&amp;" (1 tiết)",'PL11'!$S$11)),1,0)+IF(ISNUMBER(SEARCH(MAP_TNHN!C82&amp;" (1 tiết)",'PL11'!$S$12)),1,0)+IF(ISNUMBER(SEARCH(MAP_TNHN!C82&amp;" (1 tiết)",'PL11'!$S$13)),1,0)+IF(ISNUMBER(SEARCH(MAP_TNHN!C82&amp;" (1 tiết)",'PL11'!$S$14)),1,0)+IF(ISNUMBER(SEARCH(MAP_TNHN!C82&amp;" (1 tiết)",'PL11'!$S$15)),1,0)+IF(ISNUMBER(SEARCH(MAP_TNHN!C82&amp;" (1 tiết)",'PL11'!$S$16)),1,0)+IF(ISNUMBER(SEARCH(MAP_TNHN!C82&amp;" (1 tiết)",'PL11'!$S$17)),1,0)+IF(ISNUMBER(SEARCH(MAP_TNHN!C82&amp;" (1 tiết)",'PL11'!$S$18)),1,0))-(IF(ISNUMBER(SEARCH(MAP_TNHN!C82&amp;" (2 tiết)",'PL11'!$S$5)),1,0)+IF(ISNUMBER(SEARCH(MAP_TNHN!C82&amp;" (2 tiết)",'PL11'!$S$6)),1,0)+IF(ISNUMBER(SEARCH(MAP_TNHN!C82&amp;" (2 tiết)",'PL11'!$S$7)),1,0)+IF(ISNUMBER(SEARCH(MAP_TNHN!C82&amp;" (2 tiết)",'PL11'!$S$8)),1,0)+IF(ISNUMBER(SEARCH(MAP_TNHN!C82&amp;" (2 tiết)",'PL11'!$S$9)),1,0)+IF(ISNUMBER(SEARCH(MAP_TNHN!C82&amp;" (2 tiết)",'PL11'!$S$10)),1,0)+IF(ISNUMBER(SEARCH(MAP_TNHN!C82&amp;" (2 tiết)",'PL11'!$S$11)),1,0)+IF(ISNUMBER(SEARCH(MAP_TNHN!C82&amp;" (2 tiết)",'PL11'!$S$12)),1,0)+IF(ISNUMBER(SEARCH(MAP_TNHN!C82&amp;" (2 tiết)",'PL11'!$S$13)),1,0)+IF(ISNUMBER(SEARCH(MAP_TNHN!C82&amp;" (2 tiết)",'PL11'!$S$14)),1,0)+IF(ISNUMBER(SEARCH(MAP_TNHN!C82&amp;" (2 tiết)",'PL11'!$S$15)),1,0)+IF(ISNUMBER(SEARCH(MAP_TNHN!C82&amp;" (2 tiết)",'PL11'!$S$16)),1,0)+IF(ISNUMBER(SEARCH(MAP_TNHN!C82&amp;" (2 tiết)",'PL11'!$S$17)),1,0)+IF(ISNUMBER(SEARCH(MAP_TNHN!C82&amp;" (2 tiết)",'PL11'!$S$18)),1,0))))</f>
        <v>0</v>
      </c>
      <c r="AY82">
        <f>IF(S82="",0,IF(MAP_TNHN!D82="",S82*3,S82*3-2*(IF(ISNUMBER(SEARCH(MAP_TNHN!D82&amp;" (1 tiết)",'PL10'!$S$5)),1,0)+IF(ISNUMBER(SEARCH(MAP_TNHN!D82&amp;" (1 tiết)",'PL10'!$S$6)),1,0)+IF(ISNUMBER(SEARCH(MAP_TNHN!D82&amp;" (1 tiết)",'PL10'!$S$7)),1,0)+IF(ISNUMBER(SEARCH(MAP_TNHN!D82&amp;" (1 tiết)",'PL10'!$S$8)),1,0)+IF(ISNUMBER(SEARCH(MAP_TNHN!D82&amp;" (1 tiết)",'PL10'!$S$9)),1,0)+IF(ISNUMBER(SEARCH(MAP_TNHN!D82&amp;" (1 tiết)",'PL10'!$S$10)),1,0)+IF(ISNUMBER(SEARCH(MAP_TNHN!D82&amp;" (1 tiết)",'PL10'!$S$11)),1,0)+IF(ISNUMBER(SEARCH(MAP_TNHN!D82&amp;" (1 tiết)",'PL10'!$S$12)),1,0)+IF(ISNUMBER(SEARCH(MAP_TNHN!D82&amp;" (1 tiết)",'PL10'!$S$13)),1,0)+IF(ISNUMBER(SEARCH(MAP_TNHN!D82&amp;" (1 tiết)",'PL10'!$S$14)),1,0)+IF(ISNUMBER(SEARCH(MAP_TNHN!D82&amp;" (1 tiết)",'PL10'!$S$15)),1,0)+IF(ISNUMBER(SEARCH(MAP_TNHN!D82&amp;" (1 tiết)",'PL10'!$S$16)),1,0)+IF(ISNUMBER(SEARCH(MAP_TNHN!D82&amp;" (1 tiết)",'PL10'!$S$17)),1,0)+IF(ISNUMBER(SEARCH(MAP_TNHN!D82&amp;" (1 tiết)",'PL10'!$S$18)),1,0)+IF(ISNUMBER(SEARCH(MAP_TNHN!D82&amp;" (1 tiết)",'PL10'!$S$19)),1,0)+IF(ISNUMBER(SEARCH(MAP_TNHN!D82&amp;" (1 tiết)",'PL10'!$S$20)),1,0)+IF(ISNUMBER(SEARCH(MAP_TNHN!D82&amp;" (1 tiết)",'PL10'!$S$21)),1,0)+IF(ISNUMBER(SEARCH(MAP_TNHN!D82&amp;" (1 tiết)",'PL10'!$S$22)),1,0)+IF(ISNUMBER(SEARCH(MAP_TNHN!D82&amp;" (1 tiết)",'PL10'!$S$23)),1,0)+IF(ISNUMBER(SEARCH(MAP_TNHN!D82&amp;" (1 tiết)",'PL10'!$S$24)),1,0)+IF(ISNUMBER(SEARCH(MAP_TNHN!D82&amp;" (1 tiết)",'PL10'!$S$25)),1,0))-(IF(ISNUMBER(SEARCH(MAP_TNHN!D82&amp;" (2 tiết)",'PL10'!$S$5)),1,0)+IF(ISNUMBER(SEARCH(MAP_TNHN!D82&amp;" (2 tiết)",'PL10'!$S$6)),1,0)+IF(ISNUMBER(SEARCH(MAP_TNHN!D82&amp;" (2 tiết)",'PL10'!$S$7)),1,0)+IF(ISNUMBER(SEARCH(MAP_TNHN!D82&amp;" (2 tiết)",'PL10'!$S$8)),1,0)+IF(ISNUMBER(SEARCH(MAP_TNHN!D82&amp;" (2 tiết)",'PL10'!$S$9)),1,0)+IF(ISNUMBER(SEARCH(MAP_TNHN!D82&amp;" (2 tiết)",'PL10'!$S$10)),1,0)+IF(ISNUMBER(SEARCH(MAP_TNHN!D82&amp;" (2 tiết)",'PL10'!$S$11)),1,0)+IF(ISNUMBER(SEARCH(MAP_TNHN!D82&amp;" (2 tiết)",'PL10'!$S$12)),1,0)+IF(ISNUMBER(SEARCH(MAP_TNHN!D82&amp;" (2 tiết)",'PL10'!$S$13)),1,0)+IF(ISNUMBER(SEARCH(MAP_TNHN!D82&amp;" (2 tiết)",'PL10'!$S$14)),1,0)+IF(ISNUMBER(SEARCH(MAP_TNHN!D82&amp;" (2 tiết)",'PL10'!$S$15)),1,0)+IF(ISNUMBER(SEARCH(MAP_TNHN!D82&amp;" (2 tiết)",'PL10'!$S$16)),1,0)+IF(ISNUMBER(SEARCH(MAP_TNHN!D82&amp;" (2 tiết)",'PL10'!$S$17)),1,0)+IF(ISNUMBER(SEARCH(MAP_TNHN!D82&amp;" (2 tiết)",'PL10'!$S$18)),1,0)+IF(ISNUMBER(SEARCH(MAP_TNHN!D82&amp;" (2 tiết)",'PL10'!$S$19)),1,0)+IF(ISNUMBER(SEARCH(MAP_TNHN!D82&amp;" (2 tiết)",'PL10'!$S$20)),1,0)+IF(ISNUMBER(SEARCH(MAP_TNHN!D82&amp;" (2 tiết)",'PL10'!$S$21)),1,0)+IF(ISNUMBER(SEARCH(MAP_TNHN!D82&amp;" (2 tiết)",'PL10'!$S$22)),1,0)+IF(ISNUMBER(SEARCH(MAP_TNHN!D82&amp;" (2 tiết)",'PL10'!$S$23)),1,0)+IF(ISNUMBER(SEARCH(MAP_TNHN!D82&amp;" (2 tiết)",'PL10'!$S$24)),1,0)+IF(ISNUMBER(SEARCH(MAP_TNHN!D82&amp;" (2 tiết)",'PL10'!$S$25)),1,0))))</f>
        <v>5</v>
      </c>
    </row>
    <row r="83" spans="1:51" x14ac:dyDescent="0.35">
      <c r="A83" s="311"/>
      <c r="B83" s="8">
        <v>3</v>
      </c>
      <c r="C83" s="9" t="s">
        <v>195</v>
      </c>
      <c r="D83" s="20">
        <v>12</v>
      </c>
      <c r="E83" s="10">
        <v>2</v>
      </c>
      <c r="F83" s="10">
        <v>1</v>
      </c>
      <c r="G83" s="10">
        <v>1</v>
      </c>
      <c r="H83" s="10">
        <v>2</v>
      </c>
      <c r="I83" s="159">
        <v>1</v>
      </c>
      <c r="J83" s="10"/>
      <c r="K83" s="6"/>
      <c r="L83" s="6"/>
      <c r="M83" s="6"/>
      <c r="N83" s="139"/>
      <c r="O83" s="6"/>
      <c r="P83" s="42">
        <v>1</v>
      </c>
      <c r="Q83" s="42"/>
      <c r="R83" s="42">
        <v>1</v>
      </c>
      <c r="S83" s="138"/>
      <c r="T83" s="42"/>
      <c r="U83" s="11">
        <f>E83*'Phân tiết'!$M$6+G83*('Phân tiết'!$M$21/3)+H83*'Phân tiết'!$L$26+AW83+J83*'Phân tiết'!$M$20+K83*'Phân tiết'!$I$6+M83*('Phân tiết'!$I$21/3)+AX83+O83*'Phân tiết'!$I$20+P83*'Phân tiết'!$E$6+R83*('Phân tiết'!$E$21/3)+AY83+T83*'Phân tiết'!$E$20</f>
        <v>18</v>
      </c>
      <c r="V83" s="8">
        <f t="shared" si="28"/>
        <v>4</v>
      </c>
      <c r="W83" s="6"/>
      <c r="X83" s="6"/>
      <c r="Y83" s="8"/>
      <c r="Z83" s="43">
        <f t="shared" si="29"/>
        <v>22</v>
      </c>
      <c r="AA83" s="34">
        <f t="shared" si="30"/>
        <v>5</v>
      </c>
      <c r="AB83" s="8">
        <v>2</v>
      </c>
      <c r="AC83" s="8">
        <v>10</v>
      </c>
      <c r="AD83" s="6">
        <f t="shared" si="25"/>
        <v>30</v>
      </c>
      <c r="AE83" s="8"/>
      <c r="AF83" s="8"/>
      <c r="AG83" s="6">
        <f t="shared" si="26"/>
        <v>0</v>
      </c>
      <c r="AH83" s="8"/>
      <c r="AI83" s="8"/>
      <c r="AJ83" s="6">
        <f t="shared" si="31"/>
        <v>0</v>
      </c>
      <c r="AK83" s="6">
        <f t="shared" si="27"/>
        <v>195</v>
      </c>
      <c r="AL83" s="8"/>
      <c r="AM83" s="8"/>
      <c r="AN83" s="8"/>
      <c r="AO83" s="8"/>
      <c r="AP83" s="8"/>
      <c r="AQ83" s="8" t="s">
        <v>46</v>
      </c>
      <c r="AR83" s="8"/>
      <c r="AS83" s="8"/>
      <c r="AT83" s="8" t="s">
        <v>46</v>
      </c>
      <c r="AU83" s="8" t="s">
        <v>84</v>
      </c>
      <c r="AV83" s="8"/>
      <c r="AW83">
        <f>IF(I83="",0,IF(MAP_TNHN!B83="",I83*3,I83*3-2*(IF(ISNUMBER(SEARCH(MAP_TNHN!B83&amp;" (1 tiết)",'PL12'!$S$5)),1,0)+IF(ISNUMBER(SEARCH(MAP_TNHN!B83&amp;" (1 tiết)",'PL12'!$S$6)),1,0)+IF(ISNUMBER(SEARCH(MAP_TNHN!B83&amp;" (1 tiết)",'PL12'!$S$7)),1,0)+IF(ISNUMBER(SEARCH(MAP_TNHN!B83&amp;" (1 tiết)",'PL12'!$S$8)),1,0)+IF(ISNUMBER(SEARCH(MAP_TNHN!B83&amp;" (1 tiết)",'PL12'!$S$9)),1,0)+IF(ISNUMBER(SEARCH(MAP_TNHN!B83&amp;" (1 tiết)",'PL12'!$S$10)),1,0)+IF(ISNUMBER(SEARCH(MAP_TNHN!B83&amp;" (1 tiết)",'PL12'!$S$11)),1,0)+IF(ISNUMBER(SEARCH(MAP_TNHN!B83&amp;" (1 tiết)",'PL12'!$S$12)),1,0)+IF(ISNUMBER(SEARCH(MAP_TNHN!B83&amp;" (1 tiết)",'PL12'!$S$13)),1,0)+IF(ISNUMBER(SEARCH(MAP_TNHN!B83&amp;" (1 tiết)",'PL12'!$S$14)),1,0)+IF(ISNUMBER(SEARCH(MAP_TNHN!B83&amp;" (1 tiết)",'PL12'!$S$15)),1,0)+IF(ISNUMBER(SEARCH(MAP_TNHN!B83&amp;" (1 tiết)",'PL12'!$S$16)),1,0)+IF(ISNUMBER(SEARCH(MAP_TNHN!B83&amp;" (1 tiết)",'PL12'!$S$17)),1,0)+IF(ISNUMBER(SEARCH(MAP_TNHN!B83&amp;" (1 tiết)",'PL12'!$S$18)),1,0)+IF(ISNUMBER(SEARCH(MAP_TNHN!B83&amp;" (1 tiết)",'PL12'!$S$19)),1,0))-(IF(ISNUMBER(SEARCH(MAP_TNHN!B83&amp;" (2 tiết)",'PL12'!$S$5)),1,0)+IF(ISNUMBER(SEARCH(MAP_TNHN!B83&amp;" (2 tiết)",'PL12'!$S$6)),1,0)+IF(ISNUMBER(SEARCH(MAP_TNHN!B83&amp;" (2 tiết)",'PL12'!$S$7)),1,0)+IF(ISNUMBER(SEARCH(MAP_TNHN!B83&amp;" (2 tiết)",'PL12'!$S$8)),1,0)+IF(ISNUMBER(SEARCH(MAP_TNHN!B83&amp;" (2 tiết)",'PL12'!$S$9)),1,0)+IF(ISNUMBER(SEARCH(MAP_TNHN!B83&amp;" (2 tiết)",'PL12'!$S$10)),1,0)+IF(ISNUMBER(SEARCH(MAP_TNHN!B83&amp;" (2 tiết)",'PL12'!$S$11)),1,0)+IF(ISNUMBER(SEARCH(MAP_TNHN!B83&amp;" (2 tiết)",'PL12'!$S$12)),1,0)+IF(ISNUMBER(SEARCH(MAP_TNHN!B83&amp;" (2 tiết)",'PL12'!$S$13)),1,0)+IF(ISNUMBER(SEARCH(MAP_TNHN!B83&amp;" (2 tiết)",'PL12'!$S$14)),1,0)+IF(ISNUMBER(SEARCH(MAP_TNHN!B83&amp;" (2 tiết)",'PL12'!$S$15)),1,0)+IF(ISNUMBER(SEARCH(MAP_TNHN!B83&amp;" (2 tiết)",'PL12'!$S$16)),1,0)+IF(ISNUMBER(SEARCH(MAP_TNHN!B83&amp;" (2 tiết)",'PL12'!$S$17)),1,0)+IF(ISNUMBER(SEARCH(MAP_TNHN!B83&amp;" (2 tiết)",'PL12'!$S$18)),1,0)+IF(ISNUMBER(SEARCH(MAP_TNHN!B83&amp;" (2 tiết)",'PL12'!$S$19)),1,0))))</f>
        <v>3</v>
      </c>
      <c r="AX83">
        <f>IF(N83="",0,IF(MAP_TNHN!C83="",N83*3,N83*3-2*(IF(ISNUMBER(SEARCH(MAP_TNHN!C83&amp;" (1 tiết)",'PL11'!$S$5)),1,0)+IF(ISNUMBER(SEARCH(MAP_TNHN!C83&amp;" (1 tiết)",'PL11'!$S$6)),1,0)+IF(ISNUMBER(SEARCH(MAP_TNHN!C83&amp;" (1 tiết)",'PL11'!$S$7)),1,0)+IF(ISNUMBER(SEARCH(MAP_TNHN!C83&amp;" (1 tiết)",'PL11'!$S$8)),1,0)+IF(ISNUMBER(SEARCH(MAP_TNHN!C83&amp;" (1 tiết)",'PL11'!$S$9)),1,0)+IF(ISNUMBER(SEARCH(MAP_TNHN!C83&amp;" (1 tiết)",'PL11'!$S$10)),1,0)+IF(ISNUMBER(SEARCH(MAP_TNHN!C83&amp;" (1 tiết)",'PL11'!$S$11)),1,0)+IF(ISNUMBER(SEARCH(MAP_TNHN!C83&amp;" (1 tiết)",'PL11'!$S$12)),1,0)+IF(ISNUMBER(SEARCH(MAP_TNHN!C83&amp;" (1 tiết)",'PL11'!$S$13)),1,0)+IF(ISNUMBER(SEARCH(MAP_TNHN!C83&amp;" (1 tiết)",'PL11'!$S$14)),1,0)+IF(ISNUMBER(SEARCH(MAP_TNHN!C83&amp;" (1 tiết)",'PL11'!$S$15)),1,0)+IF(ISNUMBER(SEARCH(MAP_TNHN!C83&amp;" (1 tiết)",'PL11'!$S$16)),1,0)+IF(ISNUMBER(SEARCH(MAP_TNHN!C83&amp;" (1 tiết)",'PL11'!$S$17)),1,0)+IF(ISNUMBER(SEARCH(MAP_TNHN!C83&amp;" (1 tiết)",'PL11'!$S$18)),1,0))-(IF(ISNUMBER(SEARCH(MAP_TNHN!C83&amp;" (2 tiết)",'PL11'!$S$5)),1,0)+IF(ISNUMBER(SEARCH(MAP_TNHN!C83&amp;" (2 tiết)",'PL11'!$S$6)),1,0)+IF(ISNUMBER(SEARCH(MAP_TNHN!C83&amp;" (2 tiết)",'PL11'!$S$7)),1,0)+IF(ISNUMBER(SEARCH(MAP_TNHN!C83&amp;" (2 tiết)",'PL11'!$S$8)),1,0)+IF(ISNUMBER(SEARCH(MAP_TNHN!C83&amp;" (2 tiết)",'PL11'!$S$9)),1,0)+IF(ISNUMBER(SEARCH(MAP_TNHN!C83&amp;" (2 tiết)",'PL11'!$S$10)),1,0)+IF(ISNUMBER(SEARCH(MAP_TNHN!C83&amp;" (2 tiết)",'PL11'!$S$11)),1,0)+IF(ISNUMBER(SEARCH(MAP_TNHN!C83&amp;" (2 tiết)",'PL11'!$S$12)),1,0)+IF(ISNUMBER(SEARCH(MAP_TNHN!C83&amp;" (2 tiết)",'PL11'!$S$13)),1,0)+IF(ISNUMBER(SEARCH(MAP_TNHN!C83&amp;" (2 tiết)",'PL11'!$S$14)),1,0)+IF(ISNUMBER(SEARCH(MAP_TNHN!C83&amp;" (2 tiết)",'PL11'!$S$15)),1,0)+IF(ISNUMBER(SEARCH(MAP_TNHN!C83&amp;" (2 tiết)",'PL11'!$S$16)),1,0)+IF(ISNUMBER(SEARCH(MAP_TNHN!C83&amp;" (2 tiết)",'PL11'!$S$17)),1,0)+IF(ISNUMBER(SEARCH(MAP_TNHN!C83&amp;" (2 tiết)",'PL11'!$S$18)),1,0))))</f>
        <v>0</v>
      </c>
      <c r="AY83">
        <f>IF(S83="",0,IF(MAP_TNHN!D83="",S83*3,S83*3-2*(IF(ISNUMBER(SEARCH(MAP_TNHN!D83&amp;" (1 tiết)",'PL10'!$S$5)),1,0)+IF(ISNUMBER(SEARCH(MAP_TNHN!D83&amp;" (1 tiết)",'PL10'!$S$6)),1,0)+IF(ISNUMBER(SEARCH(MAP_TNHN!D83&amp;" (1 tiết)",'PL10'!$S$7)),1,0)+IF(ISNUMBER(SEARCH(MAP_TNHN!D83&amp;" (1 tiết)",'PL10'!$S$8)),1,0)+IF(ISNUMBER(SEARCH(MAP_TNHN!D83&amp;" (1 tiết)",'PL10'!$S$9)),1,0)+IF(ISNUMBER(SEARCH(MAP_TNHN!D83&amp;" (1 tiết)",'PL10'!$S$10)),1,0)+IF(ISNUMBER(SEARCH(MAP_TNHN!D83&amp;" (1 tiết)",'PL10'!$S$11)),1,0)+IF(ISNUMBER(SEARCH(MAP_TNHN!D83&amp;" (1 tiết)",'PL10'!$S$12)),1,0)+IF(ISNUMBER(SEARCH(MAP_TNHN!D83&amp;" (1 tiết)",'PL10'!$S$13)),1,0)+IF(ISNUMBER(SEARCH(MAP_TNHN!D83&amp;" (1 tiết)",'PL10'!$S$14)),1,0)+IF(ISNUMBER(SEARCH(MAP_TNHN!D83&amp;" (1 tiết)",'PL10'!$S$15)),1,0)+IF(ISNUMBER(SEARCH(MAP_TNHN!D83&amp;" (1 tiết)",'PL10'!$S$16)),1,0)+IF(ISNUMBER(SEARCH(MAP_TNHN!D83&amp;" (1 tiết)",'PL10'!$S$17)),1,0)+IF(ISNUMBER(SEARCH(MAP_TNHN!D83&amp;" (1 tiết)",'PL10'!$S$18)),1,0)+IF(ISNUMBER(SEARCH(MAP_TNHN!D83&amp;" (1 tiết)",'PL10'!$S$19)),1,0)+IF(ISNUMBER(SEARCH(MAP_TNHN!D83&amp;" (1 tiết)",'PL10'!$S$20)),1,0)+IF(ISNUMBER(SEARCH(MAP_TNHN!D83&amp;" (1 tiết)",'PL10'!$S$21)),1,0)+IF(ISNUMBER(SEARCH(MAP_TNHN!D83&amp;" (1 tiết)",'PL10'!$S$22)),1,0)+IF(ISNUMBER(SEARCH(MAP_TNHN!D83&amp;" (1 tiết)",'PL10'!$S$23)),1,0)+IF(ISNUMBER(SEARCH(MAP_TNHN!D83&amp;" (1 tiết)",'PL10'!$S$24)),1,0)+IF(ISNUMBER(SEARCH(MAP_TNHN!D83&amp;" (1 tiết)",'PL10'!$S$25)),1,0))-(IF(ISNUMBER(SEARCH(MAP_TNHN!D83&amp;" (2 tiết)",'PL10'!$S$5)),1,0)+IF(ISNUMBER(SEARCH(MAP_TNHN!D83&amp;" (2 tiết)",'PL10'!$S$6)),1,0)+IF(ISNUMBER(SEARCH(MAP_TNHN!D83&amp;" (2 tiết)",'PL10'!$S$7)),1,0)+IF(ISNUMBER(SEARCH(MAP_TNHN!D83&amp;" (2 tiết)",'PL10'!$S$8)),1,0)+IF(ISNUMBER(SEARCH(MAP_TNHN!D83&amp;" (2 tiết)",'PL10'!$S$9)),1,0)+IF(ISNUMBER(SEARCH(MAP_TNHN!D83&amp;" (2 tiết)",'PL10'!$S$10)),1,0)+IF(ISNUMBER(SEARCH(MAP_TNHN!D83&amp;" (2 tiết)",'PL10'!$S$11)),1,0)+IF(ISNUMBER(SEARCH(MAP_TNHN!D83&amp;" (2 tiết)",'PL10'!$S$12)),1,0)+IF(ISNUMBER(SEARCH(MAP_TNHN!D83&amp;" (2 tiết)",'PL10'!$S$13)),1,0)+IF(ISNUMBER(SEARCH(MAP_TNHN!D83&amp;" (2 tiết)",'PL10'!$S$14)),1,0)+IF(ISNUMBER(SEARCH(MAP_TNHN!D83&amp;" (2 tiết)",'PL10'!$S$15)),1,0)+IF(ISNUMBER(SEARCH(MAP_TNHN!D83&amp;" (2 tiết)",'PL10'!$S$16)),1,0)+IF(ISNUMBER(SEARCH(MAP_TNHN!D83&amp;" (2 tiết)",'PL10'!$S$17)),1,0)+IF(ISNUMBER(SEARCH(MAP_TNHN!D83&amp;" (2 tiết)",'PL10'!$S$18)),1,0)+IF(ISNUMBER(SEARCH(MAP_TNHN!D83&amp;" (2 tiết)",'PL10'!$S$19)),1,0)+IF(ISNUMBER(SEARCH(MAP_TNHN!D83&amp;" (2 tiết)",'PL10'!$S$20)),1,0)+IF(ISNUMBER(SEARCH(MAP_TNHN!D83&amp;" (2 tiết)",'PL10'!$S$21)),1,0)+IF(ISNUMBER(SEARCH(MAP_TNHN!D83&amp;" (2 tiết)",'PL10'!$S$22)),1,0)+IF(ISNUMBER(SEARCH(MAP_TNHN!D83&amp;" (2 tiết)",'PL10'!$S$23)),1,0)+IF(ISNUMBER(SEARCH(MAP_TNHN!D83&amp;" (2 tiết)",'PL10'!$S$24)),1,0)+IF(ISNUMBER(SEARCH(MAP_TNHN!D83&amp;" (2 tiết)",'PL10'!$S$25)),1,0))))</f>
        <v>0</v>
      </c>
    </row>
    <row r="84" spans="1:51" ht="30" x14ac:dyDescent="0.35">
      <c r="A84" s="311"/>
      <c r="B84" s="8">
        <v>4</v>
      </c>
      <c r="C84" s="9" t="s">
        <v>196</v>
      </c>
      <c r="D84" s="20">
        <v>10</v>
      </c>
      <c r="E84" s="10">
        <v>2</v>
      </c>
      <c r="F84" s="10"/>
      <c r="G84" s="10">
        <v>2</v>
      </c>
      <c r="H84" s="10">
        <v>2</v>
      </c>
      <c r="I84" s="159">
        <v>1</v>
      </c>
      <c r="J84" s="10"/>
      <c r="K84" s="6"/>
      <c r="L84" s="6"/>
      <c r="M84" s="6"/>
      <c r="N84" s="139"/>
      <c r="O84" s="6"/>
      <c r="P84" s="42">
        <v>1</v>
      </c>
      <c r="Q84" s="42">
        <v>1</v>
      </c>
      <c r="R84" s="42"/>
      <c r="S84" s="166">
        <v>1</v>
      </c>
      <c r="T84" s="42"/>
      <c r="U84" s="11">
        <f>E84*'Phân tiết'!$M$6+G84*('Phân tiết'!$M$21/3)+H84*'Phân tiết'!$L$26+AW84+J84*'Phân tiết'!$M$20+K84*'Phân tiết'!$I$6+M84*('Phân tiết'!$I$21/3)+AX84+O84*'Phân tiết'!$I$20+P84*'Phân tiết'!$E$6+R84*('Phân tiết'!$E$21/3)+AY84+T84*'Phân tiết'!$E$20</f>
        <v>18</v>
      </c>
      <c r="V84" s="8">
        <f t="shared" si="28"/>
        <v>4</v>
      </c>
      <c r="W84" s="6"/>
      <c r="X84" s="6"/>
      <c r="Y84" s="8"/>
      <c r="Z84" s="43">
        <f t="shared" si="29"/>
        <v>22</v>
      </c>
      <c r="AA84" s="34">
        <f t="shared" si="30"/>
        <v>5</v>
      </c>
      <c r="AB84" s="8"/>
      <c r="AC84" s="8"/>
      <c r="AD84" s="6">
        <f t="shared" si="25"/>
        <v>0</v>
      </c>
      <c r="AE84" s="8">
        <v>2</v>
      </c>
      <c r="AF84" s="8">
        <v>15</v>
      </c>
      <c r="AG84" s="6">
        <f t="shared" si="26"/>
        <v>45</v>
      </c>
      <c r="AH84" s="8"/>
      <c r="AI84" s="8"/>
      <c r="AJ84" s="6">
        <f t="shared" si="31"/>
        <v>0</v>
      </c>
      <c r="AK84" s="6">
        <f t="shared" si="27"/>
        <v>210</v>
      </c>
      <c r="AL84" s="8"/>
      <c r="AM84" s="8" t="s">
        <v>52</v>
      </c>
      <c r="AN84" s="8" t="s">
        <v>191</v>
      </c>
      <c r="AO84" s="8"/>
      <c r="AP84" s="8"/>
      <c r="AQ84" s="8" t="s">
        <v>46</v>
      </c>
      <c r="AR84" s="8"/>
      <c r="AS84" s="8"/>
      <c r="AT84" s="8" t="s">
        <v>46</v>
      </c>
      <c r="AU84" s="8" t="s">
        <v>84</v>
      </c>
      <c r="AV84" s="8"/>
      <c r="AW84">
        <f>IF(I84="",0,IF(MAP_TNHN!B84="",I84*3,I84*3-2*(IF(ISNUMBER(SEARCH(MAP_TNHN!B84&amp;" (1 tiết)",'PL12'!$S$5)),1,0)+IF(ISNUMBER(SEARCH(MAP_TNHN!B84&amp;" (1 tiết)",'PL12'!$S$6)),1,0)+IF(ISNUMBER(SEARCH(MAP_TNHN!B84&amp;" (1 tiết)",'PL12'!$S$7)),1,0)+IF(ISNUMBER(SEARCH(MAP_TNHN!B84&amp;" (1 tiết)",'PL12'!$S$8)),1,0)+IF(ISNUMBER(SEARCH(MAP_TNHN!B84&amp;" (1 tiết)",'PL12'!$S$9)),1,0)+IF(ISNUMBER(SEARCH(MAP_TNHN!B84&amp;" (1 tiết)",'PL12'!$S$10)),1,0)+IF(ISNUMBER(SEARCH(MAP_TNHN!B84&amp;" (1 tiết)",'PL12'!$S$11)),1,0)+IF(ISNUMBER(SEARCH(MAP_TNHN!B84&amp;" (1 tiết)",'PL12'!$S$12)),1,0)+IF(ISNUMBER(SEARCH(MAP_TNHN!B84&amp;" (1 tiết)",'PL12'!$S$13)),1,0)+IF(ISNUMBER(SEARCH(MAP_TNHN!B84&amp;" (1 tiết)",'PL12'!$S$14)),1,0)+IF(ISNUMBER(SEARCH(MAP_TNHN!B84&amp;" (1 tiết)",'PL12'!$S$15)),1,0)+IF(ISNUMBER(SEARCH(MAP_TNHN!B84&amp;" (1 tiết)",'PL12'!$S$16)),1,0)+IF(ISNUMBER(SEARCH(MAP_TNHN!B84&amp;" (1 tiết)",'PL12'!$S$17)),1,0)+IF(ISNUMBER(SEARCH(MAP_TNHN!B84&amp;" (1 tiết)",'PL12'!$S$18)),1,0)+IF(ISNUMBER(SEARCH(MAP_TNHN!B84&amp;" (1 tiết)",'PL12'!$S$19)),1,0))-(IF(ISNUMBER(SEARCH(MAP_TNHN!B84&amp;" (2 tiết)",'PL12'!$S$5)),1,0)+IF(ISNUMBER(SEARCH(MAP_TNHN!B84&amp;" (2 tiết)",'PL12'!$S$6)),1,0)+IF(ISNUMBER(SEARCH(MAP_TNHN!B84&amp;" (2 tiết)",'PL12'!$S$7)),1,0)+IF(ISNUMBER(SEARCH(MAP_TNHN!B84&amp;" (2 tiết)",'PL12'!$S$8)),1,0)+IF(ISNUMBER(SEARCH(MAP_TNHN!B84&amp;" (2 tiết)",'PL12'!$S$9)),1,0)+IF(ISNUMBER(SEARCH(MAP_TNHN!B84&amp;" (2 tiết)",'PL12'!$S$10)),1,0)+IF(ISNUMBER(SEARCH(MAP_TNHN!B84&amp;" (2 tiết)",'PL12'!$S$11)),1,0)+IF(ISNUMBER(SEARCH(MAP_TNHN!B84&amp;" (2 tiết)",'PL12'!$S$12)),1,0)+IF(ISNUMBER(SEARCH(MAP_TNHN!B84&amp;" (2 tiết)",'PL12'!$S$13)),1,0)+IF(ISNUMBER(SEARCH(MAP_TNHN!B84&amp;" (2 tiết)",'PL12'!$S$14)),1,0)+IF(ISNUMBER(SEARCH(MAP_TNHN!B84&amp;" (2 tiết)",'PL12'!$S$15)),1,0)+IF(ISNUMBER(SEARCH(MAP_TNHN!B84&amp;" (2 tiết)",'PL12'!$S$16)),1,0)+IF(ISNUMBER(SEARCH(MAP_TNHN!B84&amp;" (2 tiết)",'PL12'!$S$17)),1,0)+IF(ISNUMBER(SEARCH(MAP_TNHN!B84&amp;" (2 tiết)",'PL12'!$S$18)),1,0)+IF(ISNUMBER(SEARCH(MAP_TNHN!B84&amp;" (2 tiết)",'PL12'!$S$19)),1,0))))</f>
        <v>2</v>
      </c>
      <c r="AX84">
        <f>IF(N84="",0,IF(MAP_TNHN!C84="",N84*3,N84*3-2*(IF(ISNUMBER(SEARCH(MAP_TNHN!C84&amp;" (1 tiết)",'PL11'!$S$5)),1,0)+IF(ISNUMBER(SEARCH(MAP_TNHN!C84&amp;" (1 tiết)",'PL11'!$S$6)),1,0)+IF(ISNUMBER(SEARCH(MAP_TNHN!C84&amp;" (1 tiết)",'PL11'!$S$7)),1,0)+IF(ISNUMBER(SEARCH(MAP_TNHN!C84&amp;" (1 tiết)",'PL11'!$S$8)),1,0)+IF(ISNUMBER(SEARCH(MAP_TNHN!C84&amp;" (1 tiết)",'PL11'!$S$9)),1,0)+IF(ISNUMBER(SEARCH(MAP_TNHN!C84&amp;" (1 tiết)",'PL11'!$S$10)),1,0)+IF(ISNUMBER(SEARCH(MAP_TNHN!C84&amp;" (1 tiết)",'PL11'!$S$11)),1,0)+IF(ISNUMBER(SEARCH(MAP_TNHN!C84&amp;" (1 tiết)",'PL11'!$S$12)),1,0)+IF(ISNUMBER(SEARCH(MAP_TNHN!C84&amp;" (1 tiết)",'PL11'!$S$13)),1,0)+IF(ISNUMBER(SEARCH(MAP_TNHN!C84&amp;" (1 tiết)",'PL11'!$S$14)),1,0)+IF(ISNUMBER(SEARCH(MAP_TNHN!C84&amp;" (1 tiết)",'PL11'!$S$15)),1,0)+IF(ISNUMBER(SEARCH(MAP_TNHN!C84&amp;" (1 tiết)",'PL11'!$S$16)),1,0)+IF(ISNUMBER(SEARCH(MAP_TNHN!C84&amp;" (1 tiết)",'PL11'!$S$17)),1,0)+IF(ISNUMBER(SEARCH(MAP_TNHN!C84&amp;" (1 tiết)",'PL11'!$S$18)),1,0))-(IF(ISNUMBER(SEARCH(MAP_TNHN!C84&amp;" (2 tiết)",'PL11'!$S$5)),1,0)+IF(ISNUMBER(SEARCH(MAP_TNHN!C84&amp;" (2 tiết)",'PL11'!$S$6)),1,0)+IF(ISNUMBER(SEARCH(MAP_TNHN!C84&amp;" (2 tiết)",'PL11'!$S$7)),1,0)+IF(ISNUMBER(SEARCH(MAP_TNHN!C84&amp;" (2 tiết)",'PL11'!$S$8)),1,0)+IF(ISNUMBER(SEARCH(MAP_TNHN!C84&amp;" (2 tiết)",'PL11'!$S$9)),1,0)+IF(ISNUMBER(SEARCH(MAP_TNHN!C84&amp;" (2 tiết)",'PL11'!$S$10)),1,0)+IF(ISNUMBER(SEARCH(MAP_TNHN!C84&amp;" (2 tiết)",'PL11'!$S$11)),1,0)+IF(ISNUMBER(SEARCH(MAP_TNHN!C84&amp;" (2 tiết)",'PL11'!$S$12)),1,0)+IF(ISNUMBER(SEARCH(MAP_TNHN!C84&amp;" (2 tiết)",'PL11'!$S$13)),1,0)+IF(ISNUMBER(SEARCH(MAP_TNHN!C84&amp;" (2 tiết)",'PL11'!$S$14)),1,0)+IF(ISNUMBER(SEARCH(MAP_TNHN!C84&amp;" (2 tiết)",'PL11'!$S$15)),1,0)+IF(ISNUMBER(SEARCH(MAP_TNHN!C84&amp;" (2 tiết)",'PL11'!$S$16)),1,0)+IF(ISNUMBER(SEARCH(MAP_TNHN!C84&amp;" (2 tiết)",'PL11'!$S$17)),1,0)+IF(ISNUMBER(SEARCH(MAP_TNHN!C84&amp;" (2 tiết)",'PL11'!$S$18)),1,0))))</f>
        <v>0</v>
      </c>
      <c r="AY84">
        <f>IF(S84="",0,IF(MAP_TNHN!D84="",S84*3,S84*3-2*(IF(ISNUMBER(SEARCH(MAP_TNHN!D84&amp;" (1 tiết)",'PL10'!$S$5)),1,0)+IF(ISNUMBER(SEARCH(MAP_TNHN!D84&amp;" (1 tiết)",'PL10'!$S$6)),1,0)+IF(ISNUMBER(SEARCH(MAP_TNHN!D84&amp;" (1 tiết)",'PL10'!$S$7)),1,0)+IF(ISNUMBER(SEARCH(MAP_TNHN!D84&amp;" (1 tiết)",'PL10'!$S$8)),1,0)+IF(ISNUMBER(SEARCH(MAP_TNHN!D84&amp;" (1 tiết)",'PL10'!$S$9)),1,0)+IF(ISNUMBER(SEARCH(MAP_TNHN!D84&amp;" (1 tiết)",'PL10'!$S$10)),1,0)+IF(ISNUMBER(SEARCH(MAP_TNHN!D84&amp;" (1 tiết)",'PL10'!$S$11)),1,0)+IF(ISNUMBER(SEARCH(MAP_TNHN!D84&amp;" (1 tiết)",'PL10'!$S$12)),1,0)+IF(ISNUMBER(SEARCH(MAP_TNHN!D84&amp;" (1 tiết)",'PL10'!$S$13)),1,0)+IF(ISNUMBER(SEARCH(MAP_TNHN!D84&amp;" (1 tiết)",'PL10'!$S$14)),1,0)+IF(ISNUMBER(SEARCH(MAP_TNHN!D84&amp;" (1 tiết)",'PL10'!$S$15)),1,0)+IF(ISNUMBER(SEARCH(MAP_TNHN!D84&amp;" (1 tiết)",'PL10'!$S$16)),1,0)+IF(ISNUMBER(SEARCH(MAP_TNHN!D84&amp;" (1 tiết)",'PL10'!$S$17)),1,0)+IF(ISNUMBER(SEARCH(MAP_TNHN!D84&amp;" (1 tiết)",'PL10'!$S$18)),1,0)+IF(ISNUMBER(SEARCH(MAP_TNHN!D84&amp;" (1 tiết)",'PL10'!$S$19)),1,0)+IF(ISNUMBER(SEARCH(MAP_TNHN!D84&amp;" (1 tiết)",'PL10'!$S$20)),1,0)+IF(ISNUMBER(SEARCH(MAP_TNHN!D84&amp;" (1 tiết)",'PL10'!$S$21)),1,0)+IF(ISNUMBER(SEARCH(MAP_TNHN!D84&amp;" (1 tiết)",'PL10'!$S$22)),1,0)+IF(ISNUMBER(SEARCH(MAP_TNHN!D84&amp;" (1 tiết)",'PL10'!$S$23)),1,0)+IF(ISNUMBER(SEARCH(MAP_TNHN!D84&amp;" (1 tiết)",'PL10'!$S$24)),1,0)+IF(ISNUMBER(SEARCH(MAP_TNHN!D84&amp;" (1 tiết)",'PL10'!$S$25)),1,0))-(IF(ISNUMBER(SEARCH(MAP_TNHN!D84&amp;" (2 tiết)",'PL10'!$S$5)),1,0)+IF(ISNUMBER(SEARCH(MAP_TNHN!D84&amp;" (2 tiết)",'PL10'!$S$6)),1,0)+IF(ISNUMBER(SEARCH(MAP_TNHN!D84&amp;" (2 tiết)",'PL10'!$S$7)),1,0)+IF(ISNUMBER(SEARCH(MAP_TNHN!D84&amp;" (2 tiết)",'PL10'!$S$8)),1,0)+IF(ISNUMBER(SEARCH(MAP_TNHN!D84&amp;" (2 tiết)",'PL10'!$S$9)),1,0)+IF(ISNUMBER(SEARCH(MAP_TNHN!D84&amp;" (2 tiết)",'PL10'!$S$10)),1,0)+IF(ISNUMBER(SEARCH(MAP_TNHN!D84&amp;" (2 tiết)",'PL10'!$S$11)),1,0)+IF(ISNUMBER(SEARCH(MAP_TNHN!D84&amp;" (2 tiết)",'PL10'!$S$12)),1,0)+IF(ISNUMBER(SEARCH(MAP_TNHN!D84&amp;" (2 tiết)",'PL10'!$S$13)),1,0)+IF(ISNUMBER(SEARCH(MAP_TNHN!D84&amp;" (2 tiết)",'PL10'!$S$14)),1,0)+IF(ISNUMBER(SEARCH(MAP_TNHN!D84&amp;" (2 tiết)",'PL10'!$S$15)),1,0)+IF(ISNUMBER(SEARCH(MAP_TNHN!D84&amp;" (2 tiết)",'PL10'!$S$16)),1,0)+IF(ISNUMBER(SEARCH(MAP_TNHN!D84&amp;" (2 tiết)",'PL10'!$S$17)),1,0)+IF(ISNUMBER(SEARCH(MAP_TNHN!D84&amp;" (2 tiết)",'PL10'!$S$18)),1,0)+IF(ISNUMBER(SEARCH(MAP_TNHN!D84&amp;" (2 tiết)",'PL10'!$S$19)),1,0)+IF(ISNUMBER(SEARCH(MAP_TNHN!D84&amp;" (2 tiết)",'PL10'!$S$20)),1,0)+IF(ISNUMBER(SEARCH(MAP_TNHN!D84&amp;" (2 tiết)",'PL10'!$S$21)),1,0)+IF(ISNUMBER(SEARCH(MAP_TNHN!D84&amp;" (2 tiết)",'PL10'!$S$22)),1,0)+IF(ISNUMBER(SEARCH(MAP_TNHN!D84&amp;" (2 tiết)",'PL10'!$S$23)),1,0)+IF(ISNUMBER(SEARCH(MAP_TNHN!D84&amp;" (2 tiết)",'PL10'!$S$24)),1,0)+IF(ISNUMBER(SEARCH(MAP_TNHN!D84&amp;" (2 tiết)",'PL10'!$S$25)),1,0))))</f>
        <v>1</v>
      </c>
    </row>
    <row r="85" spans="1:51" x14ac:dyDescent="0.35">
      <c r="A85" s="311"/>
      <c r="B85" s="8">
        <v>5</v>
      </c>
      <c r="C85" s="9" t="s">
        <v>197</v>
      </c>
      <c r="D85" s="20">
        <v>12</v>
      </c>
      <c r="E85" s="10">
        <v>2</v>
      </c>
      <c r="F85" s="10">
        <v>1</v>
      </c>
      <c r="G85" s="10">
        <v>1</v>
      </c>
      <c r="H85" s="10">
        <v>2</v>
      </c>
      <c r="I85" s="159">
        <v>1</v>
      </c>
      <c r="J85" s="10"/>
      <c r="K85" s="6"/>
      <c r="L85" s="6"/>
      <c r="M85" s="6"/>
      <c r="N85" s="139"/>
      <c r="O85" s="6"/>
      <c r="P85" s="42">
        <v>1</v>
      </c>
      <c r="Q85" s="42"/>
      <c r="R85" s="42"/>
      <c r="S85" s="138"/>
      <c r="T85" s="42"/>
      <c r="U85" s="11">
        <f>E85*'Phân tiết'!$M$6+G85*('Phân tiết'!$M$21/3)+H85*'Phân tiết'!$L$26+AW85+J85*'Phân tiết'!$M$20+K85*'Phân tiết'!$I$6+M85*('Phân tiết'!$I$21/3)+AX85+O85*'Phân tiết'!$I$20+P85*'Phân tiết'!$E$6+R85*('Phân tiết'!$E$21/3)+AY85+T85*'Phân tiết'!$E$20</f>
        <v>17</v>
      </c>
      <c r="V85" s="8">
        <f t="shared" si="28"/>
        <v>4</v>
      </c>
      <c r="W85" s="6" t="s">
        <v>51</v>
      </c>
      <c r="X85" s="6"/>
      <c r="Y85" s="8">
        <v>1</v>
      </c>
      <c r="Z85" s="43">
        <f t="shared" si="29"/>
        <v>22</v>
      </c>
      <c r="AA85" s="34">
        <f t="shared" si="30"/>
        <v>5</v>
      </c>
      <c r="AB85" s="8"/>
      <c r="AC85" s="8"/>
      <c r="AD85" s="6">
        <f t="shared" si="25"/>
        <v>0</v>
      </c>
      <c r="AE85" s="8">
        <v>2</v>
      </c>
      <c r="AF85" s="8">
        <v>15</v>
      </c>
      <c r="AG85" s="6">
        <f t="shared" si="26"/>
        <v>45</v>
      </c>
      <c r="AH85" s="8"/>
      <c r="AI85" s="8"/>
      <c r="AJ85" s="6">
        <f t="shared" si="31"/>
        <v>0</v>
      </c>
      <c r="AK85" s="6">
        <f t="shared" si="27"/>
        <v>210</v>
      </c>
      <c r="AL85" s="8"/>
      <c r="AM85" s="8"/>
      <c r="AN85" s="8"/>
      <c r="AO85" s="8" t="s">
        <v>46</v>
      </c>
      <c r="AP85" s="8" t="s">
        <v>46</v>
      </c>
      <c r="AQ85" s="8" t="s">
        <v>46</v>
      </c>
      <c r="AR85" s="8" t="s">
        <v>46</v>
      </c>
      <c r="AS85" s="8"/>
      <c r="AT85" s="8" t="s">
        <v>46</v>
      </c>
      <c r="AU85" s="8" t="s">
        <v>84</v>
      </c>
      <c r="AV85" s="8" t="s">
        <v>194</v>
      </c>
      <c r="AW85">
        <f>IF(I85="",0,IF(MAP_TNHN!B85="",I85*3,I85*3-2*(IF(ISNUMBER(SEARCH(MAP_TNHN!B85&amp;" (1 tiết)",'PL12'!$S$5)),1,0)+IF(ISNUMBER(SEARCH(MAP_TNHN!B85&amp;" (1 tiết)",'PL12'!$S$6)),1,0)+IF(ISNUMBER(SEARCH(MAP_TNHN!B85&amp;" (1 tiết)",'PL12'!$S$7)),1,0)+IF(ISNUMBER(SEARCH(MAP_TNHN!B85&amp;" (1 tiết)",'PL12'!$S$8)),1,0)+IF(ISNUMBER(SEARCH(MAP_TNHN!B85&amp;" (1 tiết)",'PL12'!$S$9)),1,0)+IF(ISNUMBER(SEARCH(MAP_TNHN!B85&amp;" (1 tiết)",'PL12'!$S$10)),1,0)+IF(ISNUMBER(SEARCH(MAP_TNHN!B85&amp;" (1 tiết)",'PL12'!$S$11)),1,0)+IF(ISNUMBER(SEARCH(MAP_TNHN!B85&amp;" (1 tiết)",'PL12'!$S$12)),1,0)+IF(ISNUMBER(SEARCH(MAP_TNHN!B85&amp;" (1 tiết)",'PL12'!$S$13)),1,0)+IF(ISNUMBER(SEARCH(MAP_TNHN!B85&amp;" (1 tiết)",'PL12'!$S$14)),1,0)+IF(ISNUMBER(SEARCH(MAP_TNHN!B85&amp;" (1 tiết)",'PL12'!$S$15)),1,0)+IF(ISNUMBER(SEARCH(MAP_TNHN!B85&amp;" (1 tiết)",'PL12'!$S$16)),1,0)+IF(ISNUMBER(SEARCH(MAP_TNHN!B85&amp;" (1 tiết)",'PL12'!$S$17)),1,0)+IF(ISNUMBER(SEARCH(MAP_TNHN!B85&amp;" (1 tiết)",'PL12'!$S$18)),1,0)+IF(ISNUMBER(SEARCH(MAP_TNHN!B85&amp;" (1 tiết)",'PL12'!$S$19)),1,0))-(IF(ISNUMBER(SEARCH(MAP_TNHN!B85&amp;" (2 tiết)",'PL12'!$S$5)),1,0)+IF(ISNUMBER(SEARCH(MAP_TNHN!B85&amp;" (2 tiết)",'PL12'!$S$6)),1,0)+IF(ISNUMBER(SEARCH(MAP_TNHN!B85&amp;" (2 tiết)",'PL12'!$S$7)),1,0)+IF(ISNUMBER(SEARCH(MAP_TNHN!B85&amp;" (2 tiết)",'PL12'!$S$8)),1,0)+IF(ISNUMBER(SEARCH(MAP_TNHN!B85&amp;" (2 tiết)",'PL12'!$S$9)),1,0)+IF(ISNUMBER(SEARCH(MAP_TNHN!B85&amp;" (2 tiết)",'PL12'!$S$10)),1,0)+IF(ISNUMBER(SEARCH(MAP_TNHN!B85&amp;" (2 tiết)",'PL12'!$S$11)),1,0)+IF(ISNUMBER(SEARCH(MAP_TNHN!B85&amp;" (2 tiết)",'PL12'!$S$12)),1,0)+IF(ISNUMBER(SEARCH(MAP_TNHN!B85&amp;" (2 tiết)",'PL12'!$S$13)),1,0)+IF(ISNUMBER(SEARCH(MAP_TNHN!B85&amp;" (2 tiết)",'PL12'!$S$14)),1,0)+IF(ISNUMBER(SEARCH(MAP_TNHN!B85&amp;" (2 tiết)",'PL12'!$S$15)),1,0)+IF(ISNUMBER(SEARCH(MAP_TNHN!B85&amp;" (2 tiết)",'PL12'!$S$16)),1,0)+IF(ISNUMBER(SEARCH(MAP_TNHN!B85&amp;" (2 tiết)",'PL12'!$S$17)),1,0)+IF(ISNUMBER(SEARCH(MAP_TNHN!B85&amp;" (2 tiết)",'PL12'!$S$18)),1,0)+IF(ISNUMBER(SEARCH(MAP_TNHN!B85&amp;" (2 tiết)",'PL12'!$S$19)),1,0))))</f>
        <v>3</v>
      </c>
      <c r="AX85">
        <f>IF(N85="",0,IF(MAP_TNHN!C85="",N85*3,N85*3-2*(IF(ISNUMBER(SEARCH(MAP_TNHN!C85&amp;" (1 tiết)",'PL11'!$S$5)),1,0)+IF(ISNUMBER(SEARCH(MAP_TNHN!C85&amp;" (1 tiết)",'PL11'!$S$6)),1,0)+IF(ISNUMBER(SEARCH(MAP_TNHN!C85&amp;" (1 tiết)",'PL11'!$S$7)),1,0)+IF(ISNUMBER(SEARCH(MAP_TNHN!C85&amp;" (1 tiết)",'PL11'!$S$8)),1,0)+IF(ISNUMBER(SEARCH(MAP_TNHN!C85&amp;" (1 tiết)",'PL11'!$S$9)),1,0)+IF(ISNUMBER(SEARCH(MAP_TNHN!C85&amp;" (1 tiết)",'PL11'!$S$10)),1,0)+IF(ISNUMBER(SEARCH(MAP_TNHN!C85&amp;" (1 tiết)",'PL11'!$S$11)),1,0)+IF(ISNUMBER(SEARCH(MAP_TNHN!C85&amp;" (1 tiết)",'PL11'!$S$12)),1,0)+IF(ISNUMBER(SEARCH(MAP_TNHN!C85&amp;" (1 tiết)",'PL11'!$S$13)),1,0)+IF(ISNUMBER(SEARCH(MAP_TNHN!C85&amp;" (1 tiết)",'PL11'!$S$14)),1,0)+IF(ISNUMBER(SEARCH(MAP_TNHN!C85&amp;" (1 tiết)",'PL11'!$S$15)),1,0)+IF(ISNUMBER(SEARCH(MAP_TNHN!C85&amp;" (1 tiết)",'PL11'!$S$16)),1,0)+IF(ISNUMBER(SEARCH(MAP_TNHN!C85&amp;" (1 tiết)",'PL11'!$S$17)),1,0)+IF(ISNUMBER(SEARCH(MAP_TNHN!C85&amp;" (1 tiết)",'PL11'!$S$18)),1,0))-(IF(ISNUMBER(SEARCH(MAP_TNHN!C85&amp;" (2 tiết)",'PL11'!$S$5)),1,0)+IF(ISNUMBER(SEARCH(MAP_TNHN!C85&amp;" (2 tiết)",'PL11'!$S$6)),1,0)+IF(ISNUMBER(SEARCH(MAP_TNHN!C85&amp;" (2 tiết)",'PL11'!$S$7)),1,0)+IF(ISNUMBER(SEARCH(MAP_TNHN!C85&amp;" (2 tiết)",'PL11'!$S$8)),1,0)+IF(ISNUMBER(SEARCH(MAP_TNHN!C85&amp;" (2 tiết)",'PL11'!$S$9)),1,0)+IF(ISNUMBER(SEARCH(MAP_TNHN!C85&amp;" (2 tiết)",'PL11'!$S$10)),1,0)+IF(ISNUMBER(SEARCH(MAP_TNHN!C85&amp;" (2 tiết)",'PL11'!$S$11)),1,0)+IF(ISNUMBER(SEARCH(MAP_TNHN!C85&amp;" (2 tiết)",'PL11'!$S$12)),1,0)+IF(ISNUMBER(SEARCH(MAP_TNHN!C85&amp;" (2 tiết)",'PL11'!$S$13)),1,0)+IF(ISNUMBER(SEARCH(MAP_TNHN!C85&amp;" (2 tiết)",'PL11'!$S$14)),1,0)+IF(ISNUMBER(SEARCH(MAP_TNHN!C85&amp;" (2 tiết)",'PL11'!$S$15)),1,0)+IF(ISNUMBER(SEARCH(MAP_TNHN!C85&amp;" (2 tiết)",'PL11'!$S$16)),1,0)+IF(ISNUMBER(SEARCH(MAP_TNHN!C85&amp;" (2 tiết)",'PL11'!$S$17)),1,0)+IF(ISNUMBER(SEARCH(MAP_TNHN!C85&amp;" (2 tiết)",'PL11'!$S$18)),1,0))))</f>
        <v>0</v>
      </c>
      <c r="AY85">
        <f>IF(S85="",0,IF(MAP_TNHN!D85="",S85*3,S85*3-2*(IF(ISNUMBER(SEARCH(MAP_TNHN!D85&amp;" (1 tiết)",'PL10'!$S$5)),1,0)+IF(ISNUMBER(SEARCH(MAP_TNHN!D85&amp;" (1 tiết)",'PL10'!$S$6)),1,0)+IF(ISNUMBER(SEARCH(MAP_TNHN!D85&amp;" (1 tiết)",'PL10'!$S$7)),1,0)+IF(ISNUMBER(SEARCH(MAP_TNHN!D85&amp;" (1 tiết)",'PL10'!$S$8)),1,0)+IF(ISNUMBER(SEARCH(MAP_TNHN!D85&amp;" (1 tiết)",'PL10'!$S$9)),1,0)+IF(ISNUMBER(SEARCH(MAP_TNHN!D85&amp;" (1 tiết)",'PL10'!$S$10)),1,0)+IF(ISNUMBER(SEARCH(MAP_TNHN!D85&amp;" (1 tiết)",'PL10'!$S$11)),1,0)+IF(ISNUMBER(SEARCH(MAP_TNHN!D85&amp;" (1 tiết)",'PL10'!$S$12)),1,0)+IF(ISNUMBER(SEARCH(MAP_TNHN!D85&amp;" (1 tiết)",'PL10'!$S$13)),1,0)+IF(ISNUMBER(SEARCH(MAP_TNHN!D85&amp;" (1 tiết)",'PL10'!$S$14)),1,0)+IF(ISNUMBER(SEARCH(MAP_TNHN!D85&amp;" (1 tiết)",'PL10'!$S$15)),1,0)+IF(ISNUMBER(SEARCH(MAP_TNHN!D85&amp;" (1 tiết)",'PL10'!$S$16)),1,0)+IF(ISNUMBER(SEARCH(MAP_TNHN!D85&amp;" (1 tiết)",'PL10'!$S$17)),1,0)+IF(ISNUMBER(SEARCH(MAP_TNHN!D85&amp;" (1 tiết)",'PL10'!$S$18)),1,0)+IF(ISNUMBER(SEARCH(MAP_TNHN!D85&amp;" (1 tiết)",'PL10'!$S$19)),1,0)+IF(ISNUMBER(SEARCH(MAP_TNHN!D85&amp;" (1 tiết)",'PL10'!$S$20)),1,0)+IF(ISNUMBER(SEARCH(MAP_TNHN!D85&amp;" (1 tiết)",'PL10'!$S$21)),1,0)+IF(ISNUMBER(SEARCH(MAP_TNHN!D85&amp;" (1 tiết)",'PL10'!$S$22)),1,0)+IF(ISNUMBER(SEARCH(MAP_TNHN!D85&amp;" (1 tiết)",'PL10'!$S$23)),1,0)+IF(ISNUMBER(SEARCH(MAP_TNHN!D85&amp;" (1 tiết)",'PL10'!$S$24)),1,0)+IF(ISNUMBER(SEARCH(MAP_TNHN!D85&amp;" (1 tiết)",'PL10'!$S$25)),1,0))-(IF(ISNUMBER(SEARCH(MAP_TNHN!D85&amp;" (2 tiết)",'PL10'!$S$5)),1,0)+IF(ISNUMBER(SEARCH(MAP_TNHN!D85&amp;" (2 tiết)",'PL10'!$S$6)),1,0)+IF(ISNUMBER(SEARCH(MAP_TNHN!D85&amp;" (2 tiết)",'PL10'!$S$7)),1,0)+IF(ISNUMBER(SEARCH(MAP_TNHN!D85&amp;" (2 tiết)",'PL10'!$S$8)),1,0)+IF(ISNUMBER(SEARCH(MAP_TNHN!D85&amp;" (2 tiết)",'PL10'!$S$9)),1,0)+IF(ISNUMBER(SEARCH(MAP_TNHN!D85&amp;" (2 tiết)",'PL10'!$S$10)),1,0)+IF(ISNUMBER(SEARCH(MAP_TNHN!D85&amp;" (2 tiết)",'PL10'!$S$11)),1,0)+IF(ISNUMBER(SEARCH(MAP_TNHN!D85&amp;" (2 tiết)",'PL10'!$S$12)),1,0)+IF(ISNUMBER(SEARCH(MAP_TNHN!D85&amp;" (2 tiết)",'PL10'!$S$13)),1,0)+IF(ISNUMBER(SEARCH(MAP_TNHN!D85&amp;" (2 tiết)",'PL10'!$S$14)),1,0)+IF(ISNUMBER(SEARCH(MAP_TNHN!D85&amp;" (2 tiết)",'PL10'!$S$15)),1,0)+IF(ISNUMBER(SEARCH(MAP_TNHN!D85&amp;" (2 tiết)",'PL10'!$S$16)),1,0)+IF(ISNUMBER(SEARCH(MAP_TNHN!D85&amp;" (2 tiết)",'PL10'!$S$17)),1,0)+IF(ISNUMBER(SEARCH(MAP_TNHN!D85&amp;" (2 tiết)",'PL10'!$S$18)),1,0)+IF(ISNUMBER(SEARCH(MAP_TNHN!D85&amp;" (2 tiết)",'PL10'!$S$19)),1,0)+IF(ISNUMBER(SEARCH(MAP_TNHN!D85&amp;" (2 tiết)",'PL10'!$S$20)),1,0)+IF(ISNUMBER(SEARCH(MAP_TNHN!D85&amp;" (2 tiết)",'PL10'!$S$21)),1,0)+IF(ISNUMBER(SEARCH(MAP_TNHN!D85&amp;" (2 tiết)",'PL10'!$S$22)),1,0)+IF(ISNUMBER(SEARCH(MAP_TNHN!D85&amp;" (2 tiết)",'PL10'!$S$23)),1,0)+IF(ISNUMBER(SEARCH(MAP_TNHN!D85&amp;" (2 tiết)",'PL10'!$S$24)),1,0)+IF(ISNUMBER(SEARCH(MAP_TNHN!D85&amp;" (2 tiết)",'PL10'!$S$25)),1,0))))</f>
        <v>0</v>
      </c>
    </row>
    <row r="86" spans="1:51" x14ac:dyDescent="0.35">
      <c r="A86" s="311"/>
      <c r="B86" s="8">
        <v>6</v>
      </c>
      <c r="C86" s="9" t="s">
        <v>198</v>
      </c>
      <c r="D86" s="20">
        <v>11</v>
      </c>
      <c r="E86" s="10"/>
      <c r="F86" s="10"/>
      <c r="G86" s="10"/>
      <c r="H86" s="10"/>
      <c r="I86" s="159"/>
      <c r="J86" s="10"/>
      <c r="K86" s="6">
        <v>2</v>
      </c>
      <c r="L86" s="6">
        <v>1</v>
      </c>
      <c r="M86" s="6">
        <v>1</v>
      </c>
      <c r="N86" s="139">
        <v>1</v>
      </c>
      <c r="O86" s="6"/>
      <c r="P86" s="42">
        <v>2</v>
      </c>
      <c r="Q86" s="42"/>
      <c r="R86" s="42">
        <v>2</v>
      </c>
      <c r="S86" s="138"/>
      <c r="T86" s="42"/>
      <c r="U86" s="11">
        <f>E86*'Phân tiết'!$M$6+G86*('Phân tiết'!$M$21/3)+H86*'Phân tiết'!$L$26+AW86+J86*'Phân tiết'!$M$20+K86*'Phân tiết'!$I$6+M86*('Phân tiết'!$I$21/3)+AX86+O86*'Phân tiết'!$I$20+P86*'Phân tiết'!$E$6+R86*('Phân tiết'!$E$21/3)+AY86+T86*'Phân tiết'!$E$20</f>
        <v>18</v>
      </c>
      <c r="V86" s="8">
        <f t="shared" si="28"/>
        <v>4</v>
      </c>
      <c r="W86" s="6"/>
      <c r="X86" s="6" t="s">
        <v>54</v>
      </c>
      <c r="Y86" s="8">
        <v>1</v>
      </c>
      <c r="Z86" s="43">
        <f t="shared" si="29"/>
        <v>23</v>
      </c>
      <c r="AA86" s="34">
        <f t="shared" si="30"/>
        <v>6</v>
      </c>
      <c r="AB86" s="8"/>
      <c r="AC86" s="8"/>
      <c r="AD86" s="6">
        <f t="shared" si="25"/>
        <v>0</v>
      </c>
      <c r="AE86" s="8"/>
      <c r="AF86" s="8"/>
      <c r="AG86" s="6">
        <f t="shared" si="26"/>
        <v>0</v>
      </c>
      <c r="AH86" s="8"/>
      <c r="AI86" s="8"/>
      <c r="AJ86" s="6">
        <f t="shared" si="31"/>
        <v>0</v>
      </c>
      <c r="AK86" s="6">
        <f t="shared" si="27"/>
        <v>198</v>
      </c>
      <c r="AL86" s="9"/>
      <c r="AM86" s="8" t="s">
        <v>57</v>
      </c>
      <c r="AN86" s="8"/>
      <c r="AO86" s="8"/>
      <c r="AP86" s="8"/>
      <c r="AQ86" s="8" t="s">
        <v>46</v>
      </c>
      <c r="AR86" s="8"/>
      <c r="AS86" s="8"/>
      <c r="AT86" s="8" t="s">
        <v>46</v>
      </c>
      <c r="AU86" s="8" t="s">
        <v>84</v>
      </c>
      <c r="AV86" s="8"/>
      <c r="AW86">
        <f>IF(I86="",0,IF(MAP_TNHN!B86="",I86*3,I86*3-2*(IF(ISNUMBER(SEARCH(MAP_TNHN!B86&amp;" (1 tiết)",'PL12'!$S$5)),1,0)+IF(ISNUMBER(SEARCH(MAP_TNHN!B86&amp;" (1 tiết)",'PL12'!$S$6)),1,0)+IF(ISNUMBER(SEARCH(MAP_TNHN!B86&amp;" (1 tiết)",'PL12'!$S$7)),1,0)+IF(ISNUMBER(SEARCH(MAP_TNHN!B86&amp;" (1 tiết)",'PL12'!$S$8)),1,0)+IF(ISNUMBER(SEARCH(MAP_TNHN!B86&amp;" (1 tiết)",'PL12'!$S$9)),1,0)+IF(ISNUMBER(SEARCH(MAP_TNHN!B86&amp;" (1 tiết)",'PL12'!$S$10)),1,0)+IF(ISNUMBER(SEARCH(MAP_TNHN!B86&amp;" (1 tiết)",'PL12'!$S$11)),1,0)+IF(ISNUMBER(SEARCH(MAP_TNHN!B86&amp;" (1 tiết)",'PL12'!$S$12)),1,0)+IF(ISNUMBER(SEARCH(MAP_TNHN!B86&amp;" (1 tiết)",'PL12'!$S$13)),1,0)+IF(ISNUMBER(SEARCH(MAP_TNHN!B86&amp;" (1 tiết)",'PL12'!$S$14)),1,0)+IF(ISNUMBER(SEARCH(MAP_TNHN!B86&amp;" (1 tiết)",'PL12'!$S$15)),1,0)+IF(ISNUMBER(SEARCH(MAP_TNHN!B86&amp;" (1 tiết)",'PL12'!$S$16)),1,0)+IF(ISNUMBER(SEARCH(MAP_TNHN!B86&amp;" (1 tiết)",'PL12'!$S$17)),1,0)+IF(ISNUMBER(SEARCH(MAP_TNHN!B86&amp;" (1 tiết)",'PL12'!$S$18)),1,0)+IF(ISNUMBER(SEARCH(MAP_TNHN!B86&amp;" (1 tiết)",'PL12'!$S$19)),1,0))-(IF(ISNUMBER(SEARCH(MAP_TNHN!B86&amp;" (2 tiết)",'PL12'!$S$5)),1,0)+IF(ISNUMBER(SEARCH(MAP_TNHN!B86&amp;" (2 tiết)",'PL12'!$S$6)),1,0)+IF(ISNUMBER(SEARCH(MAP_TNHN!B86&amp;" (2 tiết)",'PL12'!$S$7)),1,0)+IF(ISNUMBER(SEARCH(MAP_TNHN!B86&amp;" (2 tiết)",'PL12'!$S$8)),1,0)+IF(ISNUMBER(SEARCH(MAP_TNHN!B86&amp;" (2 tiết)",'PL12'!$S$9)),1,0)+IF(ISNUMBER(SEARCH(MAP_TNHN!B86&amp;" (2 tiết)",'PL12'!$S$10)),1,0)+IF(ISNUMBER(SEARCH(MAP_TNHN!B86&amp;" (2 tiết)",'PL12'!$S$11)),1,0)+IF(ISNUMBER(SEARCH(MAP_TNHN!B86&amp;" (2 tiết)",'PL12'!$S$12)),1,0)+IF(ISNUMBER(SEARCH(MAP_TNHN!B86&amp;" (2 tiết)",'PL12'!$S$13)),1,0)+IF(ISNUMBER(SEARCH(MAP_TNHN!B86&amp;" (2 tiết)",'PL12'!$S$14)),1,0)+IF(ISNUMBER(SEARCH(MAP_TNHN!B86&amp;" (2 tiết)",'PL12'!$S$15)),1,0)+IF(ISNUMBER(SEARCH(MAP_TNHN!B86&amp;" (2 tiết)",'PL12'!$S$16)),1,0)+IF(ISNUMBER(SEARCH(MAP_TNHN!B86&amp;" (2 tiết)",'PL12'!$S$17)),1,0)+IF(ISNUMBER(SEARCH(MAP_TNHN!B86&amp;" (2 tiết)",'PL12'!$S$18)),1,0)+IF(ISNUMBER(SEARCH(MAP_TNHN!B86&amp;" (2 tiết)",'PL12'!$S$19)),1,0))))</f>
        <v>0</v>
      </c>
      <c r="AX86">
        <f>IF(N86="",0,IF(MAP_TNHN!C86="",N86*3,N86*3-2*(IF(ISNUMBER(SEARCH(MAP_TNHN!C86&amp;" (1 tiết)",'PL11'!$S$5)),1,0)+IF(ISNUMBER(SEARCH(MAP_TNHN!C86&amp;" (1 tiết)",'PL11'!$S$6)),1,0)+IF(ISNUMBER(SEARCH(MAP_TNHN!C86&amp;" (1 tiết)",'PL11'!$S$7)),1,0)+IF(ISNUMBER(SEARCH(MAP_TNHN!C86&amp;" (1 tiết)",'PL11'!$S$8)),1,0)+IF(ISNUMBER(SEARCH(MAP_TNHN!C86&amp;" (1 tiết)",'PL11'!$S$9)),1,0)+IF(ISNUMBER(SEARCH(MAP_TNHN!C86&amp;" (1 tiết)",'PL11'!$S$10)),1,0)+IF(ISNUMBER(SEARCH(MAP_TNHN!C86&amp;" (1 tiết)",'PL11'!$S$11)),1,0)+IF(ISNUMBER(SEARCH(MAP_TNHN!C86&amp;" (1 tiết)",'PL11'!$S$12)),1,0)+IF(ISNUMBER(SEARCH(MAP_TNHN!C86&amp;" (1 tiết)",'PL11'!$S$13)),1,0)+IF(ISNUMBER(SEARCH(MAP_TNHN!C86&amp;" (1 tiết)",'PL11'!$S$14)),1,0)+IF(ISNUMBER(SEARCH(MAP_TNHN!C86&amp;" (1 tiết)",'PL11'!$S$15)),1,0)+IF(ISNUMBER(SEARCH(MAP_TNHN!C86&amp;" (1 tiết)",'PL11'!$S$16)),1,0)+IF(ISNUMBER(SEARCH(MAP_TNHN!C86&amp;" (1 tiết)",'PL11'!$S$17)),1,0)+IF(ISNUMBER(SEARCH(MAP_TNHN!C86&amp;" (1 tiết)",'PL11'!$S$18)),1,0))-(IF(ISNUMBER(SEARCH(MAP_TNHN!C86&amp;" (2 tiết)",'PL11'!$S$5)),1,0)+IF(ISNUMBER(SEARCH(MAP_TNHN!C86&amp;" (2 tiết)",'PL11'!$S$6)),1,0)+IF(ISNUMBER(SEARCH(MAP_TNHN!C86&amp;" (2 tiết)",'PL11'!$S$7)),1,0)+IF(ISNUMBER(SEARCH(MAP_TNHN!C86&amp;" (2 tiết)",'PL11'!$S$8)),1,0)+IF(ISNUMBER(SEARCH(MAP_TNHN!C86&amp;" (2 tiết)",'PL11'!$S$9)),1,0)+IF(ISNUMBER(SEARCH(MAP_TNHN!C86&amp;" (2 tiết)",'PL11'!$S$10)),1,0)+IF(ISNUMBER(SEARCH(MAP_TNHN!C86&amp;" (2 tiết)",'PL11'!$S$11)),1,0)+IF(ISNUMBER(SEARCH(MAP_TNHN!C86&amp;" (2 tiết)",'PL11'!$S$12)),1,0)+IF(ISNUMBER(SEARCH(MAP_TNHN!C86&amp;" (2 tiết)",'PL11'!$S$13)),1,0)+IF(ISNUMBER(SEARCH(MAP_TNHN!C86&amp;" (2 tiết)",'PL11'!$S$14)),1,0)+IF(ISNUMBER(SEARCH(MAP_TNHN!C86&amp;" (2 tiết)",'PL11'!$S$15)),1,0)+IF(ISNUMBER(SEARCH(MAP_TNHN!C86&amp;" (2 tiết)",'PL11'!$S$16)),1,0)+IF(ISNUMBER(SEARCH(MAP_TNHN!C86&amp;" (2 tiết)",'PL11'!$S$17)),1,0)+IF(ISNUMBER(SEARCH(MAP_TNHN!C86&amp;" (2 tiết)",'PL11'!$S$18)),1,0))))</f>
        <v>3</v>
      </c>
      <c r="AY86">
        <f>IF(S86="",0,IF(MAP_TNHN!D86="",S86*3,S86*3-2*(IF(ISNUMBER(SEARCH(MAP_TNHN!D86&amp;" (1 tiết)",'PL10'!$S$5)),1,0)+IF(ISNUMBER(SEARCH(MAP_TNHN!D86&amp;" (1 tiết)",'PL10'!$S$6)),1,0)+IF(ISNUMBER(SEARCH(MAP_TNHN!D86&amp;" (1 tiết)",'PL10'!$S$7)),1,0)+IF(ISNUMBER(SEARCH(MAP_TNHN!D86&amp;" (1 tiết)",'PL10'!$S$8)),1,0)+IF(ISNUMBER(SEARCH(MAP_TNHN!D86&amp;" (1 tiết)",'PL10'!$S$9)),1,0)+IF(ISNUMBER(SEARCH(MAP_TNHN!D86&amp;" (1 tiết)",'PL10'!$S$10)),1,0)+IF(ISNUMBER(SEARCH(MAP_TNHN!D86&amp;" (1 tiết)",'PL10'!$S$11)),1,0)+IF(ISNUMBER(SEARCH(MAP_TNHN!D86&amp;" (1 tiết)",'PL10'!$S$12)),1,0)+IF(ISNUMBER(SEARCH(MAP_TNHN!D86&amp;" (1 tiết)",'PL10'!$S$13)),1,0)+IF(ISNUMBER(SEARCH(MAP_TNHN!D86&amp;" (1 tiết)",'PL10'!$S$14)),1,0)+IF(ISNUMBER(SEARCH(MAP_TNHN!D86&amp;" (1 tiết)",'PL10'!$S$15)),1,0)+IF(ISNUMBER(SEARCH(MAP_TNHN!D86&amp;" (1 tiết)",'PL10'!$S$16)),1,0)+IF(ISNUMBER(SEARCH(MAP_TNHN!D86&amp;" (1 tiết)",'PL10'!$S$17)),1,0)+IF(ISNUMBER(SEARCH(MAP_TNHN!D86&amp;" (1 tiết)",'PL10'!$S$18)),1,0)+IF(ISNUMBER(SEARCH(MAP_TNHN!D86&amp;" (1 tiết)",'PL10'!$S$19)),1,0)+IF(ISNUMBER(SEARCH(MAP_TNHN!D86&amp;" (1 tiết)",'PL10'!$S$20)),1,0)+IF(ISNUMBER(SEARCH(MAP_TNHN!D86&amp;" (1 tiết)",'PL10'!$S$21)),1,0)+IF(ISNUMBER(SEARCH(MAP_TNHN!D86&amp;" (1 tiết)",'PL10'!$S$22)),1,0)+IF(ISNUMBER(SEARCH(MAP_TNHN!D86&amp;" (1 tiết)",'PL10'!$S$23)),1,0)+IF(ISNUMBER(SEARCH(MAP_TNHN!D86&amp;" (1 tiết)",'PL10'!$S$24)),1,0)+IF(ISNUMBER(SEARCH(MAP_TNHN!D86&amp;" (1 tiết)",'PL10'!$S$25)),1,0))-(IF(ISNUMBER(SEARCH(MAP_TNHN!D86&amp;" (2 tiết)",'PL10'!$S$5)),1,0)+IF(ISNUMBER(SEARCH(MAP_TNHN!D86&amp;" (2 tiết)",'PL10'!$S$6)),1,0)+IF(ISNUMBER(SEARCH(MAP_TNHN!D86&amp;" (2 tiết)",'PL10'!$S$7)),1,0)+IF(ISNUMBER(SEARCH(MAP_TNHN!D86&amp;" (2 tiết)",'PL10'!$S$8)),1,0)+IF(ISNUMBER(SEARCH(MAP_TNHN!D86&amp;" (2 tiết)",'PL10'!$S$9)),1,0)+IF(ISNUMBER(SEARCH(MAP_TNHN!D86&amp;" (2 tiết)",'PL10'!$S$10)),1,0)+IF(ISNUMBER(SEARCH(MAP_TNHN!D86&amp;" (2 tiết)",'PL10'!$S$11)),1,0)+IF(ISNUMBER(SEARCH(MAP_TNHN!D86&amp;" (2 tiết)",'PL10'!$S$12)),1,0)+IF(ISNUMBER(SEARCH(MAP_TNHN!D86&amp;" (2 tiết)",'PL10'!$S$13)),1,0)+IF(ISNUMBER(SEARCH(MAP_TNHN!D86&amp;" (2 tiết)",'PL10'!$S$14)),1,0)+IF(ISNUMBER(SEARCH(MAP_TNHN!D86&amp;" (2 tiết)",'PL10'!$S$15)),1,0)+IF(ISNUMBER(SEARCH(MAP_TNHN!D86&amp;" (2 tiết)",'PL10'!$S$16)),1,0)+IF(ISNUMBER(SEARCH(MAP_TNHN!D86&amp;" (2 tiết)",'PL10'!$S$17)),1,0)+IF(ISNUMBER(SEARCH(MAP_TNHN!D86&amp;" (2 tiết)",'PL10'!$S$18)),1,0)+IF(ISNUMBER(SEARCH(MAP_TNHN!D86&amp;" (2 tiết)",'PL10'!$S$19)),1,0)+IF(ISNUMBER(SEARCH(MAP_TNHN!D86&amp;" (2 tiết)",'PL10'!$S$20)),1,0)+IF(ISNUMBER(SEARCH(MAP_TNHN!D86&amp;" (2 tiết)",'PL10'!$S$21)),1,0)+IF(ISNUMBER(SEARCH(MAP_TNHN!D86&amp;" (2 tiết)",'PL10'!$S$22)),1,0)+IF(ISNUMBER(SEARCH(MAP_TNHN!D86&amp;" (2 tiết)",'PL10'!$S$23)),1,0)+IF(ISNUMBER(SEARCH(MAP_TNHN!D86&amp;" (2 tiết)",'PL10'!$S$24)),1,0)+IF(ISNUMBER(SEARCH(MAP_TNHN!D86&amp;" (2 tiết)",'PL10'!$S$25)),1,0))))</f>
        <v>0</v>
      </c>
    </row>
    <row r="87" spans="1:51" x14ac:dyDescent="0.35">
      <c r="A87" s="311"/>
      <c r="B87" s="8">
        <v>7</v>
      </c>
      <c r="C87" s="9" t="s">
        <v>199</v>
      </c>
      <c r="D87" s="20">
        <v>10</v>
      </c>
      <c r="E87" s="10"/>
      <c r="F87" s="10"/>
      <c r="G87" s="10"/>
      <c r="H87" s="10"/>
      <c r="I87" s="159"/>
      <c r="J87" s="10"/>
      <c r="K87" s="6">
        <v>2</v>
      </c>
      <c r="L87" s="6"/>
      <c r="M87" s="6">
        <v>1</v>
      </c>
      <c r="N87" s="139"/>
      <c r="O87" s="6"/>
      <c r="P87" s="42">
        <v>3</v>
      </c>
      <c r="Q87" s="42">
        <v>1</v>
      </c>
      <c r="R87" s="42">
        <v>1</v>
      </c>
      <c r="S87" s="166">
        <v>1</v>
      </c>
      <c r="T87" s="42"/>
      <c r="U87" s="11">
        <f>E87*'Phân tiết'!$M$6+G87*('Phân tiết'!$M$21/3)+H87*'Phân tiết'!$L$26+AW87+J87*'Phân tiết'!$M$20+K87*'Phân tiết'!$I$6+M87*('Phân tiết'!$I$21/3)+AX87+O87*'Phân tiết'!$I$20+P87*'Phân tiết'!$E$6+R87*('Phân tiết'!$E$21/3)+AY87+T87*'Phân tiết'!$E$20</f>
        <v>18</v>
      </c>
      <c r="V87" s="8">
        <f t="shared" si="28"/>
        <v>4</v>
      </c>
      <c r="W87" s="6"/>
      <c r="X87" s="6"/>
      <c r="Y87" s="8"/>
      <c r="Z87" s="43">
        <f t="shared" si="29"/>
        <v>22</v>
      </c>
      <c r="AA87" s="34">
        <f t="shared" si="30"/>
        <v>5</v>
      </c>
      <c r="AB87" s="8"/>
      <c r="AC87" s="8"/>
      <c r="AD87" s="6">
        <f t="shared" si="25"/>
        <v>0</v>
      </c>
      <c r="AE87" s="8"/>
      <c r="AF87" s="8"/>
      <c r="AG87" s="6">
        <f t="shared" si="26"/>
        <v>0</v>
      </c>
      <c r="AH87" s="8"/>
      <c r="AI87" s="8"/>
      <c r="AJ87" s="6">
        <f t="shared" si="31"/>
        <v>0</v>
      </c>
      <c r="AK87" s="6">
        <f t="shared" si="27"/>
        <v>165</v>
      </c>
      <c r="AL87" s="8"/>
      <c r="AM87" s="8" t="s">
        <v>200</v>
      </c>
      <c r="AN87" s="8">
        <v>15</v>
      </c>
      <c r="AO87" s="8"/>
      <c r="AP87" s="8"/>
      <c r="AQ87" s="8" t="s">
        <v>46</v>
      </c>
      <c r="AR87" s="8"/>
      <c r="AS87" s="8"/>
      <c r="AT87" s="8" t="s">
        <v>46</v>
      </c>
      <c r="AU87" s="8" t="s">
        <v>88</v>
      </c>
      <c r="AV87" s="8"/>
      <c r="AW87">
        <f>IF(I87="",0,IF(MAP_TNHN!B87="",I87*3,I87*3-2*(IF(ISNUMBER(SEARCH(MAP_TNHN!B87&amp;" (1 tiết)",'PL12'!$S$5)),1,0)+IF(ISNUMBER(SEARCH(MAP_TNHN!B87&amp;" (1 tiết)",'PL12'!$S$6)),1,0)+IF(ISNUMBER(SEARCH(MAP_TNHN!B87&amp;" (1 tiết)",'PL12'!$S$7)),1,0)+IF(ISNUMBER(SEARCH(MAP_TNHN!B87&amp;" (1 tiết)",'PL12'!$S$8)),1,0)+IF(ISNUMBER(SEARCH(MAP_TNHN!B87&amp;" (1 tiết)",'PL12'!$S$9)),1,0)+IF(ISNUMBER(SEARCH(MAP_TNHN!B87&amp;" (1 tiết)",'PL12'!$S$10)),1,0)+IF(ISNUMBER(SEARCH(MAP_TNHN!B87&amp;" (1 tiết)",'PL12'!$S$11)),1,0)+IF(ISNUMBER(SEARCH(MAP_TNHN!B87&amp;" (1 tiết)",'PL12'!$S$12)),1,0)+IF(ISNUMBER(SEARCH(MAP_TNHN!B87&amp;" (1 tiết)",'PL12'!$S$13)),1,0)+IF(ISNUMBER(SEARCH(MAP_TNHN!B87&amp;" (1 tiết)",'PL12'!$S$14)),1,0)+IF(ISNUMBER(SEARCH(MAP_TNHN!B87&amp;" (1 tiết)",'PL12'!$S$15)),1,0)+IF(ISNUMBER(SEARCH(MAP_TNHN!B87&amp;" (1 tiết)",'PL12'!$S$16)),1,0)+IF(ISNUMBER(SEARCH(MAP_TNHN!B87&amp;" (1 tiết)",'PL12'!$S$17)),1,0)+IF(ISNUMBER(SEARCH(MAP_TNHN!B87&amp;" (1 tiết)",'PL12'!$S$18)),1,0)+IF(ISNUMBER(SEARCH(MAP_TNHN!B87&amp;" (1 tiết)",'PL12'!$S$19)),1,0))-(IF(ISNUMBER(SEARCH(MAP_TNHN!B87&amp;" (2 tiết)",'PL12'!$S$5)),1,0)+IF(ISNUMBER(SEARCH(MAP_TNHN!B87&amp;" (2 tiết)",'PL12'!$S$6)),1,0)+IF(ISNUMBER(SEARCH(MAP_TNHN!B87&amp;" (2 tiết)",'PL12'!$S$7)),1,0)+IF(ISNUMBER(SEARCH(MAP_TNHN!B87&amp;" (2 tiết)",'PL12'!$S$8)),1,0)+IF(ISNUMBER(SEARCH(MAP_TNHN!B87&amp;" (2 tiết)",'PL12'!$S$9)),1,0)+IF(ISNUMBER(SEARCH(MAP_TNHN!B87&amp;" (2 tiết)",'PL12'!$S$10)),1,0)+IF(ISNUMBER(SEARCH(MAP_TNHN!B87&amp;" (2 tiết)",'PL12'!$S$11)),1,0)+IF(ISNUMBER(SEARCH(MAP_TNHN!B87&amp;" (2 tiết)",'PL12'!$S$12)),1,0)+IF(ISNUMBER(SEARCH(MAP_TNHN!B87&amp;" (2 tiết)",'PL12'!$S$13)),1,0)+IF(ISNUMBER(SEARCH(MAP_TNHN!B87&amp;" (2 tiết)",'PL12'!$S$14)),1,0)+IF(ISNUMBER(SEARCH(MAP_TNHN!B87&amp;" (2 tiết)",'PL12'!$S$15)),1,0)+IF(ISNUMBER(SEARCH(MAP_TNHN!B87&amp;" (2 tiết)",'PL12'!$S$16)),1,0)+IF(ISNUMBER(SEARCH(MAP_TNHN!B87&amp;" (2 tiết)",'PL12'!$S$17)),1,0)+IF(ISNUMBER(SEARCH(MAP_TNHN!B87&amp;" (2 tiết)",'PL12'!$S$18)),1,0)+IF(ISNUMBER(SEARCH(MAP_TNHN!B87&amp;" (2 tiết)",'PL12'!$S$19)),1,0))))</f>
        <v>0</v>
      </c>
      <c r="AX87">
        <f>IF(N87="",0,IF(MAP_TNHN!C87="",N87*3,N87*3-2*(IF(ISNUMBER(SEARCH(MAP_TNHN!C87&amp;" (1 tiết)",'PL11'!$S$5)),1,0)+IF(ISNUMBER(SEARCH(MAP_TNHN!C87&amp;" (1 tiết)",'PL11'!$S$6)),1,0)+IF(ISNUMBER(SEARCH(MAP_TNHN!C87&amp;" (1 tiết)",'PL11'!$S$7)),1,0)+IF(ISNUMBER(SEARCH(MAP_TNHN!C87&amp;" (1 tiết)",'PL11'!$S$8)),1,0)+IF(ISNUMBER(SEARCH(MAP_TNHN!C87&amp;" (1 tiết)",'PL11'!$S$9)),1,0)+IF(ISNUMBER(SEARCH(MAP_TNHN!C87&amp;" (1 tiết)",'PL11'!$S$10)),1,0)+IF(ISNUMBER(SEARCH(MAP_TNHN!C87&amp;" (1 tiết)",'PL11'!$S$11)),1,0)+IF(ISNUMBER(SEARCH(MAP_TNHN!C87&amp;" (1 tiết)",'PL11'!$S$12)),1,0)+IF(ISNUMBER(SEARCH(MAP_TNHN!C87&amp;" (1 tiết)",'PL11'!$S$13)),1,0)+IF(ISNUMBER(SEARCH(MAP_TNHN!C87&amp;" (1 tiết)",'PL11'!$S$14)),1,0)+IF(ISNUMBER(SEARCH(MAP_TNHN!C87&amp;" (1 tiết)",'PL11'!$S$15)),1,0)+IF(ISNUMBER(SEARCH(MAP_TNHN!C87&amp;" (1 tiết)",'PL11'!$S$16)),1,0)+IF(ISNUMBER(SEARCH(MAP_TNHN!C87&amp;" (1 tiết)",'PL11'!$S$17)),1,0)+IF(ISNUMBER(SEARCH(MAP_TNHN!C87&amp;" (1 tiết)",'PL11'!$S$18)),1,0))-(IF(ISNUMBER(SEARCH(MAP_TNHN!C87&amp;" (2 tiết)",'PL11'!$S$5)),1,0)+IF(ISNUMBER(SEARCH(MAP_TNHN!C87&amp;" (2 tiết)",'PL11'!$S$6)),1,0)+IF(ISNUMBER(SEARCH(MAP_TNHN!C87&amp;" (2 tiết)",'PL11'!$S$7)),1,0)+IF(ISNUMBER(SEARCH(MAP_TNHN!C87&amp;" (2 tiết)",'PL11'!$S$8)),1,0)+IF(ISNUMBER(SEARCH(MAP_TNHN!C87&amp;" (2 tiết)",'PL11'!$S$9)),1,0)+IF(ISNUMBER(SEARCH(MAP_TNHN!C87&amp;" (2 tiết)",'PL11'!$S$10)),1,0)+IF(ISNUMBER(SEARCH(MAP_TNHN!C87&amp;" (2 tiết)",'PL11'!$S$11)),1,0)+IF(ISNUMBER(SEARCH(MAP_TNHN!C87&amp;" (2 tiết)",'PL11'!$S$12)),1,0)+IF(ISNUMBER(SEARCH(MAP_TNHN!C87&amp;" (2 tiết)",'PL11'!$S$13)),1,0)+IF(ISNUMBER(SEARCH(MAP_TNHN!C87&amp;" (2 tiết)",'PL11'!$S$14)),1,0)+IF(ISNUMBER(SEARCH(MAP_TNHN!C87&amp;" (2 tiết)",'PL11'!$S$15)),1,0)+IF(ISNUMBER(SEARCH(MAP_TNHN!C87&amp;" (2 tiết)",'PL11'!$S$16)),1,0)+IF(ISNUMBER(SEARCH(MAP_TNHN!C87&amp;" (2 tiết)",'PL11'!$S$17)),1,0)+IF(ISNUMBER(SEARCH(MAP_TNHN!C87&amp;" (2 tiết)",'PL11'!$S$18)),1,0))))</f>
        <v>0</v>
      </c>
      <c r="AY87">
        <f>IF(S87="",0,IF(MAP_TNHN!D87="",S87*3,S87*3-2*(IF(ISNUMBER(SEARCH(MAP_TNHN!D87&amp;" (1 tiết)",'PL10'!$S$5)),1,0)+IF(ISNUMBER(SEARCH(MAP_TNHN!D87&amp;" (1 tiết)",'PL10'!$S$6)),1,0)+IF(ISNUMBER(SEARCH(MAP_TNHN!D87&amp;" (1 tiết)",'PL10'!$S$7)),1,0)+IF(ISNUMBER(SEARCH(MAP_TNHN!D87&amp;" (1 tiết)",'PL10'!$S$8)),1,0)+IF(ISNUMBER(SEARCH(MAP_TNHN!D87&amp;" (1 tiết)",'PL10'!$S$9)),1,0)+IF(ISNUMBER(SEARCH(MAP_TNHN!D87&amp;" (1 tiết)",'PL10'!$S$10)),1,0)+IF(ISNUMBER(SEARCH(MAP_TNHN!D87&amp;" (1 tiết)",'PL10'!$S$11)),1,0)+IF(ISNUMBER(SEARCH(MAP_TNHN!D87&amp;" (1 tiết)",'PL10'!$S$12)),1,0)+IF(ISNUMBER(SEARCH(MAP_TNHN!D87&amp;" (1 tiết)",'PL10'!$S$13)),1,0)+IF(ISNUMBER(SEARCH(MAP_TNHN!D87&amp;" (1 tiết)",'PL10'!$S$14)),1,0)+IF(ISNUMBER(SEARCH(MAP_TNHN!D87&amp;" (1 tiết)",'PL10'!$S$15)),1,0)+IF(ISNUMBER(SEARCH(MAP_TNHN!D87&amp;" (1 tiết)",'PL10'!$S$16)),1,0)+IF(ISNUMBER(SEARCH(MAP_TNHN!D87&amp;" (1 tiết)",'PL10'!$S$17)),1,0)+IF(ISNUMBER(SEARCH(MAP_TNHN!D87&amp;" (1 tiết)",'PL10'!$S$18)),1,0)+IF(ISNUMBER(SEARCH(MAP_TNHN!D87&amp;" (1 tiết)",'PL10'!$S$19)),1,0)+IF(ISNUMBER(SEARCH(MAP_TNHN!D87&amp;" (1 tiết)",'PL10'!$S$20)),1,0)+IF(ISNUMBER(SEARCH(MAP_TNHN!D87&amp;" (1 tiết)",'PL10'!$S$21)),1,0)+IF(ISNUMBER(SEARCH(MAP_TNHN!D87&amp;" (1 tiết)",'PL10'!$S$22)),1,0)+IF(ISNUMBER(SEARCH(MAP_TNHN!D87&amp;" (1 tiết)",'PL10'!$S$23)),1,0)+IF(ISNUMBER(SEARCH(MAP_TNHN!D87&amp;" (1 tiết)",'PL10'!$S$24)),1,0)+IF(ISNUMBER(SEARCH(MAP_TNHN!D87&amp;" (1 tiết)",'PL10'!$S$25)),1,0))-(IF(ISNUMBER(SEARCH(MAP_TNHN!D87&amp;" (2 tiết)",'PL10'!$S$5)),1,0)+IF(ISNUMBER(SEARCH(MAP_TNHN!D87&amp;" (2 tiết)",'PL10'!$S$6)),1,0)+IF(ISNUMBER(SEARCH(MAP_TNHN!D87&amp;" (2 tiết)",'PL10'!$S$7)),1,0)+IF(ISNUMBER(SEARCH(MAP_TNHN!D87&amp;" (2 tiết)",'PL10'!$S$8)),1,0)+IF(ISNUMBER(SEARCH(MAP_TNHN!D87&amp;" (2 tiết)",'PL10'!$S$9)),1,0)+IF(ISNUMBER(SEARCH(MAP_TNHN!D87&amp;" (2 tiết)",'PL10'!$S$10)),1,0)+IF(ISNUMBER(SEARCH(MAP_TNHN!D87&amp;" (2 tiết)",'PL10'!$S$11)),1,0)+IF(ISNUMBER(SEARCH(MAP_TNHN!D87&amp;" (2 tiết)",'PL10'!$S$12)),1,0)+IF(ISNUMBER(SEARCH(MAP_TNHN!D87&amp;" (2 tiết)",'PL10'!$S$13)),1,0)+IF(ISNUMBER(SEARCH(MAP_TNHN!D87&amp;" (2 tiết)",'PL10'!$S$14)),1,0)+IF(ISNUMBER(SEARCH(MAP_TNHN!D87&amp;" (2 tiết)",'PL10'!$S$15)),1,0)+IF(ISNUMBER(SEARCH(MAP_TNHN!D87&amp;" (2 tiết)",'PL10'!$S$16)),1,0)+IF(ISNUMBER(SEARCH(MAP_TNHN!D87&amp;" (2 tiết)",'PL10'!$S$17)),1,0)+IF(ISNUMBER(SEARCH(MAP_TNHN!D87&amp;" (2 tiết)",'PL10'!$S$18)),1,0)+IF(ISNUMBER(SEARCH(MAP_TNHN!D87&amp;" (2 tiết)",'PL10'!$S$19)),1,0)+IF(ISNUMBER(SEARCH(MAP_TNHN!D87&amp;" (2 tiết)",'PL10'!$S$20)),1,0)+IF(ISNUMBER(SEARCH(MAP_TNHN!D87&amp;" (2 tiết)",'PL10'!$S$21)),1,0)+IF(ISNUMBER(SEARCH(MAP_TNHN!D87&amp;" (2 tiết)",'PL10'!$S$22)),1,0)+IF(ISNUMBER(SEARCH(MAP_TNHN!D87&amp;" (2 tiết)",'PL10'!$S$23)),1,0)+IF(ISNUMBER(SEARCH(MAP_TNHN!D87&amp;" (2 tiết)",'PL10'!$S$24)),1,0)+IF(ISNUMBER(SEARCH(MAP_TNHN!D87&amp;" (2 tiết)",'PL10'!$S$25)),1,0))))</f>
        <v>1</v>
      </c>
    </row>
    <row r="88" spans="1:51" ht="60" x14ac:dyDescent="0.35">
      <c r="A88" s="311"/>
      <c r="B88" s="8">
        <v>8</v>
      </c>
      <c r="C88" s="9" t="s">
        <v>201</v>
      </c>
      <c r="D88" s="20">
        <v>10</v>
      </c>
      <c r="E88" s="10"/>
      <c r="F88" s="10"/>
      <c r="G88" s="10"/>
      <c r="H88" s="10"/>
      <c r="I88" s="159"/>
      <c r="J88" s="10"/>
      <c r="K88" s="6">
        <v>2</v>
      </c>
      <c r="L88" s="6"/>
      <c r="M88" s="6">
        <v>1</v>
      </c>
      <c r="N88" s="139"/>
      <c r="O88" s="6"/>
      <c r="P88" s="42">
        <v>3</v>
      </c>
      <c r="Q88" s="42">
        <v>1</v>
      </c>
      <c r="R88" s="42">
        <v>1</v>
      </c>
      <c r="S88" s="166">
        <v>1</v>
      </c>
      <c r="T88" s="42"/>
      <c r="U88" s="11">
        <f>E88*'Phân tiết'!$M$6+G88*('Phân tiết'!$M$21/3)+H88*'Phân tiết'!$L$26+AW88+J88*'Phân tiết'!$M$20+K88*'Phân tiết'!$I$6+M88*('Phân tiết'!$I$21/3)+AX88+O88*'Phân tiết'!$I$20+P88*'Phân tiết'!$E$6+R88*('Phân tiết'!$E$21/3)+AY88+T88*'Phân tiết'!$E$20</f>
        <v>18</v>
      </c>
      <c r="V88" s="8">
        <f t="shared" si="28"/>
        <v>4</v>
      </c>
      <c r="W88" s="6"/>
      <c r="X88" s="6"/>
      <c r="Y88" s="8"/>
      <c r="Z88" s="43">
        <f t="shared" si="29"/>
        <v>22</v>
      </c>
      <c r="AA88" s="34">
        <f t="shared" si="30"/>
        <v>5</v>
      </c>
      <c r="AB88" s="8">
        <v>2</v>
      </c>
      <c r="AC88" s="8">
        <v>15</v>
      </c>
      <c r="AD88" s="6">
        <f t="shared" si="25"/>
        <v>45</v>
      </c>
      <c r="AE88" s="8"/>
      <c r="AF88" s="8"/>
      <c r="AG88" s="6">
        <f t="shared" si="26"/>
        <v>0</v>
      </c>
      <c r="AH88" s="8"/>
      <c r="AI88" s="8"/>
      <c r="AJ88" s="6">
        <f t="shared" si="31"/>
        <v>0</v>
      </c>
      <c r="AK88" s="6">
        <f t="shared" si="27"/>
        <v>210</v>
      </c>
      <c r="AL88" s="8" t="s">
        <v>48</v>
      </c>
      <c r="AM88" s="8"/>
      <c r="AN88" s="8">
        <v>18</v>
      </c>
      <c r="AO88" s="8"/>
      <c r="AP88" s="8"/>
      <c r="AQ88" s="8" t="s">
        <v>46</v>
      </c>
      <c r="AR88" s="8"/>
      <c r="AS88" s="8"/>
      <c r="AT88" s="8" t="s">
        <v>46</v>
      </c>
      <c r="AU88" s="8" t="s">
        <v>84</v>
      </c>
      <c r="AV88" s="8" t="s">
        <v>202</v>
      </c>
      <c r="AW88">
        <f>IF(I88="",0,IF(MAP_TNHN!B88="",I88*3,I88*3-2*(IF(ISNUMBER(SEARCH(MAP_TNHN!B88&amp;" (1 tiết)",'PL12'!$S$5)),1,0)+IF(ISNUMBER(SEARCH(MAP_TNHN!B88&amp;" (1 tiết)",'PL12'!$S$6)),1,0)+IF(ISNUMBER(SEARCH(MAP_TNHN!B88&amp;" (1 tiết)",'PL12'!$S$7)),1,0)+IF(ISNUMBER(SEARCH(MAP_TNHN!B88&amp;" (1 tiết)",'PL12'!$S$8)),1,0)+IF(ISNUMBER(SEARCH(MAP_TNHN!B88&amp;" (1 tiết)",'PL12'!$S$9)),1,0)+IF(ISNUMBER(SEARCH(MAP_TNHN!B88&amp;" (1 tiết)",'PL12'!$S$10)),1,0)+IF(ISNUMBER(SEARCH(MAP_TNHN!B88&amp;" (1 tiết)",'PL12'!$S$11)),1,0)+IF(ISNUMBER(SEARCH(MAP_TNHN!B88&amp;" (1 tiết)",'PL12'!$S$12)),1,0)+IF(ISNUMBER(SEARCH(MAP_TNHN!B88&amp;" (1 tiết)",'PL12'!$S$13)),1,0)+IF(ISNUMBER(SEARCH(MAP_TNHN!B88&amp;" (1 tiết)",'PL12'!$S$14)),1,0)+IF(ISNUMBER(SEARCH(MAP_TNHN!B88&amp;" (1 tiết)",'PL12'!$S$15)),1,0)+IF(ISNUMBER(SEARCH(MAP_TNHN!B88&amp;" (1 tiết)",'PL12'!$S$16)),1,0)+IF(ISNUMBER(SEARCH(MAP_TNHN!B88&amp;" (1 tiết)",'PL12'!$S$17)),1,0)+IF(ISNUMBER(SEARCH(MAP_TNHN!B88&amp;" (1 tiết)",'PL12'!$S$18)),1,0)+IF(ISNUMBER(SEARCH(MAP_TNHN!B88&amp;" (1 tiết)",'PL12'!$S$19)),1,0))-(IF(ISNUMBER(SEARCH(MAP_TNHN!B88&amp;" (2 tiết)",'PL12'!$S$5)),1,0)+IF(ISNUMBER(SEARCH(MAP_TNHN!B88&amp;" (2 tiết)",'PL12'!$S$6)),1,0)+IF(ISNUMBER(SEARCH(MAP_TNHN!B88&amp;" (2 tiết)",'PL12'!$S$7)),1,0)+IF(ISNUMBER(SEARCH(MAP_TNHN!B88&amp;" (2 tiết)",'PL12'!$S$8)),1,0)+IF(ISNUMBER(SEARCH(MAP_TNHN!B88&amp;" (2 tiết)",'PL12'!$S$9)),1,0)+IF(ISNUMBER(SEARCH(MAP_TNHN!B88&amp;" (2 tiết)",'PL12'!$S$10)),1,0)+IF(ISNUMBER(SEARCH(MAP_TNHN!B88&amp;" (2 tiết)",'PL12'!$S$11)),1,0)+IF(ISNUMBER(SEARCH(MAP_TNHN!B88&amp;" (2 tiết)",'PL12'!$S$12)),1,0)+IF(ISNUMBER(SEARCH(MAP_TNHN!B88&amp;" (2 tiết)",'PL12'!$S$13)),1,0)+IF(ISNUMBER(SEARCH(MAP_TNHN!B88&amp;" (2 tiết)",'PL12'!$S$14)),1,0)+IF(ISNUMBER(SEARCH(MAP_TNHN!B88&amp;" (2 tiết)",'PL12'!$S$15)),1,0)+IF(ISNUMBER(SEARCH(MAP_TNHN!B88&amp;" (2 tiết)",'PL12'!$S$16)),1,0)+IF(ISNUMBER(SEARCH(MAP_TNHN!B88&amp;" (2 tiết)",'PL12'!$S$17)),1,0)+IF(ISNUMBER(SEARCH(MAP_TNHN!B88&amp;" (2 tiết)",'PL12'!$S$18)),1,0)+IF(ISNUMBER(SEARCH(MAP_TNHN!B88&amp;" (2 tiết)",'PL12'!$S$19)),1,0))))</f>
        <v>0</v>
      </c>
      <c r="AX88">
        <f>IF(N88="",0,IF(MAP_TNHN!C88="",N88*3,N88*3-2*(IF(ISNUMBER(SEARCH(MAP_TNHN!C88&amp;" (1 tiết)",'PL11'!$S$5)),1,0)+IF(ISNUMBER(SEARCH(MAP_TNHN!C88&amp;" (1 tiết)",'PL11'!$S$6)),1,0)+IF(ISNUMBER(SEARCH(MAP_TNHN!C88&amp;" (1 tiết)",'PL11'!$S$7)),1,0)+IF(ISNUMBER(SEARCH(MAP_TNHN!C88&amp;" (1 tiết)",'PL11'!$S$8)),1,0)+IF(ISNUMBER(SEARCH(MAP_TNHN!C88&amp;" (1 tiết)",'PL11'!$S$9)),1,0)+IF(ISNUMBER(SEARCH(MAP_TNHN!C88&amp;" (1 tiết)",'PL11'!$S$10)),1,0)+IF(ISNUMBER(SEARCH(MAP_TNHN!C88&amp;" (1 tiết)",'PL11'!$S$11)),1,0)+IF(ISNUMBER(SEARCH(MAP_TNHN!C88&amp;" (1 tiết)",'PL11'!$S$12)),1,0)+IF(ISNUMBER(SEARCH(MAP_TNHN!C88&amp;" (1 tiết)",'PL11'!$S$13)),1,0)+IF(ISNUMBER(SEARCH(MAP_TNHN!C88&amp;" (1 tiết)",'PL11'!$S$14)),1,0)+IF(ISNUMBER(SEARCH(MAP_TNHN!C88&amp;" (1 tiết)",'PL11'!$S$15)),1,0)+IF(ISNUMBER(SEARCH(MAP_TNHN!C88&amp;" (1 tiết)",'PL11'!$S$16)),1,0)+IF(ISNUMBER(SEARCH(MAP_TNHN!C88&amp;" (1 tiết)",'PL11'!$S$17)),1,0)+IF(ISNUMBER(SEARCH(MAP_TNHN!C88&amp;" (1 tiết)",'PL11'!$S$18)),1,0))-(IF(ISNUMBER(SEARCH(MAP_TNHN!C88&amp;" (2 tiết)",'PL11'!$S$5)),1,0)+IF(ISNUMBER(SEARCH(MAP_TNHN!C88&amp;" (2 tiết)",'PL11'!$S$6)),1,0)+IF(ISNUMBER(SEARCH(MAP_TNHN!C88&amp;" (2 tiết)",'PL11'!$S$7)),1,0)+IF(ISNUMBER(SEARCH(MAP_TNHN!C88&amp;" (2 tiết)",'PL11'!$S$8)),1,0)+IF(ISNUMBER(SEARCH(MAP_TNHN!C88&amp;" (2 tiết)",'PL11'!$S$9)),1,0)+IF(ISNUMBER(SEARCH(MAP_TNHN!C88&amp;" (2 tiết)",'PL11'!$S$10)),1,0)+IF(ISNUMBER(SEARCH(MAP_TNHN!C88&amp;" (2 tiết)",'PL11'!$S$11)),1,0)+IF(ISNUMBER(SEARCH(MAP_TNHN!C88&amp;" (2 tiết)",'PL11'!$S$12)),1,0)+IF(ISNUMBER(SEARCH(MAP_TNHN!C88&amp;" (2 tiết)",'PL11'!$S$13)),1,0)+IF(ISNUMBER(SEARCH(MAP_TNHN!C88&amp;" (2 tiết)",'PL11'!$S$14)),1,0)+IF(ISNUMBER(SEARCH(MAP_TNHN!C88&amp;" (2 tiết)",'PL11'!$S$15)),1,0)+IF(ISNUMBER(SEARCH(MAP_TNHN!C88&amp;" (2 tiết)",'PL11'!$S$16)),1,0)+IF(ISNUMBER(SEARCH(MAP_TNHN!C88&amp;" (2 tiết)",'PL11'!$S$17)),1,0)+IF(ISNUMBER(SEARCH(MAP_TNHN!C88&amp;" (2 tiết)",'PL11'!$S$18)),1,0))))</f>
        <v>0</v>
      </c>
      <c r="AY88">
        <f>IF(S88="",0,IF(MAP_TNHN!D88="",S88*3,S88*3-2*(IF(ISNUMBER(SEARCH(MAP_TNHN!D88&amp;" (1 tiết)",'PL10'!$S$5)),1,0)+IF(ISNUMBER(SEARCH(MAP_TNHN!D88&amp;" (1 tiết)",'PL10'!$S$6)),1,0)+IF(ISNUMBER(SEARCH(MAP_TNHN!D88&amp;" (1 tiết)",'PL10'!$S$7)),1,0)+IF(ISNUMBER(SEARCH(MAP_TNHN!D88&amp;" (1 tiết)",'PL10'!$S$8)),1,0)+IF(ISNUMBER(SEARCH(MAP_TNHN!D88&amp;" (1 tiết)",'PL10'!$S$9)),1,0)+IF(ISNUMBER(SEARCH(MAP_TNHN!D88&amp;" (1 tiết)",'PL10'!$S$10)),1,0)+IF(ISNUMBER(SEARCH(MAP_TNHN!D88&amp;" (1 tiết)",'PL10'!$S$11)),1,0)+IF(ISNUMBER(SEARCH(MAP_TNHN!D88&amp;" (1 tiết)",'PL10'!$S$12)),1,0)+IF(ISNUMBER(SEARCH(MAP_TNHN!D88&amp;" (1 tiết)",'PL10'!$S$13)),1,0)+IF(ISNUMBER(SEARCH(MAP_TNHN!D88&amp;" (1 tiết)",'PL10'!$S$14)),1,0)+IF(ISNUMBER(SEARCH(MAP_TNHN!D88&amp;" (1 tiết)",'PL10'!$S$15)),1,0)+IF(ISNUMBER(SEARCH(MAP_TNHN!D88&amp;" (1 tiết)",'PL10'!$S$16)),1,0)+IF(ISNUMBER(SEARCH(MAP_TNHN!D88&amp;" (1 tiết)",'PL10'!$S$17)),1,0)+IF(ISNUMBER(SEARCH(MAP_TNHN!D88&amp;" (1 tiết)",'PL10'!$S$18)),1,0)+IF(ISNUMBER(SEARCH(MAP_TNHN!D88&amp;" (1 tiết)",'PL10'!$S$19)),1,0)+IF(ISNUMBER(SEARCH(MAP_TNHN!D88&amp;" (1 tiết)",'PL10'!$S$20)),1,0)+IF(ISNUMBER(SEARCH(MAP_TNHN!D88&amp;" (1 tiết)",'PL10'!$S$21)),1,0)+IF(ISNUMBER(SEARCH(MAP_TNHN!D88&amp;" (1 tiết)",'PL10'!$S$22)),1,0)+IF(ISNUMBER(SEARCH(MAP_TNHN!D88&amp;" (1 tiết)",'PL10'!$S$23)),1,0)+IF(ISNUMBER(SEARCH(MAP_TNHN!D88&amp;" (1 tiết)",'PL10'!$S$24)),1,0)+IF(ISNUMBER(SEARCH(MAP_TNHN!D88&amp;" (1 tiết)",'PL10'!$S$25)),1,0))-(IF(ISNUMBER(SEARCH(MAP_TNHN!D88&amp;" (2 tiết)",'PL10'!$S$5)),1,0)+IF(ISNUMBER(SEARCH(MAP_TNHN!D88&amp;" (2 tiết)",'PL10'!$S$6)),1,0)+IF(ISNUMBER(SEARCH(MAP_TNHN!D88&amp;" (2 tiết)",'PL10'!$S$7)),1,0)+IF(ISNUMBER(SEARCH(MAP_TNHN!D88&amp;" (2 tiết)",'PL10'!$S$8)),1,0)+IF(ISNUMBER(SEARCH(MAP_TNHN!D88&amp;" (2 tiết)",'PL10'!$S$9)),1,0)+IF(ISNUMBER(SEARCH(MAP_TNHN!D88&amp;" (2 tiết)",'PL10'!$S$10)),1,0)+IF(ISNUMBER(SEARCH(MAP_TNHN!D88&amp;" (2 tiết)",'PL10'!$S$11)),1,0)+IF(ISNUMBER(SEARCH(MAP_TNHN!D88&amp;" (2 tiết)",'PL10'!$S$12)),1,0)+IF(ISNUMBER(SEARCH(MAP_TNHN!D88&amp;" (2 tiết)",'PL10'!$S$13)),1,0)+IF(ISNUMBER(SEARCH(MAP_TNHN!D88&amp;" (2 tiết)",'PL10'!$S$14)),1,0)+IF(ISNUMBER(SEARCH(MAP_TNHN!D88&amp;" (2 tiết)",'PL10'!$S$15)),1,0)+IF(ISNUMBER(SEARCH(MAP_TNHN!D88&amp;" (2 tiết)",'PL10'!$S$16)),1,0)+IF(ISNUMBER(SEARCH(MAP_TNHN!D88&amp;" (2 tiết)",'PL10'!$S$17)),1,0)+IF(ISNUMBER(SEARCH(MAP_TNHN!D88&amp;" (2 tiết)",'PL10'!$S$18)),1,0)+IF(ISNUMBER(SEARCH(MAP_TNHN!D88&amp;" (2 tiết)",'PL10'!$S$19)),1,0)+IF(ISNUMBER(SEARCH(MAP_TNHN!D88&amp;" (2 tiết)",'PL10'!$S$20)),1,0)+IF(ISNUMBER(SEARCH(MAP_TNHN!D88&amp;" (2 tiết)",'PL10'!$S$21)),1,0)+IF(ISNUMBER(SEARCH(MAP_TNHN!D88&amp;" (2 tiết)",'PL10'!$S$22)),1,0)+IF(ISNUMBER(SEARCH(MAP_TNHN!D88&amp;" (2 tiết)",'PL10'!$S$23)),1,0)+IF(ISNUMBER(SEARCH(MAP_TNHN!D88&amp;" (2 tiết)",'PL10'!$S$24)),1,0)+IF(ISNUMBER(SEARCH(MAP_TNHN!D88&amp;" (2 tiết)",'PL10'!$S$25)),1,0))))</f>
        <v>1</v>
      </c>
    </row>
    <row r="89" spans="1:51" x14ac:dyDescent="0.35">
      <c r="A89" s="311"/>
      <c r="B89" s="8">
        <v>9</v>
      </c>
      <c r="C89" s="9" t="s">
        <v>203</v>
      </c>
      <c r="D89" s="20">
        <v>11</v>
      </c>
      <c r="E89" s="10">
        <v>2</v>
      </c>
      <c r="F89" s="10"/>
      <c r="G89" s="10">
        <v>2</v>
      </c>
      <c r="H89" s="10">
        <v>2</v>
      </c>
      <c r="I89" s="159">
        <v>1</v>
      </c>
      <c r="J89" s="10"/>
      <c r="K89" s="6">
        <v>1</v>
      </c>
      <c r="L89" s="6">
        <v>1</v>
      </c>
      <c r="M89" s="6"/>
      <c r="N89" s="169">
        <v>1</v>
      </c>
      <c r="O89" s="6"/>
      <c r="P89" s="42"/>
      <c r="Q89" s="42"/>
      <c r="R89" s="42"/>
      <c r="S89" s="138"/>
      <c r="T89" s="42"/>
      <c r="U89" s="11">
        <f>E89*'Phân tiết'!$M$6+G89*('Phân tiết'!$M$21/3)+H89*'Phân tiết'!$L$26+AW89+J89*'Phân tiết'!$M$20+K89*'Phân tiết'!$I$6+M89*('Phân tiết'!$I$21/3)+AX89+O89*'Phân tiết'!$I$20+P89*'Phân tiết'!$E$6+R89*('Phân tiết'!$E$21/3)+AY89+T89*'Phân tiết'!$E$20</f>
        <v>18</v>
      </c>
      <c r="V89" s="8">
        <f t="shared" si="28"/>
        <v>4</v>
      </c>
      <c r="W89" s="6"/>
      <c r="X89" s="6" t="s">
        <v>131</v>
      </c>
      <c r="Y89" s="8">
        <v>1</v>
      </c>
      <c r="Z89" s="43">
        <f t="shared" si="29"/>
        <v>23</v>
      </c>
      <c r="AA89" s="34">
        <f t="shared" si="30"/>
        <v>6</v>
      </c>
      <c r="AB89" s="8"/>
      <c r="AC89" s="8"/>
      <c r="AD89" s="6">
        <f t="shared" si="25"/>
        <v>0</v>
      </c>
      <c r="AE89" s="8"/>
      <c r="AF89" s="8"/>
      <c r="AG89" s="6">
        <f t="shared" si="26"/>
        <v>0</v>
      </c>
      <c r="AH89" s="8"/>
      <c r="AI89" s="8"/>
      <c r="AJ89" s="6">
        <f t="shared" si="31"/>
        <v>0</v>
      </c>
      <c r="AK89" s="6">
        <f t="shared" si="27"/>
        <v>198</v>
      </c>
      <c r="AL89" s="8"/>
      <c r="AM89" s="8"/>
      <c r="AN89" s="8"/>
      <c r="AO89" s="8"/>
      <c r="AP89" s="8"/>
      <c r="AQ89" s="8" t="s">
        <v>46</v>
      </c>
      <c r="AR89" s="8"/>
      <c r="AS89" s="8"/>
      <c r="AT89" s="8" t="s">
        <v>46</v>
      </c>
      <c r="AU89" s="8" t="s">
        <v>84</v>
      </c>
      <c r="AV89" s="8"/>
      <c r="AW89">
        <f>IF(I89="",0,IF(MAP_TNHN!B89="",I89*3,I89*3-2*(IF(ISNUMBER(SEARCH(MAP_TNHN!B89&amp;" (1 tiết)",'PL12'!$S$5)),1,0)+IF(ISNUMBER(SEARCH(MAP_TNHN!B89&amp;" (1 tiết)",'PL12'!$S$6)),1,0)+IF(ISNUMBER(SEARCH(MAP_TNHN!B89&amp;" (1 tiết)",'PL12'!$S$7)),1,0)+IF(ISNUMBER(SEARCH(MAP_TNHN!B89&amp;" (1 tiết)",'PL12'!$S$8)),1,0)+IF(ISNUMBER(SEARCH(MAP_TNHN!B89&amp;" (1 tiết)",'PL12'!$S$9)),1,0)+IF(ISNUMBER(SEARCH(MAP_TNHN!B89&amp;" (1 tiết)",'PL12'!$S$10)),1,0)+IF(ISNUMBER(SEARCH(MAP_TNHN!B89&amp;" (1 tiết)",'PL12'!$S$11)),1,0)+IF(ISNUMBER(SEARCH(MAP_TNHN!B89&amp;" (1 tiết)",'PL12'!$S$12)),1,0)+IF(ISNUMBER(SEARCH(MAP_TNHN!B89&amp;" (1 tiết)",'PL12'!$S$13)),1,0)+IF(ISNUMBER(SEARCH(MAP_TNHN!B89&amp;" (1 tiết)",'PL12'!$S$14)),1,0)+IF(ISNUMBER(SEARCH(MAP_TNHN!B89&amp;" (1 tiết)",'PL12'!$S$15)),1,0)+IF(ISNUMBER(SEARCH(MAP_TNHN!B89&amp;" (1 tiết)",'PL12'!$S$16)),1,0)+IF(ISNUMBER(SEARCH(MAP_TNHN!B89&amp;" (1 tiết)",'PL12'!$S$17)),1,0)+IF(ISNUMBER(SEARCH(MAP_TNHN!B89&amp;" (1 tiết)",'PL12'!$S$18)),1,0)+IF(ISNUMBER(SEARCH(MAP_TNHN!B89&amp;" (1 tiết)",'PL12'!$S$19)),1,0))-(IF(ISNUMBER(SEARCH(MAP_TNHN!B89&amp;" (2 tiết)",'PL12'!$S$5)),1,0)+IF(ISNUMBER(SEARCH(MAP_TNHN!B89&amp;" (2 tiết)",'PL12'!$S$6)),1,0)+IF(ISNUMBER(SEARCH(MAP_TNHN!B89&amp;" (2 tiết)",'PL12'!$S$7)),1,0)+IF(ISNUMBER(SEARCH(MAP_TNHN!B89&amp;" (2 tiết)",'PL12'!$S$8)),1,0)+IF(ISNUMBER(SEARCH(MAP_TNHN!B89&amp;" (2 tiết)",'PL12'!$S$9)),1,0)+IF(ISNUMBER(SEARCH(MAP_TNHN!B89&amp;" (2 tiết)",'PL12'!$S$10)),1,0)+IF(ISNUMBER(SEARCH(MAP_TNHN!B89&amp;" (2 tiết)",'PL12'!$S$11)),1,0)+IF(ISNUMBER(SEARCH(MAP_TNHN!B89&amp;" (2 tiết)",'PL12'!$S$12)),1,0)+IF(ISNUMBER(SEARCH(MAP_TNHN!B89&amp;" (2 tiết)",'PL12'!$S$13)),1,0)+IF(ISNUMBER(SEARCH(MAP_TNHN!B89&amp;" (2 tiết)",'PL12'!$S$14)),1,0)+IF(ISNUMBER(SEARCH(MAP_TNHN!B89&amp;" (2 tiết)",'PL12'!$S$15)),1,0)+IF(ISNUMBER(SEARCH(MAP_TNHN!B89&amp;" (2 tiết)",'PL12'!$S$16)),1,0)+IF(ISNUMBER(SEARCH(MAP_TNHN!B89&amp;" (2 tiết)",'PL12'!$S$17)),1,0)+IF(ISNUMBER(SEARCH(MAP_TNHN!B89&amp;" (2 tiết)",'PL12'!$S$18)),1,0)+IF(ISNUMBER(SEARCH(MAP_TNHN!B89&amp;" (2 tiết)",'PL12'!$S$19)),1,0))))</f>
        <v>2</v>
      </c>
      <c r="AX89">
        <f>IF(N89="",0,IF(MAP_TNHN!C89="",N89*3,N89*3-2*(IF(ISNUMBER(SEARCH(MAP_TNHN!C89&amp;" (1 tiết)",'PL11'!$S$5)),1,0)+IF(ISNUMBER(SEARCH(MAP_TNHN!C89&amp;" (1 tiết)",'PL11'!$S$6)),1,0)+IF(ISNUMBER(SEARCH(MAP_TNHN!C89&amp;" (1 tiết)",'PL11'!$S$7)),1,0)+IF(ISNUMBER(SEARCH(MAP_TNHN!C89&amp;" (1 tiết)",'PL11'!$S$8)),1,0)+IF(ISNUMBER(SEARCH(MAP_TNHN!C89&amp;" (1 tiết)",'PL11'!$S$9)),1,0)+IF(ISNUMBER(SEARCH(MAP_TNHN!C89&amp;" (1 tiết)",'PL11'!$S$10)),1,0)+IF(ISNUMBER(SEARCH(MAP_TNHN!C89&amp;" (1 tiết)",'PL11'!$S$11)),1,0)+IF(ISNUMBER(SEARCH(MAP_TNHN!C89&amp;" (1 tiết)",'PL11'!$S$12)),1,0)+IF(ISNUMBER(SEARCH(MAP_TNHN!C89&amp;" (1 tiết)",'PL11'!$S$13)),1,0)+IF(ISNUMBER(SEARCH(MAP_TNHN!C89&amp;" (1 tiết)",'PL11'!$S$14)),1,0)+IF(ISNUMBER(SEARCH(MAP_TNHN!C89&amp;" (1 tiết)",'PL11'!$S$15)),1,0)+IF(ISNUMBER(SEARCH(MAP_TNHN!C89&amp;" (1 tiết)",'PL11'!$S$16)),1,0)+IF(ISNUMBER(SEARCH(MAP_TNHN!C89&amp;" (1 tiết)",'PL11'!$S$17)),1,0)+IF(ISNUMBER(SEARCH(MAP_TNHN!C89&amp;" (1 tiết)",'PL11'!$S$18)),1,0))-(IF(ISNUMBER(SEARCH(MAP_TNHN!C89&amp;" (2 tiết)",'PL11'!$S$5)),1,0)+IF(ISNUMBER(SEARCH(MAP_TNHN!C89&amp;" (2 tiết)",'PL11'!$S$6)),1,0)+IF(ISNUMBER(SEARCH(MAP_TNHN!C89&amp;" (2 tiết)",'PL11'!$S$7)),1,0)+IF(ISNUMBER(SEARCH(MAP_TNHN!C89&amp;" (2 tiết)",'PL11'!$S$8)),1,0)+IF(ISNUMBER(SEARCH(MAP_TNHN!C89&amp;" (2 tiết)",'PL11'!$S$9)),1,0)+IF(ISNUMBER(SEARCH(MAP_TNHN!C89&amp;" (2 tiết)",'PL11'!$S$10)),1,0)+IF(ISNUMBER(SEARCH(MAP_TNHN!C89&amp;" (2 tiết)",'PL11'!$S$11)),1,0)+IF(ISNUMBER(SEARCH(MAP_TNHN!C89&amp;" (2 tiết)",'PL11'!$S$12)),1,0)+IF(ISNUMBER(SEARCH(MAP_TNHN!C89&amp;" (2 tiết)",'PL11'!$S$13)),1,0)+IF(ISNUMBER(SEARCH(MAP_TNHN!C89&amp;" (2 tiết)",'PL11'!$S$14)),1,0)+IF(ISNUMBER(SEARCH(MAP_TNHN!C89&amp;" (2 tiết)",'PL11'!$S$15)),1,0)+IF(ISNUMBER(SEARCH(MAP_TNHN!C89&amp;" (2 tiết)",'PL11'!$S$16)),1,0)+IF(ISNUMBER(SEARCH(MAP_TNHN!C89&amp;" (2 tiết)",'PL11'!$S$17)),1,0)+IF(ISNUMBER(SEARCH(MAP_TNHN!C89&amp;" (2 tiết)",'PL11'!$S$18)),1,0))))</f>
        <v>1</v>
      </c>
      <c r="AY89">
        <f>IF(S89="",0,IF(MAP_TNHN!D89="",S89*3,S89*3-2*(IF(ISNUMBER(SEARCH(MAP_TNHN!D89&amp;" (1 tiết)",'PL10'!$S$5)),1,0)+IF(ISNUMBER(SEARCH(MAP_TNHN!D89&amp;" (1 tiết)",'PL10'!$S$6)),1,0)+IF(ISNUMBER(SEARCH(MAP_TNHN!D89&amp;" (1 tiết)",'PL10'!$S$7)),1,0)+IF(ISNUMBER(SEARCH(MAP_TNHN!D89&amp;" (1 tiết)",'PL10'!$S$8)),1,0)+IF(ISNUMBER(SEARCH(MAP_TNHN!D89&amp;" (1 tiết)",'PL10'!$S$9)),1,0)+IF(ISNUMBER(SEARCH(MAP_TNHN!D89&amp;" (1 tiết)",'PL10'!$S$10)),1,0)+IF(ISNUMBER(SEARCH(MAP_TNHN!D89&amp;" (1 tiết)",'PL10'!$S$11)),1,0)+IF(ISNUMBER(SEARCH(MAP_TNHN!D89&amp;" (1 tiết)",'PL10'!$S$12)),1,0)+IF(ISNUMBER(SEARCH(MAP_TNHN!D89&amp;" (1 tiết)",'PL10'!$S$13)),1,0)+IF(ISNUMBER(SEARCH(MAP_TNHN!D89&amp;" (1 tiết)",'PL10'!$S$14)),1,0)+IF(ISNUMBER(SEARCH(MAP_TNHN!D89&amp;" (1 tiết)",'PL10'!$S$15)),1,0)+IF(ISNUMBER(SEARCH(MAP_TNHN!D89&amp;" (1 tiết)",'PL10'!$S$16)),1,0)+IF(ISNUMBER(SEARCH(MAP_TNHN!D89&amp;" (1 tiết)",'PL10'!$S$17)),1,0)+IF(ISNUMBER(SEARCH(MAP_TNHN!D89&amp;" (1 tiết)",'PL10'!$S$18)),1,0)+IF(ISNUMBER(SEARCH(MAP_TNHN!D89&amp;" (1 tiết)",'PL10'!$S$19)),1,0)+IF(ISNUMBER(SEARCH(MAP_TNHN!D89&amp;" (1 tiết)",'PL10'!$S$20)),1,0)+IF(ISNUMBER(SEARCH(MAP_TNHN!D89&amp;" (1 tiết)",'PL10'!$S$21)),1,0)+IF(ISNUMBER(SEARCH(MAP_TNHN!D89&amp;" (1 tiết)",'PL10'!$S$22)),1,0)+IF(ISNUMBER(SEARCH(MAP_TNHN!D89&amp;" (1 tiết)",'PL10'!$S$23)),1,0)+IF(ISNUMBER(SEARCH(MAP_TNHN!D89&amp;" (1 tiết)",'PL10'!$S$24)),1,0)+IF(ISNUMBER(SEARCH(MAP_TNHN!D89&amp;" (1 tiết)",'PL10'!$S$25)),1,0))-(IF(ISNUMBER(SEARCH(MAP_TNHN!D89&amp;" (2 tiết)",'PL10'!$S$5)),1,0)+IF(ISNUMBER(SEARCH(MAP_TNHN!D89&amp;" (2 tiết)",'PL10'!$S$6)),1,0)+IF(ISNUMBER(SEARCH(MAP_TNHN!D89&amp;" (2 tiết)",'PL10'!$S$7)),1,0)+IF(ISNUMBER(SEARCH(MAP_TNHN!D89&amp;" (2 tiết)",'PL10'!$S$8)),1,0)+IF(ISNUMBER(SEARCH(MAP_TNHN!D89&amp;" (2 tiết)",'PL10'!$S$9)),1,0)+IF(ISNUMBER(SEARCH(MAP_TNHN!D89&amp;" (2 tiết)",'PL10'!$S$10)),1,0)+IF(ISNUMBER(SEARCH(MAP_TNHN!D89&amp;" (2 tiết)",'PL10'!$S$11)),1,0)+IF(ISNUMBER(SEARCH(MAP_TNHN!D89&amp;" (2 tiết)",'PL10'!$S$12)),1,0)+IF(ISNUMBER(SEARCH(MAP_TNHN!D89&amp;" (2 tiết)",'PL10'!$S$13)),1,0)+IF(ISNUMBER(SEARCH(MAP_TNHN!D89&amp;" (2 tiết)",'PL10'!$S$14)),1,0)+IF(ISNUMBER(SEARCH(MAP_TNHN!D89&amp;" (2 tiết)",'PL10'!$S$15)),1,0)+IF(ISNUMBER(SEARCH(MAP_TNHN!D89&amp;" (2 tiết)",'PL10'!$S$16)),1,0)+IF(ISNUMBER(SEARCH(MAP_TNHN!D89&amp;" (2 tiết)",'PL10'!$S$17)),1,0)+IF(ISNUMBER(SEARCH(MAP_TNHN!D89&amp;" (2 tiết)",'PL10'!$S$18)),1,0)+IF(ISNUMBER(SEARCH(MAP_TNHN!D89&amp;" (2 tiết)",'PL10'!$S$19)),1,0)+IF(ISNUMBER(SEARCH(MAP_TNHN!D89&amp;" (2 tiết)",'PL10'!$S$20)),1,0)+IF(ISNUMBER(SEARCH(MAP_TNHN!D89&amp;" (2 tiết)",'PL10'!$S$21)),1,0)+IF(ISNUMBER(SEARCH(MAP_TNHN!D89&amp;" (2 tiết)",'PL10'!$S$22)),1,0)+IF(ISNUMBER(SEARCH(MAP_TNHN!D89&amp;" (2 tiết)",'PL10'!$S$23)),1,0)+IF(ISNUMBER(SEARCH(MAP_TNHN!D89&amp;" (2 tiết)",'PL10'!$S$24)),1,0)+IF(ISNUMBER(SEARCH(MAP_TNHN!D89&amp;" (2 tiết)",'PL10'!$S$25)),1,0))))</f>
        <v>0</v>
      </c>
    </row>
    <row r="90" spans="1:51" ht="15.5" x14ac:dyDescent="0.35">
      <c r="A90" s="311"/>
      <c r="B90" s="8">
        <v>10</v>
      </c>
      <c r="C90" s="9" t="s">
        <v>204</v>
      </c>
      <c r="D90" s="20">
        <v>12</v>
      </c>
      <c r="E90" s="10">
        <v>1</v>
      </c>
      <c r="F90" s="10">
        <v>1</v>
      </c>
      <c r="G90" s="10">
        <v>1</v>
      </c>
      <c r="H90" s="10">
        <v>1</v>
      </c>
      <c r="I90" s="159">
        <v>1</v>
      </c>
      <c r="J90" s="10"/>
      <c r="K90" s="6">
        <v>3</v>
      </c>
      <c r="L90" s="6"/>
      <c r="M90" s="6">
        <v>1</v>
      </c>
      <c r="N90" s="139"/>
      <c r="O90" s="6"/>
      <c r="P90" s="42"/>
      <c r="Q90" s="42"/>
      <c r="R90" s="42"/>
      <c r="S90" s="138"/>
      <c r="T90" s="42"/>
      <c r="U90" s="11">
        <f>E90*'Phân tiết'!$M$6+G90*('Phân tiết'!$M$21/3)+H90*'Phân tiết'!$L$26+AW90+J90*'Phân tiết'!$M$20+K90*'Phân tiết'!$I$6+M90*('Phân tiết'!$I$21/3)+AX90+O90*'Phân tiết'!$I$20+P90*'Phân tiết'!$E$6+R90*('Phân tiết'!$E$21/3)+AY90+T90*'Phân tiết'!$E$20</f>
        <v>19</v>
      </c>
      <c r="V90" s="8">
        <f t="shared" si="28"/>
        <v>4</v>
      </c>
      <c r="W90" s="6"/>
      <c r="X90" s="6"/>
      <c r="Y90" s="8"/>
      <c r="Z90" s="43">
        <f t="shared" si="29"/>
        <v>23</v>
      </c>
      <c r="AA90" s="34">
        <f t="shared" si="30"/>
        <v>6</v>
      </c>
      <c r="AB90" s="8"/>
      <c r="AC90" s="8"/>
      <c r="AD90" s="6">
        <f t="shared" si="25"/>
        <v>0</v>
      </c>
      <c r="AE90" s="8"/>
      <c r="AF90" s="8"/>
      <c r="AG90" s="6">
        <f t="shared" si="26"/>
        <v>0</v>
      </c>
      <c r="AH90" s="8"/>
      <c r="AI90" s="8"/>
      <c r="AJ90" s="6">
        <f t="shared" si="31"/>
        <v>0</v>
      </c>
      <c r="AK90" s="6">
        <f t="shared" si="27"/>
        <v>198</v>
      </c>
      <c r="AL90" s="8"/>
      <c r="AM90" s="8"/>
      <c r="AN90" s="8" t="s">
        <v>83</v>
      </c>
      <c r="AO90" s="8"/>
      <c r="AP90" s="8"/>
      <c r="AQ90" s="8" t="s">
        <v>46</v>
      </c>
      <c r="AR90" s="8"/>
      <c r="AS90" s="8"/>
      <c r="AT90" s="8" t="s">
        <v>46</v>
      </c>
      <c r="AU90" s="8" t="s">
        <v>84</v>
      </c>
      <c r="AV90" s="51" t="s">
        <v>194</v>
      </c>
      <c r="AW90">
        <f>IF(I90="",0,IF(MAP_TNHN!B90="",I90*3,I90*3-2*(IF(ISNUMBER(SEARCH(MAP_TNHN!B90&amp;" (1 tiết)",'PL12'!$S$5)),1,0)+IF(ISNUMBER(SEARCH(MAP_TNHN!B90&amp;" (1 tiết)",'PL12'!$S$6)),1,0)+IF(ISNUMBER(SEARCH(MAP_TNHN!B90&amp;" (1 tiết)",'PL12'!$S$7)),1,0)+IF(ISNUMBER(SEARCH(MAP_TNHN!B90&amp;" (1 tiết)",'PL12'!$S$8)),1,0)+IF(ISNUMBER(SEARCH(MAP_TNHN!B90&amp;" (1 tiết)",'PL12'!$S$9)),1,0)+IF(ISNUMBER(SEARCH(MAP_TNHN!B90&amp;" (1 tiết)",'PL12'!$S$10)),1,0)+IF(ISNUMBER(SEARCH(MAP_TNHN!B90&amp;" (1 tiết)",'PL12'!$S$11)),1,0)+IF(ISNUMBER(SEARCH(MAP_TNHN!B90&amp;" (1 tiết)",'PL12'!$S$12)),1,0)+IF(ISNUMBER(SEARCH(MAP_TNHN!B90&amp;" (1 tiết)",'PL12'!$S$13)),1,0)+IF(ISNUMBER(SEARCH(MAP_TNHN!B90&amp;" (1 tiết)",'PL12'!$S$14)),1,0)+IF(ISNUMBER(SEARCH(MAP_TNHN!B90&amp;" (1 tiết)",'PL12'!$S$15)),1,0)+IF(ISNUMBER(SEARCH(MAP_TNHN!B90&amp;" (1 tiết)",'PL12'!$S$16)),1,0)+IF(ISNUMBER(SEARCH(MAP_TNHN!B90&amp;" (1 tiết)",'PL12'!$S$17)),1,0)+IF(ISNUMBER(SEARCH(MAP_TNHN!B90&amp;" (1 tiết)",'PL12'!$S$18)),1,0)+IF(ISNUMBER(SEARCH(MAP_TNHN!B90&amp;" (1 tiết)",'PL12'!$S$19)),1,0))-(IF(ISNUMBER(SEARCH(MAP_TNHN!B90&amp;" (2 tiết)",'PL12'!$S$5)),1,0)+IF(ISNUMBER(SEARCH(MAP_TNHN!B90&amp;" (2 tiết)",'PL12'!$S$6)),1,0)+IF(ISNUMBER(SEARCH(MAP_TNHN!B90&amp;" (2 tiết)",'PL12'!$S$7)),1,0)+IF(ISNUMBER(SEARCH(MAP_TNHN!B90&amp;" (2 tiết)",'PL12'!$S$8)),1,0)+IF(ISNUMBER(SEARCH(MAP_TNHN!B90&amp;" (2 tiết)",'PL12'!$S$9)),1,0)+IF(ISNUMBER(SEARCH(MAP_TNHN!B90&amp;" (2 tiết)",'PL12'!$S$10)),1,0)+IF(ISNUMBER(SEARCH(MAP_TNHN!B90&amp;" (2 tiết)",'PL12'!$S$11)),1,0)+IF(ISNUMBER(SEARCH(MAP_TNHN!B90&amp;" (2 tiết)",'PL12'!$S$12)),1,0)+IF(ISNUMBER(SEARCH(MAP_TNHN!B90&amp;" (2 tiết)",'PL12'!$S$13)),1,0)+IF(ISNUMBER(SEARCH(MAP_TNHN!B90&amp;" (2 tiết)",'PL12'!$S$14)),1,0)+IF(ISNUMBER(SEARCH(MAP_TNHN!B90&amp;" (2 tiết)",'PL12'!$S$15)),1,0)+IF(ISNUMBER(SEARCH(MAP_TNHN!B90&amp;" (2 tiết)",'PL12'!$S$16)),1,0)+IF(ISNUMBER(SEARCH(MAP_TNHN!B90&amp;" (2 tiết)",'PL12'!$S$17)),1,0)+IF(ISNUMBER(SEARCH(MAP_TNHN!B90&amp;" (2 tiết)",'PL12'!$S$18)),1,0)+IF(ISNUMBER(SEARCH(MAP_TNHN!B90&amp;" (2 tiết)",'PL12'!$S$19)),1,0))))</f>
        <v>3</v>
      </c>
      <c r="AX90">
        <f>IF(N90="",0,IF(MAP_TNHN!C90="",N90*3,N90*3-2*(IF(ISNUMBER(SEARCH(MAP_TNHN!C90&amp;" (1 tiết)",'PL11'!$S$5)),1,0)+IF(ISNUMBER(SEARCH(MAP_TNHN!C90&amp;" (1 tiết)",'PL11'!$S$6)),1,0)+IF(ISNUMBER(SEARCH(MAP_TNHN!C90&amp;" (1 tiết)",'PL11'!$S$7)),1,0)+IF(ISNUMBER(SEARCH(MAP_TNHN!C90&amp;" (1 tiết)",'PL11'!$S$8)),1,0)+IF(ISNUMBER(SEARCH(MAP_TNHN!C90&amp;" (1 tiết)",'PL11'!$S$9)),1,0)+IF(ISNUMBER(SEARCH(MAP_TNHN!C90&amp;" (1 tiết)",'PL11'!$S$10)),1,0)+IF(ISNUMBER(SEARCH(MAP_TNHN!C90&amp;" (1 tiết)",'PL11'!$S$11)),1,0)+IF(ISNUMBER(SEARCH(MAP_TNHN!C90&amp;" (1 tiết)",'PL11'!$S$12)),1,0)+IF(ISNUMBER(SEARCH(MAP_TNHN!C90&amp;" (1 tiết)",'PL11'!$S$13)),1,0)+IF(ISNUMBER(SEARCH(MAP_TNHN!C90&amp;" (1 tiết)",'PL11'!$S$14)),1,0)+IF(ISNUMBER(SEARCH(MAP_TNHN!C90&amp;" (1 tiết)",'PL11'!$S$15)),1,0)+IF(ISNUMBER(SEARCH(MAP_TNHN!C90&amp;" (1 tiết)",'PL11'!$S$16)),1,0)+IF(ISNUMBER(SEARCH(MAP_TNHN!C90&amp;" (1 tiết)",'PL11'!$S$17)),1,0)+IF(ISNUMBER(SEARCH(MAP_TNHN!C90&amp;" (1 tiết)",'PL11'!$S$18)),1,0))-(IF(ISNUMBER(SEARCH(MAP_TNHN!C90&amp;" (2 tiết)",'PL11'!$S$5)),1,0)+IF(ISNUMBER(SEARCH(MAP_TNHN!C90&amp;" (2 tiết)",'PL11'!$S$6)),1,0)+IF(ISNUMBER(SEARCH(MAP_TNHN!C90&amp;" (2 tiết)",'PL11'!$S$7)),1,0)+IF(ISNUMBER(SEARCH(MAP_TNHN!C90&amp;" (2 tiết)",'PL11'!$S$8)),1,0)+IF(ISNUMBER(SEARCH(MAP_TNHN!C90&amp;" (2 tiết)",'PL11'!$S$9)),1,0)+IF(ISNUMBER(SEARCH(MAP_TNHN!C90&amp;" (2 tiết)",'PL11'!$S$10)),1,0)+IF(ISNUMBER(SEARCH(MAP_TNHN!C90&amp;" (2 tiết)",'PL11'!$S$11)),1,0)+IF(ISNUMBER(SEARCH(MAP_TNHN!C90&amp;" (2 tiết)",'PL11'!$S$12)),1,0)+IF(ISNUMBER(SEARCH(MAP_TNHN!C90&amp;" (2 tiết)",'PL11'!$S$13)),1,0)+IF(ISNUMBER(SEARCH(MAP_TNHN!C90&amp;" (2 tiết)",'PL11'!$S$14)),1,0)+IF(ISNUMBER(SEARCH(MAP_TNHN!C90&amp;" (2 tiết)",'PL11'!$S$15)),1,0)+IF(ISNUMBER(SEARCH(MAP_TNHN!C90&amp;" (2 tiết)",'PL11'!$S$16)),1,0)+IF(ISNUMBER(SEARCH(MAP_TNHN!C90&amp;" (2 tiết)",'PL11'!$S$17)),1,0)+IF(ISNUMBER(SEARCH(MAP_TNHN!C90&amp;" (2 tiết)",'PL11'!$S$18)),1,0))))</f>
        <v>0</v>
      </c>
      <c r="AY90">
        <f>IF(S90="",0,IF(MAP_TNHN!D90="",S90*3,S90*3-2*(IF(ISNUMBER(SEARCH(MAP_TNHN!D90&amp;" (1 tiết)",'PL10'!$S$5)),1,0)+IF(ISNUMBER(SEARCH(MAP_TNHN!D90&amp;" (1 tiết)",'PL10'!$S$6)),1,0)+IF(ISNUMBER(SEARCH(MAP_TNHN!D90&amp;" (1 tiết)",'PL10'!$S$7)),1,0)+IF(ISNUMBER(SEARCH(MAP_TNHN!D90&amp;" (1 tiết)",'PL10'!$S$8)),1,0)+IF(ISNUMBER(SEARCH(MAP_TNHN!D90&amp;" (1 tiết)",'PL10'!$S$9)),1,0)+IF(ISNUMBER(SEARCH(MAP_TNHN!D90&amp;" (1 tiết)",'PL10'!$S$10)),1,0)+IF(ISNUMBER(SEARCH(MAP_TNHN!D90&amp;" (1 tiết)",'PL10'!$S$11)),1,0)+IF(ISNUMBER(SEARCH(MAP_TNHN!D90&amp;" (1 tiết)",'PL10'!$S$12)),1,0)+IF(ISNUMBER(SEARCH(MAP_TNHN!D90&amp;" (1 tiết)",'PL10'!$S$13)),1,0)+IF(ISNUMBER(SEARCH(MAP_TNHN!D90&amp;" (1 tiết)",'PL10'!$S$14)),1,0)+IF(ISNUMBER(SEARCH(MAP_TNHN!D90&amp;" (1 tiết)",'PL10'!$S$15)),1,0)+IF(ISNUMBER(SEARCH(MAP_TNHN!D90&amp;" (1 tiết)",'PL10'!$S$16)),1,0)+IF(ISNUMBER(SEARCH(MAP_TNHN!D90&amp;" (1 tiết)",'PL10'!$S$17)),1,0)+IF(ISNUMBER(SEARCH(MAP_TNHN!D90&amp;" (1 tiết)",'PL10'!$S$18)),1,0)+IF(ISNUMBER(SEARCH(MAP_TNHN!D90&amp;" (1 tiết)",'PL10'!$S$19)),1,0)+IF(ISNUMBER(SEARCH(MAP_TNHN!D90&amp;" (1 tiết)",'PL10'!$S$20)),1,0)+IF(ISNUMBER(SEARCH(MAP_TNHN!D90&amp;" (1 tiết)",'PL10'!$S$21)),1,0)+IF(ISNUMBER(SEARCH(MAP_TNHN!D90&amp;" (1 tiết)",'PL10'!$S$22)),1,0)+IF(ISNUMBER(SEARCH(MAP_TNHN!D90&amp;" (1 tiết)",'PL10'!$S$23)),1,0)+IF(ISNUMBER(SEARCH(MAP_TNHN!D90&amp;" (1 tiết)",'PL10'!$S$24)),1,0)+IF(ISNUMBER(SEARCH(MAP_TNHN!D90&amp;" (1 tiết)",'PL10'!$S$25)),1,0))-(IF(ISNUMBER(SEARCH(MAP_TNHN!D90&amp;" (2 tiết)",'PL10'!$S$5)),1,0)+IF(ISNUMBER(SEARCH(MAP_TNHN!D90&amp;" (2 tiết)",'PL10'!$S$6)),1,0)+IF(ISNUMBER(SEARCH(MAP_TNHN!D90&amp;" (2 tiết)",'PL10'!$S$7)),1,0)+IF(ISNUMBER(SEARCH(MAP_TNHN!D90&amp;" (2 tiết)",'PL10'!$S$8)),1,0)+IF(ISNUMBER(SEARCH(MAP_TNHN!D90&amp;" (2 tiết)",'PL10'!$S$9)),1,0)+IF(ISNUMBER(SEARCH(MAP_TNHN!D90&amp;" (2 tiết)",'PL10'!$S$10)),1,0)+IF(ISNUMBER(SEARCH(MAP_TNHN!D90&amp;" (2 tiết)",'PL10'!$S$11)),1,0)+IF(ISNUMBER(SEARCH(MAP_TNHN!D90&amp;" (2 tiết)",'PL10'!$S$12)),1,0)+IF(ISNUMBER(SEARCH(MAP_TNHN!D90&amp;" (2 tiết)",'PL10'!$S$13)),1,0)+IF(ISNUMBER(SEARCH(MAP_TNHN!D90&amp;" (2 tiết)",'PL10'!$S$14)),1,0)+IF(ISNUMBER(SEARCH(MAP_TNHN!D90&amp;" (2 tiết)",'PL10'!$S$15)),1,0)+IF(ISNUMBER(SEARCH(MAP_TNHN!D90&amp;" (2 tiết)",'PL10'!$S$16)),1,0)+IF(ISNUMBER(SEARCH(MAP_TNHN!D90&amp;" (2 tiết)",'PL10'!$S$17)),1,0)+IF(ISNUMBER(SEARCH(MAP_TNHN!D90&amp;" (2 tiết)",'PL10'!$S$18)),1,0)+IF(ISNUMBER(SEARCH(MAP_TNHN!D90&amp;" (2 tiết)",'PL10'!$S$19)),1,0)+IF(ISNUMBER(SEARCH(MAP_TNHN!D90&amp;" (2 tiết)",'PL10'!$S$20)),1,0)+IF(ISNUMBER(SEARCH(MAP_TNHN!D90&amp;" (2 tiết)",'PL10'!$S$21)),1,0)+IF(ISNUMBER(SEARCH(MAP_TNHN!D90&amp;" (2 tiết)",'PL10'!$S$22)),1,0)+IF(ISNUMBER(SEARCH(MAP_TNHN!D90&amp;" (2 tiết)",'PL10'!$S$23)),1,0)+IF(ISNUMBER(SEARCH(MAP_TNHN!D90&amp;" (2 tiết)",'PL10'!$S$24)),1,0)+IF(ISNUMBER(SEARCH(MAP_TNHN!D90&amp;" (2 tiết)",'PL10'!$S$25)),1,0))))</f>
        <v>0</v>
      </c>
    </row>
    <row r="91" spans="1:51" x14ac:dyDescent="0.35">
      <c r="A91" s="311"/>
      <c r="B91" s="8">
        <v>11</v>
      </c>
      <c r="C91" s="9" t="s">
        <v>205</v>
      </c>
      <c r="D91" s="20">
        <v>10</v>
      </c>
      <c r="E91" s="10"/>
      <c r="F91" s="10"/>
      <c r="G91" s="10"/>
      <c r="H91" s="10"/>
      <c r="I91" s="159"/>
      <c r="J91" s="10"/>
      <c r="K91" s="6">
        <v>2</v>
      </c>
      <c r="L91" s="6"/>
      <c r="M91" s="6">
        <v>1</v>
      </c>
      <c r="N91" s="197"/>
      <c r="O91" s="6"/>
      <c r="P91" s="42">
        <v>2</v>
      </c>
      <c r="Q91" s="42">
        <v>1</v>
      </c>
      <c r="R91" s="42">
        <v>2</v>
      </c>
      <c r="S91" s="166">
        <v>1</v>
      </c>
      <c r="T91" s="42"/>
      <c r="U91" s="11">
        <f>E91*'Phân tiết'!$M$6+G91*('Phân tiết'!$M$21/3)+H91*'Phân tiết'!$L$26+AW91+J91*'Phân tiết'!$M$20+K91*'Phân tiết'!$I$6+M91*('Phân tiết'!$I$21/3)+AX91+O91*'Phân tiết'!$I$20+P91*'Phân tiết'!$E$6+R91*('Phân tiết'!$E$21/3)+AY91+T91*'Phân tiết'!$E$20</f>
        <v>16</v>
      </c>
      <c r="V91" s="8">
        <f t="shared" si="28"/>
        <v>4</v>
      </c>
      <c r="W91" s="6"/>
      <c r="X91" s="6"/>
      <c r="Y91" s="8"/>
      <c r="Z91" s="43">
        <f t="shared" si="29"/>
        <v>20</v>
      </c>
      <c r="AA91" s="34">
        <f t="shared" si="30"/>
        <v>3</v>
      </c>
      <c r="AB91" s="8"/>
      <c r="AC91" s="8"/>
      <c r="AD91" s="6">
        <f t="shared" si="25"/>
        <v>0</v>
      </c>
      <c r="AE91" s="8"/>
      <c r="AF91" s="8"/>
      <c r="AG91" s="6">
        <f t="shared" si="26"/>
        <v>0</v>
      </c>
      <c r="AH91" s="8"/>
      <c r="AI91" s="8"/>
      <c r="AJ91" s="6">
        <f t="shared" si="31"/>
        <v>0</v>
      </c>
      <c r="AK91" s="6">
        <f t="shared" si="27"/>
        <v>99</v>
      </c>
      <c r="AL91" s="8"/>
      <c r="AM91" s="8"/>
      <c r="AN91" s="8" t="s">
        <v>83</v>
      </c>
      <c r="AO91" s="8"/>
      <c r="AP91" s="8"/>
      <c r="AQ91" s="8" t="s">
        <v>46</v>
      </c>
      <c r="AR91" s="8"/>
      <c r="AS91" s="8"/>
      <c r="AT91" s="8" t="s">
        <v>46</v>
      </c>
      <c r="AU91" s="8" t="s">
        <v>84</v>
      </c>
      <c r="AV91" s="8" t="s">
        <v>194</v>
      </c>
      <c r="AW91">
        <f>IF(I91="",0,IF(MAP_TNHN!B91="",I91*3,I91*3-2*(IF(ISNUMBER(SEARCH(MAP_TNHN!B91&amp;" (1 tiết)",'PL12'!$S$5)),1,0)+IF(ISNUMBER(SEARCH(MAP_TNHN!B91&amp;" (1 tiết)",'PL12'!$S$6)),1,0)+IF(ISNUMBER(SEARCH(MAP_TNHN!B91&amp;" (1 tiết)",'PL12'!$S$7)),1,0)+IF(ISNUMBER(SEARCH(MAP_TNHN!B91&amp;" (1 tiết)",'PL12'!$S$8)),1,0)+IF(ISNUMBER(SEARCH(MAP_TNHN!B91&amp;" (1 tiết)",'PL12'!$S$9)),1,0)+IF(ISNUMBER(SEARCH(MAP_TNHN!B91&amp;" (1 tiết)",'PL12'!$S$10)),1,0)+IF(ISNUMBER(SEARCH(MAP_TNHN!B91&amp;" (1 tiết)",'PL12'!$S$11)),1,0)+IF(ISNUMBER(SEARCH(MAP_TNHN!B91&amp;" (1 tiết)",'PL12'!$S$12)),1,0)+IF(ISNUMBER(SEARCH(MAP_TNHN!B91&amp;" (1 tiết)",'PL12'!$S$13)),1,0)+IF(ISNUMBER(SEARCH(MAP_TNHN!B91&amp;" (1 tiết)",'PL12'!$S$14)),1,0)+IF(ISNUMBER(SEARCH(MAP_TNHN!B91&amp;" (1 tiết)",'PL12'!$S$15)),1,0)+IF(ISNUMBER(SEARCH(MAP_TNHN!B91&amp;" (1 tiết)",'PL12'!$S$16)),1,0)+IF(ISNUMBER(SEARCH(MAP_TNHN!B91&amp;" (1 tiết)",'PL12'!$S$17)),1,0)+IF(ISNUMBER(SEARCH(MAP_TNHN!B91&amp;" (1 tiết)",'PL12'!$S$18)),1,0)+IF(ISNUMBER(SEARCH(MAP_TNHN!B91&amp;" (1 tiết)",'PL12'!$S$19)),1,0))-(IF(ISNUMBER(SEARCH(MAP_TNHN!B91&amp;" (2 tiết)",'PL12'!$S$5)),1,0)+IF(ISNUMBER(SEARCH(MAP_TNHN!B91&amp;" (2 tiết)",'PL12'!$S$6)),1,0)+IF(ISNUMBER(SEARCH(MAP_TNHN!B91&amp;" (2 tiết)",'PL12'!$S$7)),1,0)+IF(ISNUMBER(SEARCH(MAP_TNHN!B91&amp;" (2 tiết)",'PL12'!$S$8)),1,0)+IF(ISNUMBER(SEARCH(MAP_TNHN!B91&amp;" (2 tiết)",'PL12'!$S$9)),1,0)+IF(ISNUMBER(SEARCH(MAP_TNHN!B91&amp;" (2 tiết)",'PL12'!$S$10)),1,0)+IF(ISNUMBER(SEARCH(MAP_TNHN!B91&amp;" (2 tiết)",'PL12'!$S$11)),1,0)+IF(ISNUMBER(SEARCH(MAP_TNHN!B91&amp;" (2 tiết)",'PL12'!$S$12)),1,0)+IF(ISNUMBER(SEARCH(MAP_TNHN!B91&amp;" (2 tiết)",'PL12'!$S$13)),1,0)+IF(ISNUMBER(SEARCH(MAP_TNHN!B91&amp;" (2 tiết)",'PL12'!$S$14)),1,0)+IF(ISNUMBER(SEARCH(MAP_TNHN!B91&amp;" (2 tiết)",'PL12'!$S$15)),1,0)+IF(ISNUMBER(SEARCH(MAP_TNHN!B91&amp;" (2 tiết)",'PL12'!$S$16)),1,0)+IF(ISNUMBER(SEARCH(MAP_TNHN!B91&amp;" (2 tiết)",'PL12'!$S$17)),1,0)+IF(ISNUMBER(SEARCH(MAP_TNHN!B91&amp;" (2 tiết)",'PL12'!$S$18)),1,0)+IF(ISNUMBER(SEARCH(MAP_TNHN!B91&amp;" (2 tiết)",'PL12'!$S$19)),1,0))))</f>
        <v>0</v>
      </c>
      <c r="AX91">
        <f>IF(N91="",0,IF(MAP_TNHN!C91="",N91*3,N91*3-2*(IF(ISNUMBER(SEARCH(MAP_TNHN!C91&amp;" (1 tiết)",'PL11'!$S$5)),1,0)+IF(ISNUMBER(SEARCH(MAP_TNHN!C91&amp;" (1 tiết)",'PL11'!$S$6)),1,0)+IF(ISNUMBER(SEARCH(MAP_TNHN!C91&amp;" (1 tiết)",'PL11'!$S$7)),1,0)+IF(ISNUMBER(SEARCH(MAP_TNHN!C91&amp;" (1 tiết)",'PL11'!$S$8)),1,0)+IF(ISNUMBER(SEARCH(MAP_TNHN!C91&amp;" (1 tiết)",'PL11'!$S$9)),1,0)+IF(ISNUMBER(SEARCH(MAP_TNHN!C91&amp;" (1 tiết)",'PL11'!$S$10)),1,0)+IF(ISNUMBER(SEARCH(MAP_TNHN!C91&amp;" (1 tiết)",'PL11'!$S$11)),1,0)+IF(ISNUMBER(SEARCH(MAP_TNHN!C91&amp;" (1 tiết)",'PL11'!$S$12)),1,0)+IF(ISNUMBER(SEARCH(MAP_TNHN!C91&amp;" (1 tiết)",'PL11'!$S$13)),1,0)+IF(ISNUMBER(SEARCH(MAP_TNHN!C91&amp;" (1 tiết)",'PL11'!$S$14)),1,0)+IF(ISNUMBER(SEARCH(MAP_TNHN!C91&amp;" (1 tiết)",'PL11'!$S$15)),1,0)+IF(ISNUMBER(SEARCH(MAP_TNHN!C91&amp;" (1 tiết)",'PL11'!$S$16)),1,0)+IF(ISNUMBER(SEARCH(MAP_TNHN!C91&amp;" (1 tiết)",'PL11'!$S$17)),1,0)+IF(ISNUMBER(SEARCH(MAP_TNHN!C91&amp;" (1 tiết)",'PL11'!$S$18)),1,0))-(IF(ISNUMBER(SEARCH(MAP_TNHN!C91&amp;" (2 tiết)",'PL11'!$S$5)),1,0)+IF(ISNUMBER(SEARCH(MAP_TNHN!C91&amp;" (2 tiết)",'PL11'!$S$6)),1,0)+IF(ISNUMBER(SEARCH(MAP_TNHN!C91&amp;" (2 tiết)",'PL11'!$S$7)),1,0)+IF(ISNUMBER(SEARCH(MAP_TNHN!C91&amp;" (2 tiết)",'PL11'!$S$8)),1,0)+IF(ISNUMBER(SEARCH(MAP_TNHN!C91&amp;" (2 tiết)",'PL11'!$S$9)),1,0)+IF(ISNUMBER(SEARCH(MAP_TNHN!C91&amp;" (2 tiết)",'PL11'!$S$10)),1,0)+IF(ISNUMBER(SEARCH(MAP_TNHN!C91&amp;" (2 tiết)",'PL11'!$S$11)),1,0)+IF(ISNUMBER(SEARCH(MAP_TNHN!C91&amp;" (2 tiết)",'PL11'!$S$12)),1,0)+IF(ISNUMBER(SEARCH(MAP_TNHN!C91&amp;" (2 tiết)",'PL11'!$S$13)),1,0)+IF(ISNUMBER(SEARCH(MAP_TNHN!C91&amp;" (2 tiết)",'PL11'!$S$14)),1,0)+IF(ISNUMBER(SEARCH(MAP_TNHN!C91&amp;" (2 tiết)",'PL11'!$S$15)),1,0)+IF(ISNUMBER(SEARCH(MAP_TNHN!C91&amp;" (2 tiết)",'PL11'!$S$16)),1,0)+IF(ISNUMBER(SEARCH(MAP_TNHN!C91&amp;" (2 tiết)",'PL11'!$S$17)),1,0)+IF(ISNUMBER(SEARCH(MAP_TNHN!C91&amp;" (2 tiết)",'PL11'!$S$18)),1,0))))</f>
        <v>0</v>
      </c>
      <c r="AY91">
        <f>IF(S91="",0,IF(MAP_TNHN!D91="",S91*3,S91*3-2*(IF(ISNUMBER(SEARCH(MAP_TNHN!D91&amp;" (1 tiết)",'PL10'!$S$5)),1,0)+IF(ISNUMBER(SEARCH(MAP_TNHN!D91&amp;" (1 tiết)",'PL10'!$S$6)),1,0)+IF(ISNUMBER(SEARCH(MAP_TNHN!D91&amp;" (1 tiết)",'PL10'!$S$7)),1,0)+IF(ISNUMBER(SEARCH(MAP_TNHN!D91&amp;" (1 tiết)",'PL10'!$S$8)),1,0)+IF(ISNUMBER(SEARCH(MAP_TNHN!D91&amp;" (1 tiết)",'PL10'!$S$9)),1,0)+IF(ISNUMBER(SEARCH(MAP_TNHN!D91&amp;" (1 tiết)",'PL10'!$S$10)),1,0)+IF(ISNUMBER(SEARCH(MAP_TNHN!D91&amp;" (1 tiết)",'PL10'!$S$11)),1,0)+IF(ISNUMBER(SEARCH(MAP_TNHN!D91&amp;" (1 tiết)",'PL10'!$S$12)),1,0)+IF(ISNUMBER(SEARCH(MAP_TNHN!D91&amp;" (1 tiết)",'PL10'!$S$13)),1,0)+IF(ISNUMBER(SEARCH(MAP_TNHN!D91&amp;" (1 tiết)",'PL10'!$S$14)),1,0)+IF(ISNUMBER(SEARCH(MAP_TNHN!D91&amp;" (1 tiết)",'PL10'!$S$15)),1,0)+IF(ISNUMBER(SEARCH(MAP_TNHN!D91&amp;" (1 tiết)",'PL10'!$S$16)),1,0)+IF(ISNUMBER(SEARCH(MAP_TNHN!D91&amp;" (1 tiết)",'PL10'!$S$17)),1,0)+IF(ISNUMBER(SEARCH(MAP_TNHN!D91&amp;" (1 tiết)",'PL10'!$S$18)),1,0)+IF(ISNUMBER(SEARCH(MAP_TNHN!D91&amp;" (1 tiết)",'PL10'!$S$19)),1,0)+IF(ISNUMBER(SEARCH(MAP_TNHN!D91&amp;" (1 tiết)",'PL10'!$S$20)),1,0)+IF(ISNUMBER(SEARCH(MAP_TNHN!D91&amp;" (1 tiết)",'PL10'!$S$21)),1,0)+IF(ISNUMBER(SEARCH(MAP_TNHN!D91&amp;" (1 tiết)",'PL10'!$S$22)),1,0)+IF(ISNUMBER(SEARCH(MAP_TNHN!D91&amp;" (1 tiết)",'PL10'!$S$23)),1,0)+IF(ISNUMBER(SEARCH(MAP_TNHN!D91&amp;" (1 tiết)",'PL10'!$S$24)),1,0)+IF(ISNUMBER(SEARCH(MAP_TNHN!D91&amp;" (1 tiết)",'PL10'!$S$25)),1,0))-(IF(ISNUMBER(SEARCH(MAP_TNHN!D91&amp;" (2 tiết)",'PL10'!$S$5)),1,0)+IF(ISNUMBER(SEARCH(MAP_TNHN!D91&amp;" (2 tiết)",'PL10'!$S$6)),1,0)+IF(ISNUMBER(SEARCH(MAP_TNHN!D91&amp;" (2 tiết)",'PL10'!$S$7)),1,0)+IF(ISNUMBER(SEARCH(MAP_TNHN!D91&amp;" (2 tiết)",'PL10'!$S$8)),1,0)+IF(ISNUMBER(SEARCH(MAP_TNHN!D91&amp;" (2 tiết)",'PL10'!$S$9)),1,0)+IF(ISNUMBER(SEARCH(MAP_TNHN!D91&amp;" (2 tiết)",'PL10'!$S$10)),1,0)+IF(ISNUMBER(SEARCH(MAP_TNHN!D91&amp;" (2 tiết)",'PL10'!$S$11)),1,0)+IF(ISNUMBER(SEARCH(MAP_TNHN!D91&amp;" (2 tiết)",'PL10'!$S$12)),1,0)+IF(ISNUMBER(SEARCH(MAP_TNHN!D91&amp;" (2 tiết)",'PL10'!$S$13)),1,0)+IF(ISNUMBER(SEARCH(MAP_TNHN!D91&amp;" (2 tiết)",'PL10'!$S$14)),1,0)+IF(ISNUMBER(SEARCH(MAP_TNHN!D91&amp;" (2 tiết)",'PL10'!$S$15)),1,0)+IF(ISNUMBER(SEARCH(MAP_TNHN!D91&amp;" (2 tiết)",'PL10'!$S$16)),1,0)+IF(ISNUMBER(SEARCH(MAP_TNHN!D91&amp;" (2 tiết)",'PL10'!$S$17)),1,0)+IF(ISNUMBER(SEARCH(MAP_TNHN!D91&amp;" (2 tiết)",'PL10'!$S$18)),1,0)+IF(ISNUMBER(SEARCH(MAP_TNHN!D91&amp;" (2 tiết)",'PL10'!$S$19)),1,0)+IF(ISNUMBER(SEARCH(MAP_TNHN!D91&amp;" (2 tiết)",'PL10'!$S$20)),1,0)+IF(ISNUMBER(SEARCH(MAP_TNHN!D91&amp;" (2 tiết)",'PL10'!$S$21)),1,0)+IF(ISNUMBER(SEARCH(MAP_TNHN!D91&amp;" (2 tiết)",'PL10'!$S$22)),1,0)+IF(ISNUMBER(SEARCH(MAP_TNHN!D91&amp;" (2 tiết)",'PL10'!$S$23)),1,0)+IF(ISNUMBER(SEARCH(MAP_TNHN!D91&amp;" (2 tiết)",'PL10'!$S$24)),1,0)+IF(ISNUMBER(SEARCH(MAP_TNHN!D91&amp;" (2 tiết)",'PL10'!$S$25)),1,0))))</f>
        <v>1</v>
      </c>
    </row>
    <row r="92" spans="1:51" x14ac:dyDescent="0.35">
      <c r="A92" s="311"/>
      <c r="B92" s="8">
        <v>12</v>
      </c>
      <c r="C92" s="9" t="s">
        <v>206</v>
      </c>
      <c r="D92" s="20">
        <v>12</v>
      </c>
      <c r="E92" s="10">
        <v>2</v>
      </c>
      <c r="F92" s="10">
        <v>1</v>
      </c>
      <c r="G92" s="10"/>
      <c r="H92" s="10">
        <v>2</v>
      </c>
      <c r="I92" s="159">
        <v>1</v>
      </c>
      <c r="J92" s="10"/>
      <c r="K92" s="6">
        <v>1</v>
      </c>
      <c r="L92" s="6"/>
      <c r="M92" s="6">
        <v>1</v>
      </c>
      <c r="N92" s="139"/>
      <c r="O92" s="6"/>
      <c r="P92" s="42"/>
      <c r="Q92" s="42"/>
      <c r="R92" s="42"/>
      <c r="S92" s="138"/>
      <c r="T92" s="42"/>
      <c r="U92" s="11">
        <f>E92*'Phân tiết'!$M$6+G92*('Phân tiết'!$M$21/3)+H92*'Phân tiết'!$L$26+AW92+J92*'Phân tiết'!$M$20+K92*'Phân tiết'!$I$6+M92*('Phân tiết'!$I$21/3)+AX92+O92*'Phân tiết'!$I$20+P92*'Phân tiết'!$E$6+R92*('Phân tiết'!$E$21/3)+AY92+T92*'Phân tiết'!$E$20</f>
        <v>17</v>
      </c>
      <c r="V92" s="8">
        <f t="shared" si="28"/>
        <v>4</v>
      </c>
      <c r="W92" s="6" t="s">
        <v>51</v>
      </c>
      <c r="X92" s="6"/>
      <c r="Y92" s="8">
        <v>1</v>
      </c>
      <c r="Z92" s="43">
        <f t="shared" si="29"/>
        <v>22</v>
      </c>
      <c r="AA92" s="34">
        <f t="shared" si="30"/>
        <v>5</v>
      </c>
      <c r="AB92" s="8">
        <v>2</v>
      </c>
      <c r="AC92" s="8">
        <v>10</v>
      </c>
      <c r="AD92" s="6">
        <f t="shared" si="25"/>
        <v>30</v>
      </c>
      <c r="AE92" s="8"/>
      <c r="AF92" s="8"/>
      <c r="AG92" s="6">
        <f t="shared" si="26"/>
        <v>0</v>
      </c>
      <c r="AH92" s="8"/>
      <c r="AI92" s="8"/>
      <c r="AJ92" s="6">
        <f t="shared" si="31"/>
        <v>0</v>
      </c>
      <c r="AK92" s="6">
        <f t="shared" si="27"/>
        <v>195</v>
      </c>
      <c r="AL92" s="8" t="s">
        <v>64</v>
      </c>
      <c r="AM92" s="8"/>
      <c r="AN92" s="8"/>
      <c r="AO92" s="8" t="s">
        <v>46</v>
      </c>
      <c r="AP92" s="8" t="s">
        <v>46</v>
      </c>
      <c r="AQ92" s="8" t="s">
        <v>46</v>
      </c>
      <c r="AR92" s="8" t="s">
        <v>46</v>
      </c>
      <c r="AS92" s="8"/>
      <c r="AT92" s="8" t="s">
        <v>46</v>
      </c>
      <c r="AU92" s="8" t="s">
        <v>84</v>
      </c>
      <c r="AV92" s="8"/>
      <c r="AW92">
        <f>IF(I92="",0,IF(MAP_TNHN!B92="",I92*3,I92*3-2*(IF(ISNUMBER(SEARCH(MAP_TNHN!B92&amp;" (1 tiết)",'PL12'!$S$5)),1,0)+IF(ISNUMBER(SEARCH(MAP_TNHN!B92&amp;" (1 tiết)",'PL12'!$S$6)),1,0)+IF(ISNUMBER(SEARCH(MAP_TNHN!B92&amp;" (1 tiết)",'PL12'!$S$7)),1,0)+IF(ISNUMBER(SEARCH(MAP_TNHN!B92&amp;" (1 tiết)",'PL12'!$S$8)),1,0)+IF(ISNUMBER(SEARCH(MAP_TNHN!B92&amp;" (1 tiết)",'PL12'!$S$9)),1,0)+IF(ISNUMBER(SEARCH(MAP_TNHN!B92&amp;" (1 tiết)",'PL12'!$S$10)),1,0)+IF(ISNUMBER(SEARCH(MAP_TNHN!B92&amp;" (1 tiết)",'PL12'!$S$11)),1,0)+IF(ISNUMBER(SEARCH(MAP_TNHN!B92&amp;" (1 tiết)",'PL12'!$S$12)),1,0)+IF(ISNUMBER(SEARCH(MAP_TNHN!B92&amp;" (1 tiết)",'PL12'!$S$13)),1,0)+IF(ISNUMBER(SEARCH(MAP_TNHN!B92&amp;" (1 tiết)",'PL12'!$S$14)),1,0)+IF(ISNUMBER(SEARCH(MAP_TNHN!B92&amp;" (1 tiết)",'PL12'!$S$15)),1,0)+IF(ISNUMBER(SEARCH(MAP_TNHN!B92&amp;" (1 tiết)",'PL12'!$S$16)),1,0)+IF(ISNUMBER(SEARCH(MAP_TNHN!B92&amp;" (1 tiết)",'PL12'!$S$17)),1,0)+IF(ISNUMBER(SEARCH(MAP_TNHN!B92&amp;" (1 tiết)",'PL12'!$S$18)),1,0)+IF(ISNUMBER(SEARCH(MAP_TNHN!B92&amp;" (1 tiết)",'PL12'!$S$19)),1,0))-(IF(ISNUMBER(SEARCH(MAP_TNHN!B92&amp;" (2 tiết)",'PL12'!$S$5)),1,0)+IF(ISNUMBER(SEARCH(MAP_TNHN!B92&amp;" (2 tiết)",'PL12'!$S$6)),1,0)+IF(ISNUMBER(SEARCH(MAP_TNHN!B92&amp;" (2 tiết)",'PL12'!$S$7)),1,0)+IF(ISNUMBER(SEARCH(MAP_TNHN!B92&amp;" (2 tiết)",'PL12'!$S$8)),1,0)+IF(ISNUMBER(SEARCH(MAP_TNHN!B92&amp;" (2 tiết)",'PL12'!$S$9)),1,0)+IF(ISNUMBER(SEARCH(MAP_TNHN!B92&amp;" (2 tiết)",'PL12'!$S$10)),1,0)+IF(ISNUMBER(SEARCH(MAP_TNHN!B92&amp;" (2 tiết)",'PL12'!$S$11)),1,0)+IF(ISNUMBER(SEARCH(MAP_TNHN!B92&amp;" (2 tiết)",'PL12'!$S$12)),1,0)+IF(ISNUMBER(SEARCH(MAP_TNHN!B92&amp;" (2 tiết)",'PL12'!$S$13)),1,0)+IF(ISNUMBER(SEARCH(MAP_TNHN!B92&amp;" (2 tiết)",'PL12'!$S$14)),1,0)+IF(ISNUMBER(SEARCH(MAP_TNHN!B92&amp;" (2 tiết)",'PL12'!$S$15)),1,0)+IF(ISNUMBER(SEARCH(MAP_TNHN!B92&amp;" (2 tiết)",'PL12'!$S$16)),1,0)+IF(ISNUMBER(SEARCH(MAP_TNHN!B92&amp;" (2 tiết)",'PL12'!$S$17)),1,0)+IF(ISNUMBER(SEARCH(MAP_TNHN!B92&amp;" (2 tiết)",'PL12'!$S$18)),1,0)+IF(ISNUMBER(SEARCH(MAP_TNHN!B92&amp;" (2 tiết)",'PL12'!$S$19)),1,0))))</f>
        <v>3</v>
      </c>
      <c r="AX92">
        <f>IF(N92="",0,IF(MAP_TNHN!C92="",N92*3,N92*3-2*(IF(ISNUMBER(SEARCH(MAP_TNHN!C92&amp;" (1 tiết)",'PL11'!$S$5)),1,0)+IF(ISNUMBER(SEARCH(MAP_TNHN!C92&amp;" (1 tiết)",'PL11'!$S$6)),1,0)+IF(ISNUMBER(SEARCH(MAP_TNHN!C92&amp;" (1 tiết)",'PL11'!$S$7)),1,0)+IF(ISNUMBER(SEARCH(MAP_TNHN!C92&amp;" (1 tiết)",'PL11'!$S$8)),1,0)+IF(ISNUMBER(SEARCH(MAP_TNHN!C92&amp;" (1 tiết)",'PL11'!$S$9)),1,0)+IF(ISNUMBER(SEARCH(MAP_TNHN!C92&amp;" (1 tiết)",'PL11'!$S$10)),1,0)+IF(ISNUMBER(SEARCH(MAP_TNHN!C92&amp;" (1 tiết)",'PL11'!$S$11)),1,0)+IF(ISNUMBER(SEARCH(MAP_TNHN!C92&amp;" (1 tiết)",'PL11'!$S$12)),1,0)+IF(ISNUMBER(SEARCH(MAP_TNHN!C92&amp;" (1 tiết)",'PL11'!$S$13)),1,0)+IF(ISNUMBER(SEARCH(MAP_TNHN!C92&amp;" (1 tiết)",'PL11'!$S$14)),1,0)+IF(ISNUMBER(SEARCH(MAP_TNHN!C92&amp;" (1 tiết)",'PL11'!$S$15)),1,0)+IF(ISNUMBER(SEARCH(MAP_TNHN!C92&amp;" (1 tiết)",'PL11'!$S$16)),1,0)+IF(ISNUMBER(SEARCH(MAP_TNHN!C92&amp;" (1 tiết)",'PL11'!$S$17)),1,0)+IF(ISNUMBER(SEARCH(MAP_TNHN!C92&amp;" (1 tiết)",'PL11'!$S$18)),1,0))-(IF(ISNUMBER(SEARCH(MAP_TNHN!C92&amp;" (2 tiết)",'PL11'!$S$5)),1,0)+IF(ISNUMBER(SEARCH(MAP_TNHN!C92&amp;" (2 tiết)",'PL11'!$S$6)),1,0)+IF(ISNUMBER(SEARCH(MAP_TNHN!C92&amp;" (2 tiết)",'PL11'!$S$7)),1,0)+IF(ISNUMBER(SEARCH(MAP_TNHN!C92&amp;" (2 tiết)",'PL11'!$S$8)),1,0)+IF(ISNUMBER(SEARCH(MAP_TNHN!C92&amp;" (2 tiết)",'PL11'!$S$9)),1,0)+IF(ISNUMBER(SEARCH(MAP_TNHN!C92&amp;" (2 tiết)",'PL11'!$S$10)),1,0)+IF(ISNUMBER(SEARCH(MAP_TNHN!C92&amp;" (2 tiết)",'PL11'!$S$11)),1,0)+IF(ISNUMBER(SEARCH(MAP_TNHN!C92&amp;" (2 tiết)",'PL11'!$S$12)),1,0)+IF(ISNUMBER(SEARCH(MAP_TNHN!C92&amp;" (2 tiết)",'PL11'!$S$13)),1,0)+IF(ISNUMBER(SEARCH(MAP_TNHN!C92&amp;" (2 tiết)",'PL11'!$S$14)),1,0)+IF(ISNUMBER(SEARCH(MAP_TNHN!C92&amp;" (2 tiết)",'PL11'!$S$15)),1,0)+IF(ISNUMBER(SEARCH(MAP_TNHN!C92&amp;" (2 tiết)",'PL11'!$S$16)),1,0)+IF(ISNUMBER(SEARCH(MAP_TNHN!C92&amp;" (2 tiết)",'PL11'!$S$17)),1,0)+IF(ISNUMBER(SEARCH(MAP_TNHN!C92&amp;" (2 tiết)",'PL11'!$S$18)),1,0))))</f>
        <v>0</v>
      </c>
      <c r="AY92">
        <f>IF(S92="",0,IF(MAP_TNHN!D92="",S92*3,S92*3-2*(IF(ISNUMBER(SEARCH(MAP_TNHN!D92&amp;" (1 tiết)",'PL10'!$S$5)),1,0)+IF(ISNUMBER(SEARCH(MAP_TNHN!D92&amp;" (1 tiết)",'PL10'!$S$6)),1,0)+IF(ISNUMBER(SEARCH(MAP_TNHN!D92&amp;" (1 tiết)",'PL10'!$S$7)),1,0)+IF(ISNUMBER(SEARCH(MAP_TNHN!D92&amp;" (1 tiết)",'PL10'!$S$8)),1,0)+IF(ISNUMBER(SEARCH(MAP_TNHN!D92&amp;" (1 tiết)",'PL10'!$S$9)),1,0)+IF(ISNUMBER(SEARCH(MAP_TNHN!D92&amp;" (1 tiết)",'PL10'!$S$10)),1,0)+IF(ISNUMBER(SEARCH(MAP_TNHN!D92&amp;" (1 tiết)",'PL10'!$S$11)),1,0)+IF(ISNUMBER(SEARCH(MAP_TNHN!D92&amp;" (1 tiết)",'PL10'!$S$12)),1,0)+IF(ISNUMBER(SEARCH(MAP_TNHN!D92&amp;" (1 tiết)",'PL10'!$S$13)),1,0)+IF(ISNUMBER(SEARCH(MAP_TNHN!D92&amp;" (1 tiết)",'PL10'!$S$14)),1,0)+IF(ISNUMBER(SEARCH(MAP_TNHN!D92&amp;" (1 tiết)",'PL10'!$S$15)),1,0)+IF(ISNUMBER(SEARCH(MAP_TNHN!D92&amp;" (1 tiết)",'PL10'!$S$16)),1,0)+IF(ISNUMBER(SEARCH(MAP_TNHN!D92&amp;" (1 tiết)",'PL10'!$S$17)),1,0)+IF(ISNUMBER(SEARCH(MAP_TNHN!D92&amp;" (1 tiết)",'PL10'!$S$18)),1,0)+IF(ISNUMBER(SEARCH(MAP_TNHN!D92&amp;" (1 tiết)",'PL10'!$S$19)),1,0)+IF(ISNUMBER(SEARCH(MAP_TNHN!D92&amp;" (1 tiết)",'PL10'!$S$20)),1,0)+IF(ISNUMBER(SEARCH(MAP_TNHN!D92&amp;" (1 tiết)",'PL10'!$S$21)),1,0)+IF(ISNUMBER(SEARCH(MAP_TNHN!D92&amp;" (1 tiết)",'PL10'!$S$22)),1,0)+IF(ISNUMBER(SEARCH(MAP_TNHN!D92&amp;" (1 tiết)",'PL10'!$S$23)),1,0)+IF(ISNUMBER(SEARCH(MAP_TNHN!D92&amp;" (1 tiết)",'PL10'!$S$24)),1,0)+IF(ISNUMBER(SEARCH(MAP_TNHN!D92&amp;" (1 tiết)",'PL10'!$S$25)),1,0))-(IF(ISNUMBER(SEARCH(MAP_TNHN!D92&amp;" (2 tiết)",'PL10'!$S$5)),1,0)+IF(ISNUMBER(SEARCH(MAP_TNHN!D92&amp;" (2 tiết)",'PL10'!$S$6)),1,0)+IF(ISNUMBER(SEARCH(MAP_TNHN!D92&amp;" (2 tiết)",'PL10'!$S$7)),1,0)+IF(ISNUMBER(SEARCH(MAP_TNHN!D92&amp;" (2 tiết)",'PL10'!$S$8)),1,0)+IF(ISNUMBER(SEARCH(MAP_TNHN!D92&amp;" (2 tiết)",'PL10'!$S$9)),1,0)+IF(ISNUMBER(SEARCH(MAP_TNHN!D92&amp;" (2 tiết)",'PL10'!$S$10)),1,0)+IF(ISNUMBER(SEARCH(MAP_TNHN!D92&amp;" (2 tiết)",'PL10'!$S$11)),1,0)+IF(ISNUMBER(SEARCH(MAP_TNHN!D92&amp;" (2 tiết)",'PL10'!$S$12)),1,0)+IF(ISNUMBER(SEARCH(MAP_TNHN!D92&amp;" (2 tiết)",'PL10'!$S$13)),1,0)+IF(ISNUMBER(SEARCH(MAP_TNHN!D92&amp;" (2 tiết)",'PL10'!$S$14)),1,0)+IF(ISNUMBER(SEARCH(MAP_TNHN!D92&amp;" (2 tiết)",'PL10'!$S$15)),1,0)+IF(ISNUMBER(SEARCH(MAP_TNHN!D92&amp;" (2 tiết)",'PL10'!$S$16)),1,0)+IF(ISNUMBER(SEARCH(MAP_TNHN!D92&amp;" (2 tiết)",'PL10'!$S$17)),1,0)+IF(ISNUMBER(SEARCH(MAP_TNHN!D92&amp;" (2 tiết)",'PL10'!$S$18)),1,0)+IF(ISNUMBER(SEARCH(MAP_TNHN!D92&amp;" (2 tiết)",'PL10'!$S$19)),1,0)+IF(ISNUMBER(SEARCH(MAP_TNHN!D92&amp;" (2 tiết)",'PL10'!$S$20)),1,0)+IF(ISNUMBER(SEARCH(MAP_TNHN!D92&amp;" (2 tiết)",'PL10'!$S$21)),1,0)+IF(ISNUMBER(SEARCH(MAP_TNHN!D92&amp;" (2 tiết)",'PL10'!$S$22)),1,0)+IF(ISNUMBER(SEARCH(MAP_TNHN!D92&amp;" (2 tiết)",'PL10'!$S$23)),1,0)+IF(ISNUMBER(SEARCH(MAP_TNHN!D92&amp;" (2 tiết)",'PL10'!$S$24)),1,0)+IF(ISNUMBER(SEARCH(MAP_TNHN!D92&amp;" (2 tiết)",'PL10'!$S$25)),1,0))))</f>
        <v>0</v>
      </c>
    </row>
    <row r="93" spans="1:51" x14ac:dyDescent="0.35">
      <c r="A93" s="311"/>
      <c r="B93" s="8">
        <v>13</v>
      </c>
      <c r="C93" s="9" t="s">
        <v>207</v>
      </c>
      <c r="D93" s="20">
        <v>11</v>
      </c>
      <c r="E93" s="10">
        <v>2</v>
      </c>
      <c r="F93" s="10"/>
      <c r="G93" s="10">
        <v>1</v>
      </c>
      <c r="H93" s="10">
        <v>2</v>
      </c>
      <c r="I93" s="159">
        <v>1</v>
      </c>
      <c r="J93" s="10"/>
      <c r="K93" s="6">
        <v>1</v>
      </c>
      <c r="L93" s="6">
        <v>1</v>
      </c>
      <c r="M93" s="6">
        <v>1</v>
      </c>
      <c r="N93" s="169">
        <v>1</v>
      </c>
      <c r="O93" s="6"/>
      <c r="P93" s="42"/>
      <c r="Q93" s="42"/>
      <c r="R93" s="42"/>
      <c r="S93" s="138"/>
      <c r="T93" s="42"/>
      <c r="U93" s="11">
        <f>E93*'Phân tiết'!$M$6+G93*('Phân tiết'!$M$21/3)+H93*'Phân tiết'!$L$26+AW93+J93*'Phân tiết'!$M$20+K93*'Phân tiết'!$I$6+M93*('Phân tiết'!$I$21/3)+AX93+O93*'Phân tiết'!$I$20+P93*'Phân tiết'!$E$6+R93*('Phân tiết'!$E$21/3)+AY93+T93*'Phân tiết'!$E$20</f>
        <v>18</v>
      </c>
      <c r="V93" s="8">
        <f t="shared" si="28"/>
        <v>4</v>
      </c>
      <c r="W93" s="6"/>
      <c r="X93" s="6"/>
      <c r="Y93" s="8"/>
      <c r="Z93" s="43">
        <f t="shared" si="29"/>
        <v>22</v>
      </c>
      <c r="AA93" s="34">
        <f t="shared" si="30"/>
        <v>5</v>
      </c>
      <c r="AB93" s="8">
        <v>2</v>
      </c>
      <c r="AC93" s="8">
        <v>10</v>
      </c>
      <c r="AD93" s="6">
        <f t="shared" si="25"/>
        <v>30</v>
      </c>
      <c r="AE93" s="8"/>
      <c r="AF93" s="8"/>
      <c r="AG93" s="6">
        <f t="shared" si="26"/>
        <v>0</v>
      </c>
      <c r="AH93" s="8"/>
      <c r="AI93" s="8"/>
      <c r="AJ93" s="6">
        <f t="shared" si="31"/>
        <v>0</v>
      </c>
      <c r="AK93" s="6">
        <f t="shared" si="27"/>
        <v>195</v>
      </c>
      <c r="AL93" s="8" t="s">
        <v>64</v>
      </c>
      <c r="AM93" s="8"/>
      <c r="AN93" s="8"/>
      <c r="AO93" s="8"/>
      <c r="AP93" s="8"/>
      <c r="AQ93" s="8" t="s">
        <v>46</v>
      </c>
      <c r="AR93" s="8"/>
      <c r="AS93" s="8"/>
      <c r="AT93" s="8" t="s">
        <v>46</v>
      </c>
      <c r="AU93" s="8" t="s">
        <v>84</v>
      </c>
      <c r="AV93" s="8"/>
      <c r="AW93">
        <f>IF(I93="",0,IF(MAP_TNHN!B93="",I93*3,I93*3-2*(IF(ISNUMBER(SEARCH(MAP_TNHN!B93&amp;" (1 tiết)",'PL12'!$S$5)),1,0)+IF(ISNUMBER(SEARCH(MAP_TNHN!B93&amp;" (1 tiết)",'PL12'!$S$6)),1,0)+IF(ISNUMBER(SEARCH(MAP_TNHN!B93&amp;" (1 tiết)",'PL12'!$S$7)),1,0)+IF(ISNUMBER(SEARCH(MAP_TNHN!B93&amp;" (1 tiết)",'PL12'!$S$8)),1,0)+IF(ISNUMBER(SEARCH(MAP_TNHN!B93&amp;" (1 tiết)",'PL12'!$S$9)),1,0)+IF(ISNUMBER(SEARCH(MAP_TNHN!B93&amp;" (1 tiết)",'PL12'!$S$10)),1,0)+IF(ISNUMBER(SEARCH(MAP_TNHN!B93&amp;" (1 tiết)",'PL12'!$S$11)),1,0)+IF(ISNUMBER(SEARCH(MAP_TNHN!B93&amp;" (1 tiết)",'PL12'!$S$12)),1,0)+IF(ISNUMBER(SEARCH(MAP_TNHN!B93&amp;" (1 tiết)",'PL12'!$S$13)),1,0)+IF(ISNUMBER(SEARCH(MAP_TNHN!B93&amp;" (1 tiết)",'PL12'!$S$14)),1,0)+IF(ISNUMBER(SEARCH(MAP_TNHN!B93&amp;" (1 tiết)",'PL12'!$S$15)),1,0)+IF(ISNUMBER(SEARCH(MAP_TNHN!B93&amp;" (1 tiết)",'PL12'!$S$16)),1,0)+IF(ISNUMBER(SEARCH(MAP_TNHN!B93&amp;" (1 tiết)",'PL12'!$S$17)),1,0)+IF(ISNUMBER(SEARCH(MAP_TNHN!B93&amp;" (1 tiết)",'PL12'!$S$18)),1,0)+IF(ISNUMBER(SEARCH(MAP_TNHN!B93&amp;" (1 tiết)",'PL12'!$S$19)),1,0))-(IF(ISNUMBER(SEARCH(MAP_TNHN!B93&amp;" (2 tiết)",'PL12'!$S$5)),1,0)+IF(ISNUMBER(SEARCH(MAP_TNHN!B93&amp;" (2 tiết)",'PL12'!$S$6)),1,0)+IF(ISNUMBER(SEARCH(MAP_TNHN!B93&amp;" (2 tiết)",'PL12'!$S$7)),1,0)+IF(ISNUMBER(SEARCH(MAP_TNHN!B93&amp;" (2 tiết)",'PL12'!$S$8)),1,0)+IF(ISNUMBER(SEARCH(MAP_TNHN!B93&amp;" (2 tiết)",'PL12'!$S$9)),1,0)+IF(ISNUMBER(SEARCH(MAP_TNHN!B93&amp;" (2 tiết)",'PL12'!$S$10)),1,0)+IF(ISNUMBER(SEARCH(MAP_TNHN!B93&amp;" (2 tiết)",'PL12'!$S$11)),1,0)+IF(ISNUMBER(SEARCH(MAP_TNHN!B93&amp;" (2 tiết)",'PL12'!$S$12)),1,0)+IF(ISNUMBER(SEARCH(MAP_TNHN!B93&amp;" (2 tiết)",'PL12'!$S$13)),1,0)+IF(ISNUMBER(SEARCH(MAP_TNHN!B93&amp;" (2 tiết)",'PL12'!$S$14)),1,0)+IF(ISNUMBER(SEARCH(MAP_TNHN!B93&amp;" (2 tiết)",'PL12'!$S$15)),1,0)+IF(ISNUMBER(SEARCH(MAP_TNHN!B93&amp;" (2 tiết)",'PL12'!$S$16)),1,0)+IF(ISNUMBER(SEARCH(MAP_TNHN!B93&amp;" (2 tiết)",'PL12'!$S$17)),1,0)+IF(ISNUMBER(SEARCH(MAP_TNHN!B93&amp;" (2 tiết)",'PL12'!$S$18)),1,0)+IF(ISNUMBER(SEARCH(MAP_TNHN!B93&amp;" (2 tiết)",'PL12'!$S$19)),1,0))))</f>
        <v>2</v>
      </c>
      <c r="AX93">
        <f>IF(N93="",0,IF(MAP_TNHN!C93="",N93*3,N93*3-2*(IF(ISNUMBER(SEARCH(MAP_TNHN!C93&amp;" (1 tiết)",'PL11'!$S$5)),1,0)+IF(ISNUMBER(SEARCH(MAP_TNHN!C93&amp;" (1 tiết)",'PL11'!$S$6)),1,0)+IF(ISNUMBER(SEARCH(MAP_TNHN!C93&amp;" (1 tiết)",'PL11'!$S$7)),1,0)+IF(ISNUMBER(SEARCH(MAP_TNHN!C93&amp;" (1 tiết)",'PL11'!$S$8)),1,0)+IF(ISNUMBER(SEARCH(MAP_TNHN!C93&amp;" (1 tiết)",'PL11'!$S$9)),1,0)+IF(ISNUMBER(SEARCH(MAP_TNHN!C93&amp;" (1 tiết)",'PL11'!$S$10)),1,0)+IF(ISNUMBER(SEARCH(MAP_TNHN!C93&amp;" (1 tiết)",'PL11'!$S$11)),1,0)+IF(ISNUMBER(SEARCH(MAP_TNHN!C93&amp;" (1 tiết)",'PL11'!$S$12)),1,0)+IF(ISNUMBER(SEARCH(MAP_TNHN!C93&amp;" (1 tiết)",'PL11'!$S$13)),1,0)+IF(ISNUMBER(SEARCH(MAP_TNHN!C93&amp;" (1 tiết)",'PL11'!$S$14)),1,0)+IF(ISNUMBER(SEARCH(MAP_TNHN!C93&amp;" (1 tiết)",'PL11'!$S$15)),1,0)+IF(ISNUMBER(SEARCH(MAP_TNHN!C93&amp;" (1 tiết)",'PL11'!$S$16)),1,0)+IF(ISNUMBER(SEARCH(MAP_TNHN!C93&amp;" (1 tiết)",'PL11'!$S$17)),1,0)+IF(ISNUMBER(SEARCH(MAP_TNHN!C93&amp;" (1 tiết)",'PL11'!$S$18)),1,0))-(IF(ISNUMBER(SEARCH(MAP_TNHN!C93&amp;" (2 tiết)",'PL11'!$S$5)),1,0)+IF(ISNUMBER(SEARCH(MAP_TNHN!C93&amp;" (2 tiết)",'PL11'!$S$6)),1,0)+IF(ISNUMBER(SEARCH(MAP_TNHN!C93&amp;" (2 tiết)",'PL11'!$S$7)),1,0)+IF(ISNUMBER(SEARCH(MAP_TNHN!C93&amp;" (2 tiết)",'PL11'!$S$8)),1,0)+IF(ISNUMBER(SEARCH(MAP_TNHN!C93&amp;" (2 tiết)",'PL11'!$S$9)),1,0)+IF(ISNUMBER(SEARCH(MAP_TNHN!C93&amp;" (2 tiết)",'PL11'!$S$10)),1,0)+IF(ISNUMBER(SEARCH(MAP_TNHN!C93&amp;" (2 tiết)",'PL11'!$S$11)),1,0)+IF(ISNUMBER(SEARCH(MAP_TNHN!C93&amp;" (2 tiết)",'PL11'!$S$12)),1,0)+IF(ISNUMBER(SEARCH(MAP_TNHN!C93&amp;" (2 tiết)",'PL11'!$S$13)),1,0)+IF(ISNUMBER(SEARCH(MAP_TNHN!C93&amp;" (2 tiết)",'PL11'!$S$14)),1,0)+IF(ISNUMBER(SEARCH(MAP_TNHN!C93&amp;" (2 tiết)",'PL11'!$S$15)),1,0)+IF(ISNUMBER(SEARCH(MAP_TNHN!C93&amp;" (2 tiết)",'PL11'!$S$16)),1,0)+IF(ISNUMBER(SEARCH(MAP_TNHN!C93&amp;" (2 tiết)",'PL11'!$S$17)),1,0)+IF(ISNUMBER(SEARCH(MAP_TNHN!C93&amp;" (2 tiết)",'PL11'!$S$18)),1,0))))</f>
        <v>1</v>
      </c>
      <c r="AY93">
        <f>IF(S93="",0,IF(MAP_TNHN!D93="",S93*3,S93*3-2*(IF(ISNUMBER(SEARCH(MAP_TNHN!D93&amp;" (1 tiết)",'PL10'!$S$5)),1,0)+IF(ISNUMBER(SEARCH(MAP_TNHN!D93&amp;" (1 tiết)",'PL10'!$S$6)),1,0)+IF(ISNUMBER(SEARCH(MAP_TNHN!D93&amp;" (1 tiết)",'PL10'!$S$7)),1,0)+IF(ISNUMBER(SEARCH(MAP_TNHN!D93&amp;" (1 tiết)",'PL10'!$S$8)),1,0)+IF(ISNUMBER(SEARCH(MAP_TNHN!D93&amp;" (1 tiết)",'PL10'!$S$9)),1,0)+IF(ISNUMBER(SEARCH(MAP_TNHN!D93&amp;" (1 tiết)",'PL10'!$S$10)),1,0)+IF(ISNUMBER(SEARCH(MAP_TNHN!D93&amp;" (1 tiết)",'PL10'!$S$11)),1,0)+IF(ISNUMBER(SEARCH(MAP_TNHN!D93&amp;" (1 tiết)",'PL10'!$S$12)),1,0)+IF(ISNUMBER(SEARCH(MAP_TNHN!D93&amp;" (1 tiết)",'PL10'!$S$13)),1,0)+IF(ISNUMBER(SEARCH(MAP_TNHN!D93&amp;" (1 tiết)",'PL10'!$S$14)),1,0)+IF(ISNUMBER(SEARCH(MAP_TNHN!D93&amp;" (1 tiết)",'PL10'!$S$15)),1,0)+IF(ISNUMBER(SEARCH(MAP_TNHN!D93&amp;" (1 tiết)",'PL10'!$S$16)),1,0)+IF(ISNUMBER(SEARCH(MAP_TNHN!D93&amp;" (1 tiết)",'PL10'!$S$17)),1,0)+IF(ISNUMBER(SEARCH(MAP_TNHN!D93&amp;" (1 tiết)",'PL10'!$S$18)),1,0)+IF(ISNUMBER(SEARCH(MAP_TNHN!D93&amp;" (1 tiết)",'PL10'!$S$19)),1,0)+IF(ISNUMBER(SEARCH(MAP_TNHN!D93&amp;" (1 tiết)",'PL10'!$S$20)),1,0)+IF(ISNUMBER(SEARCH(MAP_TNHN!D93&amp;" (1 tiết)",'PL10'!$S$21)),1,0)+IF(ISNUMBER(SEARCH(MAP_TNHN!D93&amp;" (1 tiết)",'PL10'!$S$22)),1,0)+IF(ISNUMBER(SEARCH(MAP_TNHN!D93&amp;" (1 tiết)",'PL10'!$S$23)),1,0)+IF(ISNUMBER(SEARCH(MAP_TNHN!D93&amp;" (1 tiết)",'PL10'!$S$24)),1,0)+IF(ISNUMBER(SEARCH(MAP_TNHN!D93&amp;" (1 tiết)",'PL10'!$S$25)),1,0))-(IF(ISNUMBER(SEARCH(MAP_TNHN!D93&amp;" (2 tiết)",'PL10'!$S$5)),1,0)+IF(ISNUMBER(SEARCH(MAP_TNHN!D93&amp;" (2 tiết)",'PL10'!$S$6)),1,0)+IF(ISNUMBER(SEARCH(MAP_TNHN!D93&amp;" (2 tiết)",'PL10'!$S$7)),1,0)+IF(ISNUMBER(SEARCH(MAP_TNHN!D93&amp;" (2 tiết)",'PL10'!$S$8)),1,0)+IF(ISNUMBER(SEARCH(MAP_TNHN!D93&amp;" (2 tiết)",'PL10'!$S$9)),1,0)+IF(ISNUMBER(SEARCH(MAP_TNHN!D93&amp;" (2 tiết)",'PL10'!$S$10)),1,0)+IF(ISNUMBER(SEARCH(MAP_TNHN!D93&amp;" (2 tiết)",'PL10'!$S$11)),1,0)+IF(ISNUMBER(SEARCH(MAP_TNHN!D93&amp;" (2 tiết)",'PL10'!$S$12)),1,0)+IF(ISNUMBER(SEARCH(MAP_TNHN!D93&amp;" (2 tiết)",'PL10'!$S$13)),1,0)+IF(ISNUMBER(SEARCH(MAP_TNHN!D93&amp;" (2 tiết)",'PL10'!$S$14)),1,0)+IF(ISNUMBER(SEARCH(MAP_TNHN!D93&amp;" (2 tiết)",'PL10'!$S$15)),1,0)+IF(ISNUMBER(SEARCH(MAP_TNHN!D93&amp;" (2 tiết)",'PL10'!$S$16)),1,0)+IF(ISNUMBER(SEARCH(MAP_TNHN!D93&amp;" (2 tiết)",'PL10'!$S$17)),1,0)+IF(ISNUMBER(SEARCH(MAP_TNHN!D93&amp;" (2 tiết)",'PL10'!$S$18)),1,0)+IF(ISNUMBER(SEARCH(MAP_TNHN!D93&amp;" (2 tiết)",'PL10'!$S$19)),1,0)+IF(ISNUMBER(SEARCH(MAP_TNHN!D93&amp;" (2 tiết)",'PL10'!$S$20)),1,0)+IF(ISNUMBER(SEARCH(MAP_TNHN!D93&amp;" (2 tiết)",'PL10'!$S$21)),1,0)+IF(ISNUMBER(SEARCH(MAP_TNHN!D93&amp;" (2 tiết)",'PL10'!$S$22)),1,0)+IF(ISNUMBER(SEARCH(MAP_TNHN!D93&amp;" (2 tiết)",'PL10'!$S$23)),1,0)+IF(ISNUMBER(SEARCH(MAP_TNHN!D93&amp;" (2 tiết)",'PL10'!$S$24)),1,0)+IF(ISNUMBER(SEARCH(MAP_TNHN!D93&amp;" (2 tiết)",'PL10'!$S$25)),1,0))))</f>
        <v>0</v>
      </c>
    </row>
    <row r="94" spans="1:51" ht="60" x14ac:dyDescent="0.35">
      <c r="A94" s="310"/>
      <c r="B94" s="8">
        <v>14</v>
      </c>
      <c r="C94" s="9" t="s">
        <v>208</v>
      </c>
      <c r="D94" s="20"/>
      <c r="E94" s="10"/>
      <c r="F94" s="10"/>
      <c r="G94" s="10"/>
      <c r="H94" s="10"/>
      <c r="I94" s="159"/>
      <c r="J94" s="10"/>
      <c r="K94" s="6"/>
      <c r="L94" s="6"/>
      <c r="M94" s="6"/>
      <c r="N94" s="139"/>
      <c r="O94" s="6"/>
      <c r="P94" s="42">
        <v>4</v>
      </c>
      <c r="Q94" s="42"/>
      <c r="R94" s="42">
        <v>1</v>
      </c>
      <c r="S94" s="138"/>
      <c r="T94" s="42"/>
      <c r="U94" s="11">
        <f>E94*'Phân tiết'!$M$6+G94*('Phân tiết'!$M$21/3)+H94*'Phân tiết'!$L$26+AW94+J94*'Phân tiết'!$M$20+K94*'Phân tiết'!$I$6+M94*('Phân tiết'!$I$21/3)+AX94+O94*'Phân tiết'!$I$20+P94*'Phân tiết'!$E$6+R94*('Phân tiết'!$E$21/3)+AY94+T94*'Phân tiết'!$E$20</f>
        <v>13</v>
      </c>
      <c r="V94" s="8">
        <f t="shared" si="28"/>
        <v>0</v>
      </c>
      <c r="W94" s="6"/>
      <c r="X94" s="6"/>
      <c r="Y94" s="8"/>
      <c r="Z94" s="43">
        <f t="shared" si="29"/>
        <v>13</v>
      </c>
      <c r="AA94" s="34"/>
      <c r="AB94" s="8"/>
      <c r="AC94" s="8"/>
      <c r="AD94" s="6">
        <f t="shared" si="25"/>
        <v>0</v>
      </c>
      <c r="AE94" s="8"/>
      <c r="AF94" s="8"/>
      <c r="AG94" s="6"/>
      <c r="AH94" s="8"/>
      <c r="AI94" s="8"/>
      <c r="AJ94" s="6"/>
      <c r="AK94" s="6"/>
      <c r="AL94" s="8"/>
      <c r="AM94" s="8"/>
      <c r="AN94" s="8"/>
      <c r="AO94" s="8"/>
      <c r="AP94" s="8"/>
      <c r="AQ94" s="8"/>
      <c r="AR94" s="8"/>
      <c r="AS94" s="8"/>
      <c r="AT94" s="8"/>
      <c r="AU94" s="8"/>
      <c r="AV94" s="8" t="s">
        <v>146</v>
      </c>
      <c r="AW94">
        <f>IF(I94="",0,IF(MAP_TNHN!B94="",I94*3,I94*3-2*(IF(ISNUMBER(SEARCH(MAP_TNHN!B94&amp;" (1 tiết)",'PL12'!$S$5)),1,0)+IF(ISNUMBER(SEARCH(MAP_TNHN!B94&amp;" (1 tiết)",'PL12'!$S$6)),1,0)+IF(ISNUMBER(SEARCH(MAP_TNHN!B94&amp;" (1 tiết)",'PL12'!$S$7)),1,0)+IF(ISNUMBER(SEARCH(MAP_TNHN!B94&amp;" (1 tiết)",'PL12'!$S$8)),1,0)+IF(ISNUMBER(SEARCH(MAP_TNHN!B94&amp;" (1 tiết)",'PL12'!$S$9)),1,0)+IF(ISNUMBER(SEARCH(MAP_TNHN!B94&amp;" (1 tiết)",'PL12'!$S$10)),1,0)+IF(ISNUMBER(SEARCH(MAP_TNHN!B94&amp;" (1 tiết)",'PL12'!$S$11)),1,0)+IF(ISNUMBER(SEARCH(MAP_TNHN!B94&amp;" (1 tiết)",'PL12'!$S$12)),1,0)+IF(ISNUMBER(SEARCH(MAP_TNHN!B94&amp;" (1 tiết)",'PL12'!$S$13)),1,0)+IF(ISNUMBER(SEARCH(MAP_TNHN!B94&amp;" (1 tiết)",'PL12'!$S$14)),1,0)+IF(ISNUMBER(SEARCH(MAP_TNHN!B94&amp;" (1 tiết)",'PL12'!$S$15)),1,0)+IF(ISNUMBER(SEARCH(MAP_TNHN!B94&amp;" (1 tiết)",'PL12'!$S$16)),1,0)+IF(ISNUMBER(SEARCH(MAP_TNHN!B94&amp;" (1 tiết)",'PL12'!$S$17)),1,0)+IF(ISNUMBER(SEARCH(MAP_TNHN!B94&amp;" (1 tiết)",'PL12'!$S$18)),1,0)+IF(ISNUMBER(SEARCH(MAP_TNHN!B94&amp;" (1 tiết)",'PL12'!$S$19)),1,0))-(IF(ISNUMBER(SEARCH(MAP_TNHN!B94&amp;" (2 tiết)",'PL12'!$S$5)),1,0)+IF(ISNUMBER(SEARCH(MAP_TNHN!B94&amp;" (2 tiết)",'PL12'!$S$6)),1,0)+IF(ISNUMBER(SEARCH(MAP_TNHN!B94&amp;" (2 tiết)",'PL12'!$S$7)),1,0)+IF(ISNUMBER(SEARCH(MAP_TNHN!B94&amp;" (2 tiết)",'PL12'!$S$8)),1,0)+IF(ISNUMBER(SEARCH(MAP_TNHN!B94&amp;" (2 tiết)",'PL12'!$S$9)),1,0)+IF(ISNUMBER(SEARCH(MAP_TNHN!B94&amp;" (2 tiết)",'PL12'!$S$10)),1,0)+IF(ISNUMBER(SEARCH(MAP_TNHN!B94&amp;" (2 tiết)",'PL12'!$S$11)),1,0)+IF(ISNUMBER(SEARCH(MAP_TNHN!B94&amp;" (2 tiết)",'PL12'!$S$12)),1,0)+IF(ISNUMBER(SEARCH(MAP_TNHN!B94&amp;" (2 tiết)",'PL12'!$S$13)),1,0)+IF(ISNUMBER(SEARCH(MAP_TNHN!B94&amp;" (2 tiết)",'PL12'!$S$14)),1,0)+IF(ISNUMBER(SEARCH(MAP_TNHN!B94&amp;" (2 tiết)",'PL12'!$S$15)),1,0)+IF(ISNUMBER(SEARCH(MAP_TNHN!B94&amp;" (2 tiết)",'PL12'!$S$16)),1,0)+IF(ISNUMBER(SEARCH(MAP_TNHN!B94&amp;" (2 tiết)",'PL12'!$S$17)),1,0)+IF(ISNUMBER(SEARCH(MAP_TNHN!B94&amp;" (2 tiết)",'PL12'!$S$18)),1,0)+IF(ISNUMBER(SEARCH(MAP_TNHN!B94&amp;" (2 tiết)",'PL12'!$S$19)),1,0))))</f>
        <v>0</v>
      </c>
      <c r="AX94">
        <f>IF(N94="",0,IF(MAP_TNHN!C94="",N94*3,N94*3-2*(IF(ISNUMBER(SEARCH(MAP_TNHN!C94&amp;" (1 tiết)",'PL11'!$S$5)),1,0)+IF(ISNUMBER(SEARCH(MAP_TNHN!C94&amp;" (1 tiết)",'PL11'!$S$6)),1,0)+IF(ISNUMBER(SEARCH(MAP_TNHN!C94&amp;" (1 tiết)",'PL11'!$S$7)),1,0)+IF(ISNUMBER(SEARCH(MAP_TNHN!C94&amp;" (1 tiết)",'PL11'!$S$8)),1,0)+IF(ISNUMBER(SEARCH(MAP_TNHN!C94&amp;" (1 tiết)",'PL11'!$S$9)),1,0)+IF(ISNUMBER(SEARCH(MAP_TNHN!C94&amp;" (1 tiết)",'PL11'!$S$10)),1,0)+IF(ISNUMBER(SEARCH(MAP_TNHN!C94&amp;" (1 tiết)",'PL11'!$S$11)),1,0)+IF(ISNUMBER(SEARCH(MAP_TNHN!C94&amp;" (1 tiết)",'PL11'!$S$12)),1,0)+IF(ISNUMBER(SEARCH(MAP_TNHN!C94&amp;" (1 tiết)",'PL11'!$S$13)),1,0)+IF(ISNUMBER(SEARCH(MAP_TNHN!C94&amp;" (1 tiết)",'PL11'!$S$14)),1,0)+IF(ISNUMBER(SEARCH(MAP_TNHN!C94&amp;" (1 tiết)",'PL11'!$S$15)),1,0)+IF(ISNUMBER(SEARCH(MAP_TNHN!C94&amp;" (1 tiết)",'PL11'!$S$16)),1,0)+IF(ISNUMBER(SEARCH(MAP_TNHN!C94&amp;" (1 tiết)",'PL11'!$S$17)),1,0)+IF(ISNUMBER(SEARCH(MAP_TNHN!C94&amp;" (1 tiết)",'PL11'!$S$18)),1,0))-(IF(ISNUMBER(SEARCH(MAP_TNHN!C94&amp;" (2 tiết)",'PL11'!$S$5)),1,0)+IF(ISNUMBER(SEARCH(MAP_TNHN!C94&amp;" (2 tiết)",'PL11'!$S$6)),1,0)+IF(ISNUMBER(SEARCH(MAP_TNHN!C94&amp;" (2 tiết)",'PL11'!$S$7)),1,0)+IF(ISNUMBER(SEARCH(MAP_TNHN!C94&amp;" (2 tiết)",'PL11'!$S$8)),1,0)+IF(ISNUMBER(SEARCH(MAP_TNHN!C94&amp;" (2 tiết)",'PL11'!$S$9)),1,0)+IF(ISNUMBER(SEARCH(MAP_TNHN!C94&amp;" (2 tiết)",'PL11'!$S$10)),1,0)+IF(ISNUMBER(SEARCH(MAP_TNHN!C94&amp;" (2 tiết)",'PL11'!$S$11)),1,0)+IF(ISNUMBER(SEARCH(MAP_TNHN!C94&amp;" (2 tiết)",'PL11'!$S$12)),1,0)+IF(ISNUMBER(SEARCH(MAP_TNHN!C94&amp;" (2 tiết)",'PL11'!$S$13)),1,0)+IF(ISNUMBER(SEARCH(MAP_TNHN!C94&amp;" (2 tiết)",'PL11'!$S$14)),1,0)+IF(ISNUMBER(SEARCH(MAP_TNHN!C94&amp;" (2 tiết)",'PL11'!$S$15)),1,0)+IF(ISNUMBER(SEARCH(MAP_TNHN!C94&amp;" (2 tiết)",'PL11'!$S$16)),1,0)+IF(ISNUMBER(SEARCH(MAP_TNHN!C94&amp;" (2 tiết)",'PL11'!$S$17)),1,0)+IF(ISNUMBER(SEARCH(MAP_TNHN!C94&amp;" (2 tiết)",'PL11'!$S$18)),1,0))))</f>
        <v>0</v>
      </c>
      <c r="AY94">
        <f>IF(S94="",0,IF(MAP_TNHN!D94="",S94*3,S94*3-2*(IF(ISNUMBER(SEARCH(MAP_TNHN!D94&amp;" (1 tiết)",'PL10'!$S$5)),1,0)+IF(ISNUMBER(SEARCH(MAP_TNHN!D94&amp;" (1 tiết)",'PL10'!$S$6)),1,0)+IF(ISNUMBER(SEARCH(MAP_TNHN!D94&amp;" (1 tiết)",'PL10'!$S$7)),1,0)+IF(ISNUMBER(SEARCH(MAP_TNHN!D94&amp;" (1 tiết)",'PL10'!$S$8)),1,0)+IF(ISNUMBER(SEARCH(MAP_TNHN!D94&amp;" (1 tiết)",'PL10'!$S$9)),1,0)+IF(ISNUMBER(SEARCH(MAP_TNHN!D94&amp;" (1 tiết)",'PL10'!$S$10)),1,0)+IF(ISNUMBER(SEARCH(MAP_TNHN!D94&amp;" (1 tiết)",'PL10'!$S$11)),1,0)+IF(ISNUMBER(SEARCH(MAP_TNHN!D94&amp;" (1 tiết)",'PL10'!$S$12)),1,0)+IF(ISNUMBER(SEARCH(MAP_TNHN!D94&amp;" (1 tiết)",'PL10'!$S$13)),1,0)+IF(ISNUMBER(SEARCH(MAP_TNHN!D94&amp;" (1 tiết)",'PL10'!$S$14)),1,0)+IF(ISNUMBER(SEARCH(MAP_TNHN!D94&amp;" (1 tiết)",'PL10'!$S$15)),1,0)+IF(ISNUMBER(SEARCH(MAP_TNHN!D94&amp;" (1 tiết)",'PL10'!$S$16)),1,0)+IF(ISNUMBER(SEARCH(MAP_TNHN!D94&amp;" (1 tiết)",'PL10'!$S$17)),1,0)+IF(ISNUMBER(SEARCH(MAP_TNHN!D94&amp;" (1 tiết)",'PL10'!$S$18)),1,0)+IF(ISNUMBER(SEARCH(MAP_TNHN!D94&amp;" (1 tiết)",'PL10'!$S$19)),1,0)+IF(ISNUMBER(SEARCH(MAP_TNHN!D94&amp;" (1 tiết)",'PL10'!$S$20)),1,0)+IF(ISNUMBER(SEARCH(MAP_TNHN!D94&amp;" (1 tiết)",'PL10'!$S$21)),1,0)+IF(ISNUMBER(SEARCH(MAP_TNHN!D94&amp;" (1 tiết)",'PL10'!$S$22)),1,0)+IF(ISNUMBER(SEARCH(MAP_TNHN!D94&amp;" (1 tiết)",'PL10'!$S$23)),1,0)+IF(ISNUMBER(SEARCH(MAP_TNHN!D94&amp;" (1 tiết)",'PL10'!$S$24)),1,0)+IF(ISNUMBER(SEARCH(MAP_TNHN!D94&amp;" (1 tiết)",'PL10'!$S$25)),1,0))-(IF(ISNUMBER(SEARCH(MAP_TNHN!D94&amp;" (2 tiết)",'PL10'!$S$5)),1,0)+IF(ISNUMBER(SEARCH(MAP_TNHN!D94&amp;" (2 tiết)",'PL10'!$S$6)),1,0)+IF(ISNUMBER(SEARCH(MAP_TNHN!D94&amp;" (2 tiết)",'PL10'!$S$7)),1,0)+IF(ISNUMBER(SEARCH(MAP_TNHN!D94&amp;" (2 tiết)",'PL10'!$S$8)),1,0)+IF(ISNUMBER(SEARCH(MAP_TNHN!D94&amp;" (2 tiết)",'PL10'!$S$9)),1,0)+IF(ISNUMBER(SEARCH(MAP_TNHN!D94&amp;" (2 tiết)",'PL10'!$S$10)),1,0)+IF(ISNUMBER(SEARCH(MAP_TNHN!D94&amp;" (2 tiết)",'PL10'!$S$11)),1,0)+IF(ISNUMBER(SEARCH(MAP_TNHN!D94&amp;" (2 tiết)",'PL10'!$S$12)),1,0)+IF(ISNUMBER(SEARCH(MAP_TNHN!D94&amp;" (2 tiết)",'PL10'!$S$13)),1,0)+IF(ISNUMBER(SEARCH(MAP_TNHN!D94&amp;" (2 tiết)",'PL10'!$S$14)),1,0)+IF(ISNUMBER(SEARCH(MAP_TNHN!D94&amp;" (2 tiết)",'PL10'!$S$15)),1,0)+IF(ISNUMBER(SEARCH(MAP_TNHN!D94&amp;" (2 tiết)",'PL10'!$S$16)),1,0)+IF(ISNUMBER(SEARCH(MAP_TNHN!D94&amp;" (2 tiết)",'PL10'!$S$17)),1,0)+IF(ISNUMBER(SEARCH(MAP_TNHN!D94&amp;" (2 tiết)",'PL10'!$S$18)),1,0)+IF(ISNUMBER(SEARCH(MAP_TNHN!D94&amp;" (2 tiết)",'PL10'!$S$19)),1,0)+IF(ISNUMBER(SEARCH(MAP_TNHN!D94&amp;" (2 tiết)",'PL10'!$S$20)),1,0)+IF(ISNUMBER(SEARCH(MAP_TNHN!D94&amp;" (2 tiết)",'PL10'!$S$21)),1,0)+IF(ISNUMBER(SEARCH(MAP_TNHN!D94&amp;" (2 tiết)",'PL10'!$S$22)),1,0)+IF(ISNUMBER(SEARCH(MAP_TNHN!D94&amp;" (2 tiết)",'PL10'!$S$23)),1,0)+IF(ISNUMBER(SEARCH(MAP_TNHN!D94&amp;" (2 tiết)",'PL10'!$S$24)),1,0)+IF(ISNUMBER(SEARCH(MAP_TNHN!D94&amp;" (2 tiết)",'PL10'!$S$25)),1,0))))</f>
        <v>0</v>
      </c>
    </row>
    <row r="95" spans="1:51" s="89" customFormat="1" x14ac:dyDescent="0.35">
      <c r="A95" s="88"/>
      <c r="B95" s="85"/>
      <c r="C95" s="86" t="s">
        <v>65</v>
      </c>
      <c r="D95" s="85"/>
      <c r="E95" s="85">
        <f t="shared" ref="E95:M95" si="32">SUM(E81:E94)</f>
        <v>15</v>
      </c>
      <c r="F95" s="85"/>
      <c r="G95" s="85">
        <f t="shared" si="32"/>
        <v>10</v>
      </c>
      <c r="H95" s="85">
        <f t="shared" si="32"/>
        <v>15</v>
      </c>
      <c r="I95" s="160"/>
      <c r="J95" s="85"/>
      <c r="K95" s="85">
        <f t="shared" si="32"/>
        <v>14</v>
      </c>
      <c r="L95" s="85"/>
      <c r="M95" s="85">
        <f t="shared" si="32"/>
        <v>7</v>
      </c>
      <c r="N95" s="160"/>
      <c r="O95" s="85"/>
      <c r="P95" s="85">
        <f>SUM(P81:P94)</f>
        <v>21</v>
      </c>
      <c r="Q95" s="85"/>
      <c r="R95" s="85">
        <f t="shared" ref="R95" si="33">SUM(R81:R94)</f>
        <v>11</v>
      </c>
      <c r="S95" s="160"/>
      <c r="T95" s="85"/>
      <c r="U95" s="87"/>
      <c r="V95" s="85"/>
      <c r="W95" s="85"/>
      <c r="X95" s="85"/>
      <c r="Y95" s="85"/>
      <c r="Z95" s="88"/>
      <c r="AA95" s="88"/>
      <c r="AB95" s="85"/>
      <c r="AC95" s="85"/>
      <c r="AD95" s="85">
        <f t="shared" si="25"/>
        <v>0</v>
      </c>
      <c r="AE95" s="85"/>
      <c r="AF95" s="85"/>
      <c r="AG95" s="85">
        <f t="shared" si="26"/>
        <v>0</v>
      </c>
      <c r="AH95" s="85"/>
      <c r="AI95" s="85"/>
      <c r="AJ95" s="85"/>
      <c r="AK95" s="85">
        <f t="shared" si="27"/>
        <v>0</v>
      </c>
      <c r="AL95" s="85"/>
      <c r="AM95" s="85"/>
      <c r="AN95" s="85"/>
      <c r="AO95" s="85"/>
      <c r="AP95" s="85"/>
      <c r="AQ95" s="85"/>
      <c r="AR95" s="85"/>
      <c r="AS95" s="85"/>
      <c r="AT95" s="85"/>
      <c r="AU95" s="85"/>
      <c r="AV95" s="85"/>
      <c r="AW95"/>
      <c r="AX95"/>
      <c r="AY95"/>
    </row>
    <row r="96" spans="1:51" ht="30" x14ac:dyDescent="0.35">
      <c r="A96" s="313" t="s">
        <v>209</v>
      </c>
      <c r="B96" s="8">
        <v>1</v>
      </c>
      <c r="C96" s="9" t="s">
        <v>210</v>
      </c>
      <c r="D96" s="20"/>
      <c r="E96" s="10">
        <v>2</v>
      </c>
      <c r="F96" s="10"/>
      <c r="G96" s="10">
        <v>2</v>
      </c>
      <c r="H96" s="10">
        <v>2</v>
      </c>
      <c r="I96" s="159">
        <v>1</v>
      </c>
      <c r="J96" s="10"/>
      <c r="K96" s="6"/>
      <c r="L96" s="6"/>
      <c r="M96" s="6"/>
      <c r="N96" s="139"/>
      <c r="O96" s="6"/>
      <c r="P96" s="42">
        <v>1</v>
      </c>
      <c r="Q96" s="42"/>
      <c r="R96" s="42">
        <v>1</v>
      </c>
      <c r="S96" s="138"/>
      <c r="T96" s="42"/>
      <c r="U96" s="11">
        <f>E96*('Phân tiết'!$M$18/4)+G96*('Phân tiết'!$M$21/3)+H96*'Phân tiết'!$L$26+AW96+J96*'Phân tiết'!$M$20+K96*('Phân tiết'!$I$18/4)+M96*('Phân tiết'!$I$21/3)+AX96+O96*'Phân tiết'!$I$20+P96*('Phân tiết'!$E$18/4)+R96*('Phân tiết'!$E$21/3)+AY96+T96*'Phân tiết'!$E$20</f>
        <v>15</v>
      </c>
      <c r="V96" s="8">
        <f t="shared" ref="V96:V107" si="34">F96*4+L96*4+Q96*4</f>
        <v>0</v>
      </c>
      <c r="W96" s="6" t="s">
        <v>45</v>
      </c>
      <c r="X96" s="6" t="s">
        <v>125</v>
      </c>
      <c r="Y96" s="8">
        <v>3</v>
      </c>
      <c r="Z96" s="43">
        <f t="shared" ref="Z96:Z107" si="35">SUM(U96:Y96)</f>
        <v>18</v>
      </c>
      <c r="AA96" s="34">
        <f t="shared" ref="AA96:AA103" si="36">Z96-17</f>
        <v>1</v>
      </c>
      <c r="AB96" s="8">
        <v>2</v>
      </c>
      <c r="AC96" s="8">
        <v>30</v>
      </c>
      <c r="AD96" s="6">
        <f t="shared" si="25"/>
        <v>90</v>
      </c>
      <c r="AE96" s="8"/>
      <c r="AF96" s="8"/>
      <c r="AG96" s="6">
        <f t="shared" si="26"/>
        <v>0</v>
      </c>
      <c r="AH96" s="8"/>
      <c r="AI96" s="8"/>
      <c r="AJ96" s="6">
        <f t="shared" ref="AJ96:AJ107" si="37">AH96*AI96</f>
        <v>0</v>
      </c>
      <c r="AK96" s="6">
        <f t="shared" si="27"/>
        <v>123</v>
      </c>
      <c r="AL96" s="8" t="s">
        <v>211</v>
      </c>
      <c r="AM96" s="8"/>
      <c r="AN96" s="8" t="s">
        <v>212</v>
      </c>
      <c r="AO96" s="8" t="s">
        <v>46</v>
      </c>
      <c r="AP96" s="8" t="s">
        <v>46</v>
      </c>
      <c r="AQ96" s="8" t="s">
        <v>46</v>
      </c>
      <c r="AR96" s="8" t="s">
        <v>46</v>
      </c>
      <c r="AS96" s="8"/>
      <c r="AT96" s="8" t="s">
        <v>46</v>
      </c>
      <c r="AU96" s="8" t="s">
        <v>125</v>
      </c>
      <c r="AV96" s="8"/>
      <c r="AW96">
        <f>IF(I96="",0,IF(MAP_TNHN!B96="",I96*3,I96*3-2*(IF(ISNUMBER(SEARCH(MAP_TNHN!B96&amp;" (1 tiết)",'PL12'!$S$5)),1,0)+IF(ISNUMBER(SEARCH(MAP_TNHN!B96&amp;" (1 tiết)",'PL12'!$S$6)),1,0)+IF(ISNUMBER(SEARCH(MAP_TNHN!B96&amp;" (1 tiết)",'PL12'!$S$7)),1,0)+IF(ISNUMBER(SEARCH(MAP_TNHN!B96&amp;" (1 tiết)",'PL12'!$S$8)),1,0)+IF(ISNUMBER(SEARCH(MAP_TNHN!B96&amp;" (1 tiết)",'PL12'!$S$9)),1,0)+IF(ISNUMBER(SEARCH(MAP_TNHN!B96&amp;" (1 tiết)",'PL12'!$S$10)),1,0)+IF(ISNUMBER(SEARCH(MAP_TNHN!B96&amp;" (1 tiết)",'PL12'!$S$11)),1,0)+IF(ISNUMBER(SEARCH(MAP_TNHN!B96&amp;" (1 tiết)",'PL12'!$S$12)),1,0)+IF(ISNUMBER(SEARCH(MAP_TNHN!B96&amp;" (1 tiết)",'PL12'!$S$13)),1,0)+IF(ISNUMBER(SEARCH(MAP_TNHN!B96&amp;" (1 tiết)",'PL12'!$S$14)),1,0)+IF(ISNUMBER(SEARCH(MAP_TNHN!B96&amp;" (1 tiết)",'PL12'!$S$15)),1,0)+IF(ISNUMBER(SEARCH(MAP_TNHN!B96&amp;" (1 tiết)",'PL12'!$S$16)),1,0)+IF(ISNUMBER(SEARCH(MAP_TNHN!B96&amp;" (1 tiết)",'PL12'!$S$17)),1,0)+IF(ISNUMBER(SEARCH(MAP_TNHN!B96&amp;" (1 tiết)",'PL12'!$S$18)),1,0)+IF(ISNUMBER(SEARCH(MAP_TNHN!B96&amp;" (1 tiết)",'PL12'!$S$19)),1,0))-(IF(ISNUMBER(SEARCH(MAP_TNHN!B96&amp;" (2 tiết)",'PL12'!$S$5)),1,0)+IF(ISNUMBER(SEARCH(MAP_TNHN!B96&amp;" (2 tiết)",'PL12'!$S$6)),1,0)+IF(ISNUMBER(SEARCH(MAP_TNHN!B96&amp;" (2 tiết)",'PL12'!$S$7)),1,0)+IF(ISNUMBER(SEARCH(MAP_TNHN!B96&amp;" (2 tiết)",'PL12'!$S$8)),1,0)+IF(ISNUMBER(SEARCH(MAP_TNHN!B96&amp;" (2 tiết)",'PL12'!$S$9)),1,0)+IF(ISNUMBER(SEARCH(MAP_TNHN!B96&amp;" (2 tiết)",'PL12'!$S$10)),1,0)+IF(ISNUMBER(SEARCH(MAP_TNHN!B96&amp;" (2 tiết)",'PL12'!$S$11)),1,0)+IF(ISNUMBER(SEARCH(MAP_TNHN!B96&amp;" (2 tiết)",'PL12'!$S$12)),1,0)+IF(ISNUMBER(SEARCH(MAP_TNHN!B96&amp;" (2 tiết)",'PL12'!$S$13)),1,0)+IF(ISNUMBER(SEARCH(MAP_TNHN!B96&amp;" (2 tiết)",'PL12'!$S$14)),1,0)+IF(ISNUMBER(SEARCH(MAP_TNHN!B96&amp;" (2 tiết)",'PL12'!$S$15)),1,0)+IF(ISNUMBER(SEARCH(MAP_TNHN!B96&amp;" (2 tiết)",'PL12'!$S$16)),1,0)+IF(ISNUMBER(SEARCH(MAP_TNHN!B96&amp;" (2 tiết)",'PL12'!$S$17)),1,0)+IF(ISNUMBER(SEARCH(MAP_TNHN!B96&amp;" (2 tiết)",'PL12'!$S$18)),1,0)+IF(ISNUMBER(SEARCH(MAP_TNHN!B96&amp;" (2 tiết)",'PL12'!$S$19)),1,0))))</f>
        <v>2</v>
      </c>
      <c r="AX96">
        <f>IF(N96="",0,IF(MAP_TNHN!C96="",N96*3,N96*3-2*(IF(ISNUMBER(SEARCH(MAP_TNHN!C96&amp;" (1 tiết)",'PL11'!$S$5)),1,0)+IF(ISNUMBER(SEARCH(MAP_TNHN!C96&amp;" (1 tiết)",'PL11'!$S$6)),1,0)+IF(ISNUMBER(SEARCH(MAP_TNHN!C96&amp;" (1 tiết)",'PL11'!$S$7)),1,0)+IF(ISNUMBER(SEARCH(MAP_TNHN!C96&amp;" (1 tiết)",'PL11'!$S$8)),1,0)+IF(ISNUMBER(SEARCH(MAP_TNHN!C96&amp;" (1 tiết)",'PL11'!$S$9)),1,0)+IF(ISNUMBER(SEARCH(MAP_TNHN!C96&amp;" (1 tiết)",'PL11'!$S$10)),1,0)+IF(ISNUMBER(SEARCH(MAP_TNHN!C96&amp;" (1 tiết)",'PL11'!$S$11)),1,0)+IF(ISNUMBER(SEARCH(MAP_TNHN!C96&amp;" (1 tiết)",'PL11'!$S$12)),1,0)+IF(ISNUMBER(SEARCH(MAP_TNHN!C96&amp;" (1 tiết)",'PL11'!$S$13)),1,0)+IF(ISNUMBER(SEARCH(MAP_TNHN!C96&amp;" (1 tiết)",'PL11'!$S$14)),1,0)+IF(ISNUMBER(SEARCH(MAP_TNHN!C96&amp;" (1 tiết)",'PL11'!$S$15)),1,0)+IF(ISNUMBER(SEARCH(MAP_TNHN!C96&amp;" (1 tiết)",'PL11'!$S$16)),1,0)+IF(ISNUMBER(SEARCH(MAP_TNHN!C96&amp;" (1 tiết)",'PL11'!$S$17)),1,0)+IF(ISNUMBER(SEARCH(MAP_TNHN!C96&amp;" (1 tiết)",'PL11'!$S$18)),1,0))-(IF(ISNUMBER(SEARCH(MAP_TNHN!C96&amp;" (2 tiết)",'PL11'!$S$5)),1,0)+IF(ISNUMBER(SEARCH(MAP_TNHN!C96&amp;" (2 tiết)",'PL11'!$S$6)),1,0)+IF(ISNUMBER(SEARCH(MAP_TNHN!C96&amp;" (2 tiết)",'PL11'!$S$7)),1,0)+IF(ISNUMBER(SEARCH(MAP_TNHN!C96&amp;" (2 tiết)",'PL11'!$S$8)),1,0)+IF(ISNUMBER(SEARCH(MAP_TNHN!C96&amp;" (2 tiết)",'PL11'!$S$9)),1,0)+IF(ISNUMBER(SEARCH(MAP_TNHN!C96&amp;" (2 tiết)",'PL11'!$S$10)),1,0)+IF(ISNUMBER(SEARCH(MAP_TNHN!C96&amp;" (2 tiết)",'PL11'!$S$11)),1,0)+IF(ISNUMBER(SEARCH(MAP_TNHN!C96&amp;" (2 tiết)",'PL11'!$S$12)),1,0)+IF(ISNUMBER(SEARCH(MAP_TNHN!C96&amp;" (2 tiết)",'PL11'!$S$13)),1,0)+IF(ISNUMBER(SEARCH(MAP_TNHN!C96&amp;" (2 tiết)",'PL11'!$S$14)),1,0)+IF(ISNUMBER(SEARCH(MAP_TNHN!C96&amp;" (2 tiết)",'PL11'!$S$15)),1,0)+IF(ISNUMBER(SEARCH(MAP_TNHN!C96&amp;" (2 tiết)",'PL11'!$S$16)),1,0)+IF(ISNUMBER(SEARCH(MAP_TNHN!C96&amp;" (2 tiết)",'PL11'!$S$17)),1,0)+IF(ISNUMBER(SEARCH(MAP_TNHN!C96&amp;" (2 tiết)",'PL11'!$S$18)),1,0))))</f>
        <v>0</v>
      </c>
      <c r="AY96">
        <f>IF(S96="",0,IF(MAP_TNHN!D96="",S96*3,S96*3-2*(IF(ISNUMBER(SEARCH(MAP_TNHN!D96&amp;" (1 tiết)",'PL10'!$S$5)),1,0)+IF(ISNUMBER(SEARCH(MAP_TNHN!D96&amp;" (1 tiết)",'PL10'!$S$6)),1,0)+IF(ISNUMBER(SEARCH(MAP_TNHN!D96&amp;" (1 tiết)",'PL10'!$S$7)),1,0)+IF(ISNUMBER(SEARCH(MAP_TNHN!D96&amp;" (1 tiết)",'PL10'!$S$8)),1,0)+IF(ISNUMBER(SEARCH(MAP_TNHN!D96&amp;" (1 tiết)",'PL10'!$S$9)),1,0)+IF(ISNUMBER(SEARCH(MAP_TNHN!D96&amp;" (1 tiết)",'PL10'!$S$10)),1,0)+IF(ISNUMBER(SEARCH(MAP_TNHN!D96&amp;" (1 tiết)",'PL10'!$S$11)),1,0)+IF(ISNUMBER(SEARCH(MAP_TNHN!D96&amp;" (1 tiết)",'PL10'!$S$12)),1,0)+IF(ISNUMBER(SEARCH(MAP_TNHN!D96&amp;" (1 tiết)",'PL10'!$S$13)),1,0)+IF(ISNUMBER(SEARCH(MAP_TNHN!D96&amp;" (1 tiết)",'PL10'!$S$14)),1,0)+IF(ISNUMBER(SEARCH(MAP_TNHN!D96&amp;" (1 tiết)",'PL10'!$S$15)),1,0)+IF(ISNUMBER(SEARCH(MAP_TNHN!D96&amp;" (1 tiết)",'PL10'!$S$16)),1,0)+IF(ISNUMBER(SEARCH(MAP_TNHN!D96&amp;" (1 tiết)",'PL10'!$S$17)),1,0)+IF(ISNUMBER(SEARCH(MAP_TNHN!D96&amp;" (1 tiết)",'PL10'!$S$18)),1,0)+IF(ISNUMBER(SEARCH(MAP_TNHN!D96&amp;" (1 tiết)",'PL10'!$S$19)),1,0)+IF(ISNUMBER(SEARCH(MAP_TNHN!D96&amp;" (1 tiết)",'PL10'!$S$20)),1,0)+IF(ISNUMBER(SEARCH(MAP_TNHN!D96&amp;" (1 tiết)",'PL10'!$S$21)),1,0)+IF(ISNUMBER(SEARCH(MAP_TNHN!D96&amp;" (1 tiết)",'PL10'!$S$22)),1,0)+IF(ISNUMBER(SEARCH(MAP_TNHN!D96&amp;" (1 tiết)",'PL10'!$S$23)),1,0)+IF(ISNUMBER(SEARCH(MAP_TNHN!D96&amp;" (1 tiết)",'PL10'!$S$24)),1,0)+IF(ISNUMBER(SEARCH(MAP_TNHN!D96&amp;" (1 tiết)",'PL10'!$S$25)),1,0))-(IF(ISNUMBER(SEARCH(MAP_TNHN!D96&amp;" (2 tiết)",'PL10'!$S$5)),1,0)+IF(ISNUMBER(SEARCH(MAP_TNHN!D96&amp;" (2 tiết)",'PL10'!$S$6)),1,0)+IF(ISNUMBER(SEARCH(MAP_TNHN!D96&amp;" (2 tiết)",'PL10'!$S$7)),1,0)+IF(ISNUMBER(SEARCH(MAP_TNHN!D96&amp;" (2 tiết)",'PL10'!$S$8)),1,0)+IF(ISNUMBER(SEARCH(MAP_TNHN!D96&amp;" (2 tiết)",'PL10'!$S$9)),1,0)+IF(ISNUMBER(SEARCH(MAP_TNHN!D96&amp;" (2 tiết)",'PL10'!$S$10)),1,0)+IF(ISNUMBER(SEARCH(MAP_TNHN!D96&amp;" (2 tiết)",'PL10'!$S$11)),1,0)+IF(ISNUMBER(SEARCH(MAP_TNHN!D96&amp;" (2 tiết)",'PL10'!$S$12)),1,0)+IF(ISNUMBER(SEARCH(MAP_TNHN!D96&amp;" (2 tiết)",'PL10'!$S$13)),1,0)+IF(ISNUMBER(SEARCH(MAP_TNHN!D96&amp;" (2 tiết)",'PL10'!$S$14)),1,0)+IF(ISNUMBER(SEARCH(MAP_TNHN!D96&amp;" (2 tiết)",'PL10'!$S$15)),1,0)+IF(ISNUMBER(SEARCH(MAP_TNHN!D96&amp;" (2 tiết)",'PL10'!$S$16)),1,0)+IF(ISNUMBER(SEARCH(MAP_TNHN!D96&amp;" (2 tiết)",'PL10'!$S$17)),1,0)+IF(ISNUMBER(SEARCH(MAP_TNHN!D96&amp;" (2 tiết)",'PL10'!$S$18)),1,0)+IF(ISNUMBER(SEARCH(MAP_TNHN!D96&amp;" (2 tiết)",'PL10'!$S$19)),1,0)+IF(ISNUMBER(SEARCH(MAP_TNHN!D96&amp;" (2 tiết)",'PL10'!$S$20)),1,0)+IF(ISNUMBER(SEARCH(MAP_TNHN!D96&amp;" (2 tiết)",'PL10'!$S$21)),1,0)+IF(ISNUMBER(SEARCH(MAP_TNHN!D96&amp;" (2 tiết)",'PL10'!$S$22)),1,0)+IF(ISNUMBER(SEARCH(MAP_TNHN!D96&amp;" (2 tiết)",'PL10'!$S$23)),1,0)+IF(ISNUMBER(SEARCH(MAP_TNHN!D96&amp;" (2 tiết)",'PL10'!$S$24)),1,0)+IF(ISNUMBER(SEARCH(MAP_TNHN!D96&amp;" (2 tiết)",'PL10'!$S$25)),1,0))))</f>
        <v>0</v>
      </c>
    </row>
    <row r="97" spans="1:51" x14ac:dyDescent="0.35">
      <c r="A97" s="313"/>
      <c r="B97" s="8">
        <v>2</v>
      </c>
      <c r="C97" s="9" t="s">
        <v>213</v>
      </c>
      <c r="D97" s="20">
        <v>12</v>
      </c>
      <c r="E97" s="10">
        <v>2</v>
      </c>
      <c r="F97" s="10">
        <v>1</v>
      </c>
      <c r="G97" s="10">
        <v>2</v>
      </c>
      <c r="H97" s="10">
        <v>1</v>
      </c>
      <c r="I97" s="159">
        <v>1</v>
      </c>
      <c r="J97" s="10"/>
      <c r="K97" s="6"/>
      <c r="L97" s="6"/>
      <c r="M97" s="6"/>
      <c r="N97" s="139"/>
      <c r="O97" s="6"/>
      <c r="P97" s="42">
        <v>1</v>
      </c>
      <c r="Q97" s="42"/>
      <c r="R97" s="42">
        <v>1</v>
      </c>
      <c r="S97" s="138"/>
      <c r="T97" s="42"/>
      <c r="U97" s="11">
        <f>E97*('Phân tiết'!$M$18/4)+G97*('Phân tiết'!$M$21/3)+H97*'Phân tiết'!$L$26+AW97+J97*'Phân tiết'!$M$20+K97*('Phân tiết'!$I$18/4)+M97*('Phân tiết'!$I$21/3)+AX97+O97*'Phân tiết'!$I$20+P97*('Phân tiết'!$E$18/4)+R97*('Phân tiết'!$E$21/3)+AY97+T97*'Phân tiết'!$E$20</f>
        <v>14</v>
      </c>
      <c r="V97" s="8">
        <f t="shared" si="34"/>
        <v>4</v>
      </c>
      <c r="W97" s="6" t="s">
        <v>51</v>
      </c>
      <c r="X97" s="6"/>
      <c r="Y97" s="8">
        <v>1</v>
      </c>
      <c r="Z97" s="43">
        <f t="shared" si="35"/>
        <v>19</v>
      </c>
      <c r="AA97" s="34">
        <f t="shared" si="36"/>
        <v>2</v>
      </c>
      <c r="AB97" s="8">
        <v>2</v>
      </c>
      <c r="AC97" s="8">
        <v>15</v>
      </c>
      <c r="AD97" s="6">
        <f t="shared" si="25"/>
        <v>45</v>
      </c>
      <c r="AE97" s="8">
        <v>2</v>
      </c>
      <c r="AF97" s="8">
        <v>18</v>
      </c>
      <c r="AG97" s="6">
        <f t="shared" si="26"/>
        <v>54</v>
      </c>
      <c r="AH97" s="8"/>
      <c r="AI97" s="8"/>
      <c r="AJ97" s="6">
        <f t="shared" si="37"/>
        <v>0</v>
      </c>
      <c r="AK97" s="6">
        <f t="shared" si="27"/>
        <v>165</v>
      </c>
      <c r="AL97" s="8"/>
      <c r="AM97" s="8" t="s">
        <v>70</v>
      </c>
      <c r="AN97" s="8"/>
      <c r="AO97" s="8" t="s">
        <v>46</v>
      </c>
      <c r="AP97" s="8" t="s">
        <v>46</v>
      </c>
      <c r="AQ97" s="9" t="s">
        <v>46</v>
      </c>
      <c r="AR97" s="8"/>
      <c r="AS97" s="8"/>
      <c r="AT97" s="8" t="s">
        <v>46</v>
      </c>
      <c r="AU97" s="8"/>
      <c r="AV97" s="8"/>
      <c r="AW97">
        <f>IF(I97="",0,IF(MAP_TNHN!B97="",I97*3,I97*3-2*(IF(ISNUMBER(SEARCH(MAP_TNHN!B97&amp;" (1 tiết)",'PL12'!$S$5)),1,0)+IF(ISNUMBER(SEARCH(MAP_TNHN!B97&amp;" (1 tiết)",'PL12'!$S$6)),1,0)+IF(ISNUMBER(SEARCH(MAP_TNHN!B97&amp;" (1 tiết)",'PL12'!$S$7)),1,0)+IF(ISNUMBER(SEARCH(MAP_TNHN!B97&amp;" (1 tiết)",'PL12'!$S$8)),1,0)+IF(ISNUMBER(SEARCH(MAP_TNHN!B97&amp;" (1 tiết)",'PL12'!$S$9)),1,0)+IF(ISNUMBER(SEARCH(MAP_TNHN!B97&amp;" (1 tiết)",'PL12'!$S$10)),1,0)+IF(ISNUMBER(SEARCH(MAP_TNHN!B97&amp;" (1 tiết)",'PL12'!$S$11)),1,0)+IF(ISNUMBER(SEARCH(MAP_TNHN!B97&amp;" (1 tiết)",'PL12'!$S$12)),1,0)+IF(ISNUMBER(SEARCH(MAP_TNHN!B97&amp;" (1 tiết)",'PL12'!$S$13)),1,0)+IF(ISNUMBER(SEARCH(MAP_TNHN!B97&amp;" (1 tiết)",'PL12'!$S$14)),1,0)+IF(ISNUMBER(SEARCH(MAP_TNHN!B97&amp;" (1 tiết)",'PL12'!$S$15)),1,0)+IF(ISNUMBER(SEARCH(MAP_TNHN!B97&amp;" (1 tiết)",'PL12'!$S$16)),1,0)+IF(ISNUMBER(SEARCH(MAP_TNHN!B97&amp;" (1 tiết)",'PL12'!$S$17)),1,0)+IF(ISNUMBER(SEARCH(MAP_TNHN!B97&amp;" (1 tiết)",'PL12'!$S$18)),1,0)+IF(ISNUMBER(SEARCH(MAP_TNHN!B97&amp;" (1 tiết)",'PL12'!$S$19)),1,0))-(IF(ISNUMBER(SEARCH(MAP_TNHN!B97&amp;" (2 tiết)",'PL12'!$S$5)),1,0)+IF(ISNUMBER(SEARCH(MAP_TNHN!B97&amp;" (2 tiết)",'PL12'!$S$6)),1,0)+IF(ISNUMBER(SEARCH(MAP_TNHN!B97&amp;" (2 tiết)",'PL12'!$S$7)),1,0)+IF(ISNUMBER(SEARCH(MAP_TNHN!B97&amp;" (2 tiết)",'PL12'!$S$8)),1,0)+IF(ISNUMBER(SEARCH(MAP_TNHN!B97&amp;" (2 tiết)",'PL12'!$S$9)),1,0)+IF(ISNUMBER(SEARCH(MAP_TNHN!B97&amp;" (2 tiết)",'PL12'!$S$10)),1,0)+IF(ISNUMBER(SEARCH(MAP_TNHN!B97&amp;" (2 tiết)",'PL12'!$S$11)),1,0)+IF(ISNUMBER(SEARCH(MAP_TNHN!B97&amp;" (2 tiết)",'PL12'!$S$12)),1,0)+IF(ISNUMBER(SEARCH(MAP_TNHN!B97&amp;" (2 tiết)",'PL12'!$S$13)),1,0)+IF(ISNUMBER(SEARCH(MAP_TNHN!B97&amp;" (2 tiết)",'PL12'!$S$14)),1,0)+IF(ISNUMBER(SEARCH(MAP_TNHN!B97&amp;" (2 tiết)",'PL12'!$S$15)),1,0)+IF(ISNUMBER(SEARCH(MAP_TNHN!B97&amp;" (2 tiết)",'PL12'!$S$16)),1,0)+IF(ISNUMBER(SEARCH(MAP_TNHN!B97&amp;" (2 tiết)",'PL12'!$S$17)),1,0)+IF(ISNUMBER(SEARCH(MAP_TNHN!B97&amp;" (2 tiết)",'PL12'!$S$18)),1,0)+IF(ISNUMBER(SEARCH(MAP_TNHN!B97&amp;" (2 tiết)",'PL12'!$S$19)),1,0))))</f>
        <v>3</v>
      </c>
      <c r="AX97">
        <f>IF(N97="",0,IF(MAP_TNHN!C97="",N97*3,N97*3-2*(IF(ISNUMBER(SEARCH(MAP_TNHN!C97&amp;" (1 tiết)",'PL11'!$S$5)),1,0)+IF(ISNUMBER(SEARCH(MAP_TNHN!C97&amp;" (1 tiết)",'PL11'!$S$6)),1,0)+IF(ISNUMBER(SEARCH(MAP_TNHN!C97&amp;" (1 tiết)",'PL11'!$S$7)),1,0)+IF(ISNUMBER(SEARCH(MAP_TNHN!C97&amp;" (1 tiết)",'PL11'!$S$8)),1,0)+IF(ISNUMBER(SEARCH(MAP_TNHN!C97&amp;" (1 tiết)",'PL11'!$S$9)),1,0)+IF(ISNUMBER(SEARCH(MAP_TNHN!C97&amp;" (1 tiết)",'PL11'!$S$10)),1,0)+IF(ISNUMBER(SEARCH(MAP_TNHN!C97&amp;" (1 tiết)",'PL11'!$S$11)),1,0)+IF(ISNUMBER(SEARCH(MAP_TNHN!C97&amp;" (1 tiết)",'PL11'!$S$12)),1,0)+IF(ISNUMBER(SEARCH(MAP_TNHN!C97&amp;" (1 tiết)",'PL11'!$S$13)),1,0)+IF(ISNUMBER(SEARCH(MAP_TNHN!C97&amp;" (1 tiết)",'PL11'!$S$14)),1,0)+IF(ISNUMBER(SEARCH(MAP_TNHN!C97&amp;" (1 tiết)",'PL11'!$S$15)),1,0)+IF(ISNUMBER(SEARCH(MAP_TNHN!C97&amp;" (1 tiết)",'PL11'!$S$16)),1,0)+IF(ISNUMBER(SEARCH(MAP_TNHN!C97&amp;" (1 tiết)",'PL11'!$S$17)),1,0)+IF(ISNUMBER(SEARCH(MAP_TNHN!C97&amp;" (1 tiết)",'PL11'!$S$18)),1,0))-(IF(ISNUMBER(SEARCH(MAP_TNHN!C97&amp;" (2 tiết)",'PL11'!$S$5)),1,0)+IF(ISNUMBER(SEARCH(MAP_TNHN!C97&amp;" (2 tiết)",'PL11'!$S$6)),1,0)+IF(ISNUMBER(SEARCH(MAP_TNHN!C97&amp;" (2 tiết)",'PL11'!$S$7)),1,0)+IF(ISNUMBER(SEARCH(MAP_TNHN!C97&amp;" (2 tiết)",'PL11'!$S$8)),1,0)+IF(ISNUMBER(SEARCH(MAP_TNHN!C97&amp;" (2 tiết)",'PL11'!$S$9)),1,0)+IF(ISNUMBER(SEARCH(MAP_TNHN!C97&amp;" (2 tiết)",'PL11'!$S$10)),1,0)+IF(ISNUMBER(SEARCH(MAP_TNHN!C97&amp;" (2 tiết)",'PL11'!$S$11)),1,0)+IF(ISNUMBER(SEARCH(MAP_TNHN!C97&amp;" (2 tiết)",'PL11'!$S$12)),1,0)+IF(ISNUMBER(SEARCH(MAP_TNHN!C97&amp;" (2 tiết)",'PL11'!$S$13)),1,0)+IF(ISNUMBER(SEARCH(MAP_TNHN!C97&amp;" (2 tiết)",'PL11'!$S$14)),1,0)+IF(ISNUMBER(SEARCH(MAP_TNHN!C97&amp;" (2 tiết)",'PL11'!$S$15)),1,0)+IF(ISNUMBER(SEARCH(MAP_TNHN!C97&amp;" (2 tiết)",'PL11'!$S$16)),1,0)+IF(ISNUMBER(SEARCH(MAP_TNHN!C97&amp;" (2 tiết)",'PL11'!$S$17)),1,0)+IF(ISNUMBER(SEARCH(MAP_TNHN!C97&amp;" (2 tiết)",'PL11'!$S$18)),1,0))))</f>
        <v>0</v>
      </c>
      <c r="AY97">
        <f>IF(S97="",0,IF(MAP_TNHN!D97="",S97*3,S97*3-2*(IF(ISNUMBER(SEARCH(MAP_TNHN!D97&amp;" (1 tiết)",'PL10'!$S$5)),1,0)+IF(ISNUMBER(SEARCH(MAP_TNHN!D97&amp;" (1 tiết)",'PL10'!$S$6)),1,0)+IF(ISNUMBER(SEARCH(MAP_TNHN!D97&amp;" (1 tiết)",'PL10'!$S$7)),1,0)+IF(ISNUMBER(SEARCH(MAP_TNHN!D97&amp;" (1 tiết)",'PL10'!$S$8)),1,0)+IF(ISNUMBER(SEARCH(MAP_TNHN!D97&amp;" (1 tiết)",'PL10'!$S$9)),1,0)+IF(ISNUMBER(SEARCH(MAP_TNHN!D97&amp;" (1 tiết)",'PL10'!$S$10)),1,0)+IF(ISNUMBER(SEARCH(MAP_TNHN!D97&amp;" (1 tiết)",'PL10'!$S$11)),1,0)+IF(ISNUMBER(SEARCH(MAP_TNHN!D97&amp;" (1 tiết)",'PL10'!$S$12)),1,0)+IF(ISNUMBER(SEARCH(MAP_TNHN!D97&amp;" (1 tiết)",'PL10'!$S$13)),1,0)+IF(ISNUMBER(SEARCH(MAP_TNHN!D97&amp;" (1 tiết)",'PL10'!$S$14)),1,0)+IF(ISNUMBER(SEARCH(MAP_TNHN!D97&amp;" (1 tiết)",'PL10'!$S$15)),1,0)+IF(ISNUMBER(SEARCH(MAP_TNHN!D97&amp;" (1 tiết)",'PL10'!$S$16)),1,0)+IF(ISNUMBER(SEARCH(MAP_TNHN!D97&amp;" (1 tiết)",'PL10'!$S$17)),1,0)+IF(ISNUMBER(SEARCH(MAP_TNHN!D97&amp;" (1 tiết)",'PL10'!$S$18)),1,0)+IF(ISNUMBER(SEARCH(MAP_TNHN!D97&amp;" (1 tiết)",'PL10'!$S$19)),1,0)+IF(ISNUMBER(SEARCH(MAP_TNHN!D97&amp;" (1 tiết)",'PL10'!$S$20)),1,0)+IF(ISNUMBER(SEARCH(MAP_TNHN!D97&amp;" (1 tiết)",'PL10'!$S$21)),1,0)+IF(ISNUMBER(SEARCH(MAP_TNHN!D97&amp;" (1 tiết)",'PL10'!$S$22)),1,0)+IF(ISNUMBER(SEARCH(MAP_TNHN!D97&amp;" (1 tiết)",'PL10'!$S$23)),1,0)+IF(ISNUMBER(SEARCH(MAP_TNHN!D97&amp;" (1 tiết)",'PL10'!$S$24)),1,0)+IF(ISNUMBER(SEARCH(MAP_TNHN!D97&amp;" (1 tiết)",'PL10'!$S$25)),1,0))-(IF(ISNUMBER(SEARCH(MAP_TNHN!D97&amp;" (2 tiết)",'PL10'!$S$5)),1,0)+IF(ISNUMBER(SEARCH(MAP_TNHN!D97&amp;" (2 tiết)",'PL10'!$S$6)),1,0)+IF(ISNUMBER(SEARCH(MAP_TNHN!D97&amp;" (2 tiết)",'PL10'!$S$7)),1,0)+IF(ISNUMBER(SEARCH(MAP_TNHN!D97&amp;" (2 tiết)",'PL10'!$S$8)),1,0)+IF(ISNUMBER(SEARCH(MAP_TNHN!D97&amp;" (2 tiết)",'PL10'!$S$9)),1,0)+IF(ISNUMBER(SEARCH(MAP_TNHN!D97&amp;" (2 tiết)",'PL10'!$S$10)),1,0)+IF(ISNUMBER(SEARCH(MAP_TNHN!D97&amp;" (2 tiết)",'PL10'!$S$11)),1,0)+IF(ISNUMBER(SEARCH(MAP_TNHN!D97&amp;" (2 tiết)",'PL10'!$S$12)),1,0)+IF(ISNUMBER(SEARCH(MAP_TNHN!D97&amp;" (2 tiết)",'PL10'!$S$13)),1,0)+IF(ISNUMBER(SEARCH(MAP_TNHN!D97&amp;" (2 tiết)",'PL10'!$S$14)),1,0)+IF(ISNUMBER(SEARCH(MAP_TNHN!D97&amp;" (2 tiết)",'PL10'!$S$15)),1,0)+IF(ISNUMBER(SEARCH(MAP_TNHN!D97&amp;" (2 tiết)",'PL10'!$S$16)),1,0)+IF(ISNUMBER(SEARCH(MAP_TNHN!D97&amp;" (2 tiết)",'PL10'!$S$17)),1,0)+IF(ISNUMBER(SEARCH(MAP_TNHN!D97&amp;" (2 tiết)",'PL10'!$S$18)),1,0)+IF(ISNUMBER(SEARCH(MAP_TNHN!D97&amp;" (2 tiết)",'PL10'!$S$19)),1,0)+IF(ISNUMBER(SEARCH(MAP_TNHN!D97&amp;" (2 tiết)",'PL10'!$S$20)),1,0)+IF(ISNUMBER(SEARCH(MAP_TNHN!D97&amp;" (2 tiết)",'PL10'!$S$21)),1,0)+IF(ISNUMBER(SEARCH(MAP_TNHN!D97&amp;" (2 tiết)",'PL10'!$S$22)),1,0)+IF(ISNUMBER(SEARCH(MAP_TNHN!D97&amp;" (2 tiết)",'PL10'!$S$23)),1,0)+IF(ISNUMBER(SEARCH(MAP_TNHN!D97&amp;" (2 tiết)",'PL10'!$S$24)),1,0)+IF(ISNUMBER(SEARCH(MAP_TNHN!D97&amp;" (2 tiết)",'PL10'!$S$25)),1,0))))</f>
        <v>0</v>
      </c>
    </row>
    <row r="98" spans="1:51" x14ac:dyDescent="0.35">
      <c r="A98" s="313"/>
      <c r="B98" s="8">
        <v>3</v>
      </c>
      <c r="C98" s="9" t="s">
        <v>214</v>
      </c>
      <c r="D98" s="20">
        <v>11</v>
      </c>
      <c r="E98" s="10"/>
      <c r="F98" s="10"/>
      <c r="G98" s="10"/>
      <c r="H98" s="10"/>
      <c r="I98" s="159"/>
      <c r="J98" s="10"/>
      <c r="K98" s="6">
        <v>2</v>
      </c>
      <c r="L98" s="6">
        <v>1</v>
      </c>
      <c r="M98" s="6">
        <v>1</v>
      </c>
      <c r="N98" s="139">
        <v>1</v>
      </c>
      <c r="O98" s="6"/>
      <c r="P98" s="42">
        <v>2</v>
      </c>
      <c r="Q98" s="42"/>
      <c r="R98" s="42">
        <v>2</v>
      </c>
      <c r="S98" s="138">
        <v>1</v>
      </c>
      <c r="T98" s="42"/>
      <c r="U98" s="11">
        <f>E98*('Phân tiết'!$M$18/4)+G98*('Phân tiết'!$M$21/3)+H98*'Phân tiết'!$L$26+AW98+J98*'Phân tiết'!$M$20+K98*('Phân tiết'!$I$18/4)+M98*('Phân tiết'!$I$21/3)+AX98+O98*'Phân tiết'!$I$20+P98*('Phân tiết'!$E$18/4)+R98*('Phân tiết'!$E$21/3)+AY98+T98*'Phân tiết'!$E$20</f>
        <v>16</v>
      </c>
      <c r="V98" s="8">
        <f t="shared" si="34"/>
        <v>4</v>
      </c>
      <c r="W98" s="6"/>
      <c r="X98" s="6"/>
      <c r="Y98" s="8"/>
      <c r="Z98" s="43">
        <f t="shared" si="35"/>
        <v>20</v>
      </c>
      <c r="AA98" s="34">
        <f t="shared" si="36"/>
        <v>3</v>
      </c>
      <c r="AB98" s="8">
        <v>2</v>
      </c>
      <c r="AC98" s="8">
        <v>15</v>
      </c>
      <c r="AD98" s="6">
        <f t="shared" si="25"/>
        <v>45</v>
      </c>
      <c r="AE98" s="8"/>
      <c r="AF98" s="8"/>
      <c r="AG98" s="6">
        <f t="shared" si="26"/>
        <v>0</v>
      </c>
      <c r="AH98" s="8"/>
      <c r="AI98" s="8"/>
      <c r="AJ98" s="6">
        <f t="shared" si="37"/>
        <v>0</v>
      </c>
      <c r="AK98" s="6">
        <f t="shared" si="27"/>
        <v>144</v>
      </c>
      <c r="AL98" s="8" t="s">
        <v>48</v>
      </c>
      <c r="AM98" s="8"/>
      <c r="AN98" s="8" t="s">
        <v>106</v>
      </c>
      <c r="AO98" s="8"/>
      <c r="AP98" s="8"/>
      <c r="AQ98" s="9"/>
      <c r="AR98" s="8"/>
      <c r="AS98" s="8"/>
      <c r="AT98" s="8" t="s">
        <v>46</v>
      </c>
      <c r="AU98" s="8"/>
      <c r="AV98" s="8" t="s">
        <v>88</v>
      </c>
      <c r="AW98">
        <f>IF(I98="",0,IF(MAP_TNHN!B98="",I98*3,I98*3-2*(IF(ISNUMBER(SEARCH(MAP_TNHN!B98&amp;" (1 tiết)",'PL12'!$S$5)),1,0)+IF(ISNUMBER(SEARCH(MAP_TNHN!B98&amp;" (1 tiết)",'PL12'!$S$6)),1,0)+IF(ISNUMBER(SEARCH(MAP_TNHN!B98&amp;" (1 tiết)",'PL12'!$S$7)),1,0)+IF(ISNUMBER(SEARCH(MAP_TNHN!B98&amp;" (1 tiết)",'PL12'!$S$8)),1,0)+IF(ISNUMBER(SEARCH(MAP_TNHN!B98&amp;" (1 tiết)",'PL12'!$S$9)),1,0)+IF(ISNUMBER(SEARCH(MAP_TNHN!B98&amp;" (1 tiết)",'PL12'!$S$10)),1,0)+IF(ISNUMBER(SEARCH(MAP_TNHN!B98&amp;" (1 tiết)",'PL12'!$S$11)),1,0)+IF(ISNUMBER(SEARCH(MAP_TNHN!B98&amp;" (1 tiết)",'PL12'!$S$12)),1,0)+IF(ISNUMBER(SEARCH(MAP_TNHN!B98&amp;" (1 tiết)",'PL12'!$S$13)),1,0)+IF(ISNUMBER(SEARCH(MAP_TNHN!B98&amp;" (1 tiết)",'PL12'!$S$14)),1,0)+IF(ISNUMBER(SEARCH(MAP_TNHN!B98&amp;" (1 tiết)",'PL12'!$S$15)),1,0)+IF(ISNUMBER(SEARCH(MAP_TNHN!B98&amp;" (1 tiết)",'PL12'!$S$16)),1,0)+IF(ISNUMBER(SEARCH(MAP_TNHN!B98&amp;" (1 tiết)",'PL12'!$S$17)),1,0)+IF(ISNUMBER(SEARCH(MAP_TNHN!B98&amp;" (1 tiết)",'PL12'!$S$18)),1,0)+IF(ISNUMBER(SEARCH(MAP_TNHN!B98&amp;" (1 tiết)",'PL12'!$S$19)),1,0))-(IF(ISNUMBER(SEARCH(MAP_TNHN!B98&amp;" (2 tiết)",'PL12'!$S$5)),1,0)+IF(ISNUMBER(SEARCH(MAP_TNHN!B98&amp;" (2 tiết)",'PL12'!$S$6)),1,0)+IF(ISNUMBER(SEARCH(MAP_TNHN!B98&amp;" (2 tiết)",'PL12'!$S$7)),1,0)+IF(ISNUMBER(SEARCH(MAP_TNHN!B98&amp;" (2 tiết)",'PL12'!$S$8)),1,0)+IF(ISNUMBER(SEARCH(MAP_TNHN!B98&amp;" (2 tiết)",'PL12'!$S$9)),1,0)+IF(ISNUMBER(SEARCH(MAP_TNHN!B98&amp;" (2 tiết)",'PL12'!$S$10)),1,0)+IF(ISNUMBER(SEARCH(MAP_TNHN!B98&amp;" (2 tiết)",'PL12'!$S$11)),1,0)+IF(ISNUMBER(SEARCH(MAP_TNHN!B98&amp;" (2 tiết)",'PL12'!$S$12)),1,0)+IF(ISNUMBER(SEARCH(MAP_TNHN!B98&amp;" (2 tiết)",'PL12'!$S$13)),1,0)+IF(ISNUMBER(SEARCH(MAP_TNHN!B98&amp;" (2 tiết)",'PL12'!$S$14)),1,0)+IF(ISNUMBER(SEARCH(MAP_TNHN!B98&amp;" (2 tiết)",'PL12'!$S$15)),1,0)+IF(ISNUMBER(SEARCH(MAP_TNHN!B98&amp;" (2 tiết)",'PL12'!$S$16)),1,0)+IF(ISNUMBER(SEARCH(MAP_TNHN!B98&amp;" (2 tiết)",'PL12'!$S$17)),1,0)+IF(ISNUMBER(SEARCH(MAP_TNHN!B98&amp;" (2 tiết)",'PL12'!$S$18)),1,0)+IF(ISNUMBER(SEARCH(MAP_TNHN!B98&amp;" (2 tiết)",'PL12'!$S$19)),1,0))))</f>
        <v>0</v>
      </c>
      <c r="AX98">
        <f>IF(N98="",0,IF(MAP_TNHN!C98="",N98*3,N98*3-2*(IF(ISNUMBER(SEARCH(MAP_TNHN!C98&amp;" (1 tiết)",'PL11'!$S$5)),1,0)+IF(ISNUMBER(SEARCH(MAP_TNHN!C98&amp;" (1 tiết)",'PL11'!$S$6)),1,0)+IF(ISNUMBER(SEARCH(MAP_TNHN!C98&amp;" (1 tiết)",'PL11'!$S$7)),1,0)+IF(ISNUMBER(SEARCH(MAP_TNHN!C98&amp;" (1 tiết)",'PL11'!$S$8)),1,0)+IF(ISNUMBER(SEARCH(MAP_TNHN!C98&amp;" (1 tiết)",'PL11'!$S$9)),1,0)+IF(ISNUMBER(SEARCH(MAP_TNHN!C98&amp;" (1 tiết)",'PL11'!$S$10)),1,0)+IF(ISNUMBER(SEARCH(MAP_TNHN!C98&amp;" (1 tiết)",'PL11'!$S$11)),1,0)+IF(ISNUMBER(SEARCH(MAP_TNHN!C98&amp;" (1 tiết)",'PL11'!$S$12)),1,0)+IF(ISNUMBER(SEARCH(MAP_TNHN!C98&amp;" (1 tiết)",'PL11'!$S$13)),1,0)+IF(ISNUMBER(SEARCH(MAP_TNHN!C98&amp;" (1 tiết)",'PL11'!$S$14)),1,0)+IF(ISNUMBER(SEARCH(MAP_TNHN!C98&amp;" (1 tiết)",'PL11'!$S$15)),1,0)+IF(ISNUMBER(SEARCH(MAP_TNHN!C98&amp;" (1 tiết)",'PL11'!$S$16)),1,0)+IF(ISNUMBER(SEARCH(MAP_TNHN!C98&amp;" (1 tiết)",'PL11'!$S$17)),1,0)+IF(ISNUMBER(SEARCH(MAP_TNHN!C98&amp;" (1 tiết)",'PL11'!$S$18)),1,0))-(IF(ISNUMBER(SEARCH(MAP_TNHN!C98&amp;" (2 tiết)",'PL11'!$S$5)),1,0)+IF(ISNUMBER(SEARCH(MAP_TNHN!C98&amp;" (2 tiết)",'PL11'!$S$6)),1,0)+IF(ISNUMBER(SEARCH(MAP_TNHN!C98&amp;" (2 tiết)",'PL11'!$S$7)),1,0)+IF(ISNUMBER(SEARCH(MAP_TNHN!C98&amp;" (2 tiết)",'PL11'!$S$8)),1,0)+IF(ISNUMBER(SEARCH(MAP_TNHN!C98&amp;" (2 tiết)",'PL11'!$S$9)),1,0)+IF(ISNUMBER(SEARCH(MAP_TNHN!C98&amp;" (2 tiết)",'PL11'!$S$10)),1,0)+IF(ISNUMBER(SEARCH(MAP_TNHN!C98&amp;" (2 tiết)",'PL11'!$S$11)),1,0)+IF(ISNUMBER(SEARCH(MAP_TNHN!C98&amp;" (2 tiết)",'PL11'!$S$12)),1,0)+IF(ISNUMBER(SEARCH(MAP_TNHN!C98&amp;" (2 tiết)",'PL11'!$S$13)),1,0)+IF(ISNUMBER(SEARCH(MAP_TNHN!C98&amp;" (2 tiết)",'PL11'!$S$14)),1,0)+IF(ISNUMBER(SEARCH(MAP_TNHN!C98&amp;" (2 tiết)",'PL11'!$S$15)),1,0)+IF(ISNUMBER(SEARCH(MAP_TNHN!C98&amp;" (2 tiết)",'PL11'!$S$16)),1,0)+IF(ISNUMBER(SEARCH(MAP_TNHN!C98&amp;" (2 tiết)",'PL11'!$S$17)),1,0)+IF(ISNUMBER(SEARCH(MAP_TNHN!C98&amp;" (2 tiết)",'PL11'!$S$18)),1,0))))</f>
        <v>3</v>
      </c>
      <c r="AY98">
        <f>IF(S98="",0,IF(MAP_TNHN!D98="",S98*3,S98*3-2*(IF(ISNUMBER(SEARCH(MAP_TNHN!D98&amp;" (1 tiết)",'PL10'!$S$5)),1,0)+IF(ISNUMBER(SEARCH(MAP_TNHN!D98&amp;" (1 tiết)",'PL10'!$S$6)),1,0)+IF(ISNUMBER(SEARCH(MAP_TNHN!D98&amp;" (1 tiết)",'PL10'!$S$7)),1,0)+IF(ISNUMBER(SEARCH(MAP_TNHN!D98&amp;" (1 tiết)",'PL10'!$S$8)),1,0)+IF(ISNUMBER(SEARCH(MAP_TNHN!D98&amp;" (1 tiết)",'PL10'!$S$9)),1,0)+IF(ISNUMBER(SEARCH(MAP_TNHN!D98&amp;" (1 tiết)",'PL10'!$S$10)),1,0)+IF(ISNUMBER(SEARCH(MAP_TNHN!D98&amp;" (1 tiết)",'PL10'!$S$11)),1,0)+IF(ISNUMBER(SEARCH(MAP_TNHN!D98&amp;" (1 tiết)",'PL10'!$S$12)),1,0)+IF(ISNUMBER(SEARCH(MAP_TNHN!D98&amp;" (1 tiết)",'PL10'!$S$13)),1,0)+IF(ISNUMBER(SEARCH(MAP_TNHN!D98&amp;" (1 tiết)",'PL10'!$S$14)),1,0)+IF(ISNUMBER(SEARCH(MAP_TNHN!D98&amp;" (1 tiết)",'PL10'!$S$15)),1,0)+IF(ISNUMBER(SEARCH(MAP_TNHN!D98&amp;" (1 tiết)",'PL10'!$S$16)),1,0)+IF(ISNUMBER(SEARCH(MAP_TNHN!D98&amp;" (1 tiết)",'PL10'!$S$17)),1,0)+IF(ISNUMBER(SEARCH(MAP_TNHN!D98&amp;" (1 tiết)",'PL10'!$S$18)),1,0)+IF(ISNUMBER(SEARCH(MAP_TNHN!D98&amp;" (1 tiết)",'PL10'!$S$19)),1,0)+IF(ISNUMBER(SEARCH(MAP_TNHN!D98&amp;" (1 tiết)",'PL10'!$S$20)),1,0)+IF(ISNUMBER(SEARCH(MAP_TNHN!D98&amp;" (1 tiết)",'PL10'!$S$21)),1,0)+IF(ISNUMBER(SEARCH(MAP_TNHN!D98&amp;" (1 tiết)",'PL10'!$S$22)),1,0)+IF(ISNUMBER(SEARCH(MAP_TNHN!D98&amp;" (1 tiết)",'PL10'!$S$23)),1,0)+IF(ISNUMBER(SEARCH(MAP_TNHN!D98&amp;" (1 tiết)",'PL10'!$S$24)),1,0)+IF(ISNUMBER(SEARCH(MAP_TNHN!D98&amp;" (1 tiết)",'PL10'!$S$25)),1,0))-(IF(ISNUMBER(SEARCH(MAP_TNHN!D98&amp;" (2 tiết)",'PL10'!$S$5)),1,0)+IF(ISNUMBER(SEARCH(MAP_TNHN!D98&amp;" (2 tiết)",'PL10'!$S$6)),1,0)+IF(ISNUMBER(SEARCH(MAP_TNHN!D98&amp;" (2 tiết)",'PL10'!$S$7)),1,0)+IF(ISNUMBER(SEARCH(MAP_TNHN!D98&amp;" (2 tiết)",'PL10'!$S$8)),1,0)+IF(ISNUMBER(SEARCH(MAP_TNHN!D98&amp;" (2 tiết)",'PL10'!$S$9)),1,0)+IF(ISNUMBER(SEARCH(MAP_TNHN!D98&amp;" (2 tiết)",'PL10'!$S$10)),1,0)+IF(ISNUMBER(SEARCH(MAP_TNHN!D98&amp;" (2 tiết)",'PL10'!$S$11)),1,0)+IF(ISNUMBER(SEARCH(MAP_TNHN!D98&amp;" (2 tiết)",'PL10'!$S$12)),1,0)+IF(ISNUMBER(SEARCH(MAP_TNHN!D98&amp;" (2 tiết)",'PL10'!$S$13)),1,0)+IF(ISNUMBER(SEARCH(MAP_TNHN!D98&amp;" (2 tiết)",'PL10'!$S$14)),1,0)+IF(ISNUMBER(SEARCH(MAP_TNHN!D98&amp;" (2 tiết)",'PL10'!$S$15)),1,0)+IF(ISNUMBER(SEARCH(MAP_TNHN!D98&amp;" (2 tiết)",'PL10'!$S$16)),1,0)+IF(ISNUMBER(SEARCH(MAP_TNHN!D98&amp;" (2 tiết)",'PL10'!$S$17)),1,0)+IF(ISNUMBER(SEARCH(MAP_TNHN!D98&amp;" (2 tiết)",'PL10'!$S$18)),1,0)+IF(ISNUMBER(SEARCH(MAP_TNHN!D98&amp;" (2 tiết)",'PL10'!$S$19)),1,0)+IF(ISNUMBER(SEARCH(MAP_TNHN!D98&amp;" (2 tiết)",'PL10'!$S$20)),1,0)+IF(ISNUMBER(SEARCH(MAP_TNHN!D98&amp;" (2 tiết)",'PL10'!$S$21)),1,0)+IF(ISNUMBER(SEARCH(MAP_TNHN!D98&amp;" (2 tiết)",'PL10'!$S$22)),1,0)+IF(ISNUMBER(SEARCH(MAP_TNHN!D98&amp;" (2 tiết)",'PL10'!$S$23)),1,0)+IF(ISNUMBER(SEARCH(MAP_TNHN!D98&amp;" (2 tiết)",'PL10'!$S$24)),1,0)+IF(ISNUMBER(SEARCH(MAP_TNHN!D98&amp;" (2 tiết)",'PL10'!$S$25)),1,0))))</f>
        <v>2</v>
      </c>
    </row>
    <row r="99" spans="1:51" x14ac:dyDescent="0.35">
      <c r="A99" s="313"/>
      <c r="B99" s="8">
        <v>4</v>
      </c>
      <c r="C99" s="9" t="s">
        <v>215</v>
      </c>
      <c r="D99" s="20"/>
      <c r="E99" s="10"/>
      <c r="F99" s="10"/>
      <c r="G99" s="10"/>
      <c r="H99" s="10"/>
      <c r="I99" s="159"/>
      <c r="J99" s="10"/>
      <c r="K99" s="6"/>
      <c r="L99" s="6"/>
      <c r="M99" s="6"/>
      <c r="N99" s="139">
        <v>2</v>
      </c>
      <c r="O99" s="6">
        <v>5</v>
      </c>
      <c r="P99" s="42"/>
      <c r="Q99" s="42"/>
      <c r="R99" s="42"/>
      <c r="S99" s="138">
        <v>2</v>
      </c>
      <c r="T99" s="213">
        <v>4</v>
      </c>
      <c r="U99" s="11">
        <f>E99*('Phân tiết'!$M$18/4)+G99*('Phân tiết'!$M$21/3)+H99*'Phân tiết'!$L$26+AW99+J99*'Phân tiết'!$M$20+K99*('Phân tiết'!$I$18/4)+M99*('Phân tiết'!$I$21/3)+AX99+O99*'Phân tiết'!$I$20+P99*('Phân tiết'!$E$18/4)+R99*('Phân tiết'!$E$21/3)+AY99+T99*'Phân tiết'!$E$20</f>
        <v>17</v>
      </c>
      <c r="V99" s="8">
        <f t="shared" si="34"/>
        <v>0</v>
      </c>
      <c r="W99" s="6"/>
      <c r="X99" s="6"/>
      <c r="Y99" s="8"/>
      <c r="Z99" s="43">
        <f t="shared" si="35"/>
        <v>17</v>
      </c>
      <c r="AA99" s="34">
        <f t="shared" si="36"/>
        <v>0</v>
      </c>
      <c r="AB99" s="8"/>
      <c r="AC99" s="8"/>
      <c r="AD99" s="6">
        <f t="shared" si="25"/>
        <v>0</v>
      </c>
      <c r="AE99" s="8"/>
      <c r="AF99" s="8"/>
      <c r="AG99" s="6">
        <f t="shared" si="26"/>
        <v>0</v>
      </c>
      <c r="AH99" s="8"/>
      <c r="AI99" s="8"/>
      <c r="AJ99" s="6">
        <f t="shared" si="37"/>
        <v>0</v>
      </c>
      <c r="AK99" s="6">
        <f t="shared" si="27"/>
        <v>0</v>
      </c>
      <c r="AL99" s="8"/>
      <c r="AM99" s="8"/>
      <c r="AN99" s="8"/>
      <c r="AO99" s="8"/>
      <c r="AP99" s="8"/>
      <c r="AQ99" s="9"/>
      <c r="AR99" s="8"/>
      <c r="AS99" s="8"/>
      <c r="AT99" s="8" t="s">
        <v>46</v>
      </c>
      <c r="AU99" s="8"/>
      <c r="AV99" s="8"/>
      <c r="AW99">
        <f>IF(I99="",0,IF(MAP_TNHN!B99="",I99*3,I99*3-2*(IF(ISNUMBER(SEARCH(MAP_TNHN!B99&amp;" (1 tiết)",'PL12'!$S$5)),1,0)+IF(ISNUMBER(SEARCH(MAP_TNHN!B99&amp;" (1 tiết)",'PL12'!$S$6)),1,0)+IF(ISNUMBER(SEARCH(MAP_TNHN!B99&amp;" (1 tiết)",'PL12'!$S$7)),1,0)+IF(ISNUMBER(SEARCH(MAP_TNHN!B99&amp;" (1 tiết)",'PL12'!$S$8)),1,0)+IF(ISNUMBER(SEARCH(MAP_TNHN!B99&amp;" (1 tiết)",'PL12'!$S$9)),1,0)+IF(ISNUMBER(SEARCH(MAP_TNHN!B99&amp;" (1 tiết)",'PL12'!$S$10)),1,0)+IF(ISNUMBER(SEARCH(MAP_TNHN!B99&amp;" (1 tiết)",'PL12'!$S$11)),1,0)+IF(ISNUMBER(SEARCH(MAP_TNHN!B99&amp;" (1 tiết)",'PL12'!$S$12)),1,0)+IF(ISNUMBER(SEARCH(MAP_TNHN!B99&amp;" (1 tiết)",'PL12'!$S$13)),1,0)+IF(ISNUMBER(SEARCH(MAP_TNHN!B99&amp;" (1 tiết)",'PL12'!$S$14)),1,0)+IF(ISNUMBER(SEARCH(MAP_TNHN!B99&amp;" (1 tiết)",'PL12'!$S$15)),1,0)+IF(ISNUMBER(SEARCH(MAP_TNHN!B99&amp;" (1 tiết)",'PL12'!$S$16)),1,0)+IF(ISNUMBER(SEARCH(MAP_TNHN!B99&amp;" (1 tiết)",'PL12'!$S$17)),1,0)+IF(ISNUMBER(SEARCH(MAP_TNHN!B99&amp;" (1 tiết)",'PL12'!$S$18)),1,0)+IF(ISNUMBER(SEARCH(MAP_TNHN!B99&amp;" (1 tiết)",'PL12'!$S$19)),1,0))-(IF(ISNUMBER(SEARCH(MAP_TNHN!B99&amp;" (2 tiết)",'PL12'!$S$5)),1,0)+IF(ISNUMBER(SEARCH(MAP_TNHN!B99&amp;" (2 tiết)",'PL12'!$S$6)),1,0)+IF(ISNUMBER(SEARCH(MAP_TNHN!B99&amp;" (2 tiết)",'PL12'!$S$7)),1,0)+IF(ISNUMBER(SEARCH(MAP_TNHN!B99&amp;" (2 tiết)",'PL12'!$S$8)),1,0)+IF(ISNUMBER(SEARCH(MAP_TNHN!B99&amp;" (2 tiết)",'PL12'!$S$9)),1,0)+IF(ISNUMBER(SEARCH(MAP_TNHN!B99&amp;" (2 tiết)",'PL12'!$S$10)),1,0)+IF(ISNUMBER(SEARCH(MAP_TNHN!B99&amp;" (2 tiết)",'PL12'!$S$11)),1,0)+IF(ISNUMBER(SEARCH(MAP_TNHN!B99&amp;" (2 tiết)",'PL12'!$S$12)),1,0)+IF(ISNUMBER(SEARCH(MAP_TNHN!B99&amp;" (2 tiết)",'PL12'!$S$13)),1,0)+IF(ISNUMBER(SEARCH(MAP_TNHN!B99&amp;" (2 tiết)",'PL12'!$S$14)),1,0)+IF(ISNUMBER(SEARCH(MAP_TNHN!B99&amp;" (2 tiết)",'PL12'!$S$15)),1,0)+IF(ISNUMBER(SEARCH(MAP_TNHN!B99&amp;" (2 tiết)",'PL12'!$S$16)),1,0)+IF(ISNUMBER(SEARCH(MAP_TNHN!B99&amp;" (2 tiết)",'PL12'!$S$17)),1,0)+IF(ISNUMBER(SEARCH(MAP_TNHN!B99&amp;" (2 tiết)",'PL12'!$S$18)),1,0)+IF(ISNUMBER(SEARCH(MAP_TNHN!B99&amp;" (2 tiết)",'PL12'!$S$19)),1,0))))</f>
        <v>0</v>
      </c>
      <c r="AX99">
        <f>IF(N99="",0,IF(MAP_TNHN!C99="",N99*3,N99*3-2*(IF(ISNUMBER(SEARCH(MAP_TNHN!C99&amp;" (1 tiết)",'PL11'!$S$5)),1,0)+IF(ISNUMBER(SEARCH(MAP_TNHN!C99&amp;" (1 tiết)",'PL11'!$S$6)),1,0)+IF(ISNUMBER(SEARCH(MAP_TNHN!C99&amp;" (1 tiết)",'PL11'!$S$7)),1,0)+IF(ISNUMBER(SEARCH(MAP_TNHN!C99&amp;" (1 tiết)",'PL11'!$S$8)),1,0)+IF(ISNUMBER(SEARCH(MAP_TNHN!C99&amp;" (1 tiết)",'PL11'!$S$9)),1,0)+IF(ISNUMBER(SEARCH(MAP_TNHN!C99&amp;" (1 tiết)",'PL11'!$S$10)),1,0)+IF(ISNUMBER(SEARCH(MAP_TNHN!C99&amp;" (1 tiết)",'PL11'!$S$11)),1,0)+IF(ISNUMBER(SEARCH(MAP_TNHN!C99&amp;" (1 tiết)",'PL11'!$S$12)),1,0)+IF(ISNUMBER(SEARCH(MAP_TNHN!C99&amp;" (1 tiết)",'PL11'!$S$13)),1,0)+IF(ISNUMBER(SEARCH(MAP_TNHN!C99&amp;" (1 tiết)",'PL11'!$S$14)),1,0)+IF(ISNUMBER(SEARCH(MAP_TNHN!C99&amp;" (1 tiết)",'PL11'!$S$15)),1,0)+IF(ISNUMBER(SEARCH(MAP_TNHN!C99&amp;" (1 tiết)",'PL11'!$S$16)),1,0)+IF(ISNUMBER(SEARCH(MAP_TNHN!C99&amp;" (1 tiết)",'PL11'!$S$17)),1,0)+IF(ISNUMBER(SEARCH(MAP_TNHN!C99&amp;" (1 tiết)",'PL11'!$S$18)),1,0))-(IF(ISNUMBER(SEARCH(MAP_TNHN!C99&amp;" (2 tiết)",'PL11'!$S$5)),1,0)+IF(ISNUMBER(SEARCH(MAP_TNHN!C99&amp;" (2 tiết)",'PL11'!$S$6)),1,0)+IF(ISNUMBER(SEARCH(MAP_TNHN!C99&amp;" (2 tiết)",'PL11'!$S$7)),1,0)+IF(ISNUMBER(SEARCH(MAP_TNHN!C99&amp;" (2 tiết)",'PL11'!$S$8)),1,0)+IF(ISNUMBER(SEARCH(MAP_TNHN!C99&amp;" (2 tiết)",'PL11'!$S$9)),1,0)+IF(ISNUMBER(SEARCH(MAP_TNHN!C99&amp;" (2 tiết)",'PL11'!$S$10)),1,0)+IF(ISNUMBER(SEARCH(MAP_TNHN!C99&amp;" (2 tiết)",'PL11'!$S$11)),1,0)+IF(ISNUMBER(SEARCH(MAP_TNHN!C99&amp;" (2 tiết)",'PL11'!$S$12)),1,0)+IF(ISNUMBER(SEARCH(MAP_TNHN!C99&amp;" (2 tiết)",'PL11'!$S$13)),1,0)+IF(ISNUMBER(SEARCH(MAP_TNHN!C99&amp;" (2 tiết)",'PL11'!$S$14)),1,0)+IF(ISNUMBER(SEARCH(MAP_TNHN!C99&amp;" (2 tiết)",'PL11'!$S$15)),1,0)+IF(ISNUMBER(SEARCH(MAP_TNHN!C99&amp;" (2 tiết)",'PL11'!$S$16)),1,0)+IF(ISNUMBER(SEARCH(MAP_TNHN!C99&amp;" (2 tiết)",'PL11'!$S$17)),1,0)+IF(ISNUMBER(SEARCH(MAP_TNHN!C99&amp;" (2 tiết)",'PL11'!$S$18)),1,0))))</f>
        <v>4</v>
      </c>
      <c r="AY99">
        <f>IF(S99="",0,IF(MAP_TNHN!D99="",S99*3,S99*3-2*(IF(ISNUMBER(SEARCH(MAP_TNHN!D99&amp;" (1 tiết)",'PL10'!$S$5)),1,0)+IF(ISNUMBER(SEARCH(MAP_TNHN!D99&amp;" (1 tiết)",'PL10'!$S$6)),1,0)+IF(ISNUMBER(SEARCH(MAP_TNHN!D99&amp;" (1 tiết)",'PL10'!$S$7)),1,0)+IF(ISNUMBER(SEARCH(MAP_TNHN!D99&amp;" (1 tiết)",'PL10'!$S$8)),1,0)+IF(ISNUMBER(SEARCH(MAP_TNHN!D99&amp;" (1 tiết)",'PL10'!$S$9)),1,0)+IF(ISNUMBER(SEARCH(MAP_TNHN!D99&amp;" (1 tiết)",'PL10'!$S$10)),1,0)+IF(ISNUMBER(SEARCH(MAP_TNHN!D99&amp;" (1 tiết)",'PL10'!$S$11)),1,0)+IF(ISNUMBER(SEARCH(MAP_TNHN!D99&amp;" (1 tiết)",'PL10'!$S$12)),1,0)+IF(ISNUMBER(SEARCH(MAP_TNHN!D99&amp;" (1 tiết)",'PL10'!$S$13)),1,0)+IF(ISNUMBER(SEARCH(MAP_TNHN!D99&amp;" (1 tiết)",'PL10'!$S$14)),1,0)+IF(ISNUMBER(SEARCH(MAP_TNHN!D99&amp;" (1 tiết)",'PL10'!$S$15)),1,0)+IF(ISNUMBER(SEARCH(MAP_TNHN!D99&amp;" (1 tiết)",'PL10'!$S$16)),1,0)+IF(ISNUMBER(SEARCH(MAP_TNHN!D99&amp;" (1 tiết)",'PL10'!$S$17)),1,0)+IF(ISNUMBER(SEARCH(MAP_TNHN!D99&amp;" (1 tiết)",'PL10'!$S$18)),1,0)+IF(ISNUMBER(SEARCH(MAP_TNHN!D99&amp;" (1 tiết)",'PL10'!$S$19)),1,0)+IF(ISNUMBER(SEARCH(MAP_TNHN!D99&amp;" (1 tiết)",'PL10'!$S$20)),1,0)+IF(ISNUMBER(SEARCH(MAP_TNHN!D99&amp;" (1 tiết)",'PL10'!$S$21)),1,0)+IF(ISNUMBER(SEARCH(MAP_TNHN!D99&amp;" (1 tiết)",'PL10'!$S$22)),1,0)+IF(ISNUMBER(SEARCH(MAP_TNHN!D99&amp;" (1 tiết)",'PL10'!$S$23)),1,0)+IF(ISNUMBER(SEARCH(MAP_TNHN!D99&amp;" (1 tiết)",'PL10'!$S$24)),1,0)+IF(ISNUMBER(SEARCH(MAP_TNHN!D99&amp;" (1 tiết)",'PL10'!$S$25)),1,0))-(IF(ISNUMBER(SEARCH(MAP_TNHN!D99&amp;" (2 tiết)",'PL10'!$S$5)),1,0)+IF(ISNUMBER(SEARCH(MAP_TNHN!D99&amp;" (2 tiết)",'PL10'!$S$6)),1,0)+IF(ISNUMBER(SEARCH(MAP_TNHN!D99&amp;" (2 tiết)",'PL10'!$S$7)),1,0)+IF(ISNUMBER(SEARCH(MAP_TNHN!D99&amp;" (2 tiết)",'PL10'!$S$8)),1,0)+IF(ISNUMBER(SEARCH(MAP_TNHN!D99&amp;" (2 tiết)",'PL10'!$S$9)),1,0)+IF(ISNUMBER(SEARCH(MAP_TNHN!D99&amp;" (2 tiết)",'PL10'!$S$10)),1,0)+IF(ISNUMBER(SEARCH(MAP_TNHN!D99&amp;" (2 tiết)",'PL10'!$S$11)),1,0)+IF(ISNUMBER(SEARCH(MAP_TNHN!D99&amp;" (2 tiết)",'PL10'!$S$12)),1,0)+IF(ISNUMBER(SEARCH(MAP_TNHN!D99&amp;" (2 tiết)",'PL10'!$S$13)),1,0)+IF(ISNUMBER(SEARCH(MAP_TNHN!D99&amp;" (2 tiết)",'PL10'!$S$14)),1,0)+IF(ISNUMBER(SEARCH(MAP_TNHN!D99&amp;" (2 tiết)",'PL10'!$S$15)),1,0)+IF(ISNUMBER(SEARCH(MAP_TNHN!D99&amp;" (2 tiết)",'PL10'!$S$16)),1,0)+IF(ISNUMBER(SEARCH(MAP_TNHN!D99&amp;" (2 tiết)",'PL10'!$S$17)),1,0)+IF(ISNUMBER(SEARCH(MAP_TNHN!D99&amp;" (2 tiết)",'PL10'!$S$18)),1,0)+IF(ISNUMBER(SEARCH(MAP_TNHN!D99&amp;" (2 tiết)",'PL10'!$S$19)),1,0)+IF(ISNUMBER(SEARCH(MAP_TNHN!D99&amp;" (2 tiết)",'PL10'!$S$20)),1,0)+IF(ISNUMBER(SEARCH(MAP_TNHN!D99&amp;" (2 tiết)",'PL10'!$S$21)),1,0)+IF(ISNUMBER(SEARCH(MAP_TNHN!D99&amp;" (2 tiết)",'PL10'!$S$22)),1,0)+IF(ISNUMBER(SEARCH(MAP_TNHN!D99&amp;" (2 tiết)",'PL10'!$S$23)),1,0)+IF(ISNUMBER(SEARCH(MAP_TNHN!D99&amp;" (2 tiết)",'PL10'!$S$24)),1,0)+IF(ISNUMBER(SEARCH(MAP_TNHN!D99&amp;" (2 tiết)",'PL10'!$S$25)),1,0))))</f>
        <v>4</v>
      </c>
    </row>
    <row r="100" spans="1:51" x14ac:dyDescent="0.35">
      <c r="A100" s="313"/>
      <c r="B100" s="8">
        <v>5</v>
      </c>
      <c r="C100" s="9" t="s">
        <v>216</v>
      </c>
      <c r="D100" s="20"/>
      <c r="E100" s="10">
        <v>2</v>
      </c>
      <c r="F100" s="10"/>
      <c r="G100" s="10">
        <v>2</v>
      </c>
      <c r="H100" s="10">
        <v>2</v>
      </c>
      <c r="I100" s="159">
        <v>1</v>
      </c>
      <c r="J100" s="10"/>
      <c r="K100" s="6">
        <v>2</v>
      </c>
      <c r="L100" s="6"/>
      <c r="M100" s="6">
        <v>1</v>
      </c>
      <c r="N100" s="139"/>
      <c r="O100" s="6"/>
      <c r="P100" s="42"/>
      <c r="Q100" s="42"/>
      <c r="R100" s="42"/>
      <c r="S100" s="138"/>
      <c r="T100" s="42"/>
      <c r="U100" s="11">
        <f>E100*('Phân tiết'!$M$18/4)+G100*('Phân tiết'!$M$21/3)+H100*'Phân tiết'!$L$26+AW100+J100*'Phân tiết'!$M$20+K100*('Phân tiết'!$I$18/4)+M100*('Phân tiết'!$I$21/3)+AX100+O100*'Phân tiết'!$I$20+P100*('Phân tiết'!$E$18/4)+R100*('Phân tiết'!$E$21/3)+AY100+T100*'Phân tiết'!$E$20</f>
        <v>17</v>
      </c>
      <c r="V100" s="8">
        <f t="shared" si="34"/>
        <v>0</v>
      </c>
      <c r="W100" s="6" t="s">
        <v>51</v>
      </c>
      <c r="X100" s="6" t="s">
        <v>217</v>
      </c>
      <c r="Y100" s="8">
        <v>4</v>
      </c>
      <c r="Z100" s="43">
        <f t="shared" si="35"/>
        <v>21</v>
      </c>
      <c r="AA100" s="34">
        <f t="shared" si="36"/>
        <v>4</v>
      </c>
      <c r="AB100" s="8"/>
      <c r="AC100" s="8"/>
      <c r="AD100" s="6">
        <f t="shared" si="25"/>
        <v>0</v>
      </c>
      <c r="AE100" s="8"/>
      <c r="AF100" s="8"/>
      <c r="AG100" s="6">
        <f t="shared" si="26"/>
        <v>0</v>
      </c>
      <c r="AH100" s="8"/>
      <c r="AI100" s="8"/>
      <c r="AJ100" s="6">
        <f t="shared" si="37"/>
        <v>0</v>
      </c>
      <c r="AK100" s="6">
        <f t="shared" si="27"/>
        <v>132</v>
      </c>
      <c r="AL100" s="8"/>
      <c r="AM100" s="8"/>
      <c r="AN100" s="8"/>
      <c r="AO100" s="8" t="s">
        <v>46</v>
      </c>
      <c r="AP100" s="8" t="s">
        <v>46</v>
      </c>
      <c r="AQ100" s="9" t="s">
        <v>46</v>
      </c>
      <c r="AR100" s="8"/>
      <c r="AS100" s="8"/>
      <c r="AT100" s="8" t="s">
        <v>46</v>
      </c>
      <c r="AU100" s="8"/>
      <c r="AV100" s="8"/>
      <c r="AW100">
        <f>IF(I100="",0,IF(MAP_TNHN!B100="",I100*3,I100*3-2*(IF(ISNUMBER(SEARCH(MAP_TNHN!B100&amp;" (1 tiết)",'PL12'!$S$5)),1,0)+IF(ISNUMBER(SEARCH(MAP_TNHN!B100&amp;" (1 tiết)",'PL12'!$S$6)),1,0)+IF(ISNUMBER(SEARCH(MAP_TNHN!B100&amp;" (1 tiết)",'PL12'!$S$7)),1,0)+IF(ISNUMBER(SEARCH(MAP_TNHN!B100&amp;" (1 tiết)",'PL12'!$S$8)),1,0)+IF(ISNUMBER(SEARCH(MAP_TNHN!B100&amp;" (1 tiết)",'PL12'!$S$9)),1,0)+IF(ISNUMBER(SEARCH(MAP_TNHN!B100&amp;" (1 tiết)",'PL12'!$S$10)),1,0)+IF(ISNUMBER(SEARCH(MAP_TNHN!B100&amp;" (1 tiết)",'PL12'!$S$11)),1,0)+IF(ISNUMBER(SEARCH(MAP_TNHN!B100&amp;" (1 tiết)",'PL12'!$S$12)),1,0)+IF(ISNUMBER(SEARCH(MAP_TNHN!B100&amp;" (1 tiết)",'PL12'!$S$13)),1,0)+IF(ISNUMBER(SEARCH(MAP_TNHN!B100&amp;" (1 tiết)",'PL12'!$S$14)),1,0)+IF(ISNUMBER(SEARCH(MAP_TNHN!B100&amp;" (1 tiết)",'PL12'!$S$15)),1,0)+IF(ISNUMBER(SEARCH(MAP_TNHN!B100&amp;" (1 tiết)",'PL12'!$S$16)),1,0)+IF(ISNUMBER(SEARCH(MAP_TNHN!B100&amp;" (1 tiết)",'PL12'!$S$17)),1,0)+IF(ISNUMBER(SEARCH(MAP_TNHN!B100&amp;" (1 tiết)",'PL12'!$S$18)),1,0)+IF(ISNUMBER(SEARCH(MAP_TNHN!B100&amp;" (1 tiết)",'PL12'!$S$19)),1,0))-(IF(ISNUMBER(SEARCH(MAP_TNHN!B100&amp;" (2 tiết)",'PL12'!$S$5)),1,0)+IF(ISNUMBER(SEARCH(MAP_TNHN!B100&amp;" (2 tiết)",'PL12'!$S$6)),1,0)+IF(ISNUMBER(SEARCH(MAP_TNHN!B100&amp;" (2 tiết)",'PL12'!$S$7)),1,0)+IF(ISNUMBER(SEARCH(MAP_TNHN!B100&amp;" (2 tiết)",'PL12'!$S$8)),1,0)+IF(ISNUMBER(SEARCH(MAP_TNHN!B100&amp;" (2 tiết)",'PL12'!$S$9)),1,0)+IF(ISNUMBER(SEARCH(MAP_TNHN!B100&amp;" (2 tiết)",'PL12'!$S$10)),1,0)+IF(ISNUMBER(SEARCH(MAP_TNHN!B100&amp;" (2 tiết)",'PL12'!$S$11)),1,0)+IF(ISNUMBER(SEARCH(MAP_TNHN!B100&amp;" (2 tiết)",'PL12'!$S$12)),1,0)+IF(ISNUMBER(SEARCH(MAP_TNHN!B100&amp;" (2 tiết)",'PL12'!$S$13)),1,0)+IF(ISNUMBER(SEARCH(MAP_TNHN!B100&amp;" (2 tiết)",'PL12'!$S$14)),1,0)+IF(ISNUMBER(SEARCH(MAP_TNHN!B100&amp;" (2 tiết)",'PL12'!$S$15)),1,0)+IF(ISNUMBER(SEARCH(MAP_TNHN!B100&amp;" (2 tiết)",'PL12'!$S$16)),1,0)+IF(ISNUMBER(SEARCH(MAP_TNHN!B100&amp;" (2 tiết)",'PL12'!$S$17)),1,0)+IF(ISNUMBER(SEARCH(MAP_TNHN!B100&amp;" (2 tiết)",'PL12'!$S$18)),1,0)+IF(ISNUMBER(SEARCH(MAP_TNHN!B100&amp;" (2 tiết)",'PL12'!$S$19)),1,0))))</f>
        <v>2</v>
      </c>
      <c r="AX100">
        <f>IF(N100="",0,IF(MAP_TNHN!C100="",N100*3,N100*3-2*(IF(ISNUMBER(SEARCH(MAP_TNHN!C100&amp;" (1 tiết)",'PL11'!$S$5)),1,0)+IF(ISNUMBER(SEARCH(MAP_TNHN!C100&amp;" (1 tiết)",'PL11'!$S$6)),1,0)+IF(ISNUMBER(SEARCH(MAP_TNHN!C100&amp;" (1 tiết)",'PL11'!$S$7)),1,0)+IF(ISNUMBER(SEARCH(MAP_TNHN!C100&amp;" (1 tiết)",'PL11'!$S$8)),1,0)+IF(ISNUMBER(SEARCH(MAP_TNHN!C100&amp;" (1 tiết)",'PL11'!$S$9)),1,0)+IF(ISNUMBER(SEARCH(MAP_TNHN!C100&amp;" (1 tiết)",'PL11'!$S$10)),1,0)+IF(ISNUMBER(SEARCH(MAP_TNHN!C100&amp;" (1 tiết)",'PL11'!$S$11)),1,0)+IF(ISNUMBER(SEARCH(MAP_TNHN!C100&amp;" (1 tiết)",'PL11'!$S$12)),1,0)+IF(ISNUMBER(SEARCH(MAP_TNHN!C100&amp;" (1 tiết)",'PL11'!$S$13)),1,0)+IF(ISNUMBER(SEARCH(MAP_TNHN!C100&amp;" (1 tiết)",'PL11'!$S$14)),1,0)+IF(ISNUMBER(SEARCH(MAP_TNHN!C100&amp;" (1 tiết)",'PL11'!$S$15)),1,0)+IF(ISNUMBER(SEARCH(MAP_TNHN!C100&amp;" (1 tiết)",'PL11'!$S$16)),1,0)+IF(ISNUMBER(SEARCH(MAP_TNHN!C100&amp;" (1 tiết)",'PL11'!$S$17)),1,0)+IF(ISNUMBER(SEARCH(MAP_TNHN!C100&amp;" (1 tiết)",'PL11'!$S$18)),1,0))-(IF(ISNUMBER(SEARCH(MAP_TNHN!C100&amp;" (2 tiết)",'PL11'!$S$5)),1,0)+IF(ISNUMBER(SEARCH(MAP_TNHN!C100&amp;" (2 tiết)",'PL11'!$S$6)),1,0)+IF(ISNUMBER(SEARCH(MAP_TNHN!C100&amp;" (2 tiết)",'PL11'!$S$7)),1,0)+IF(ISNUMBER(SEARCH(MAP_TNHN!C100&amp;" (2 tiết)",'PL11'!$S$8)),1,0)+IF(ISNUMBER(SEARCH(MAP_TNHN!C100&amp;" (2 tiết)",'PL11'!$S$9)),1,0)+IF(ISNUMBER(SEARCH(MAP_TNHN!C100&amp;" (2 tiết)",'PL11'!$S$10)),1,0)+IF(ISNUMBER(SEARCH(MAP_TNHN!C100&amp;" (2 tiết)",'PL11'!$S$11)),1,0)+IF(ISNUMBER(SEARCH(MAP_TNHN!C100&amp;" (2 tiết)",'PL11'!$S$12)),1,0)+IF(ISNUMBER(SEARCH(MAP_TNHN!C100&amp;" (2 tiết)",'PL11'!$S$13)),1,0)+IF(ISNUMBER(SEARCH(MAP_TNHN!C100&amp;" (2 tiết)",'PL11'!$S$14)),1,0)+IF(ISNUMBER(SEARCH(MAP_TNHN!C100&amp;" (2 tiết)",'PL11'!$S$15)),1,0)+IF(ISNUMBER(SEARCH(MAP_TNHN!C100&amp;" (2 tiết)",'PL11'!$S$16)),1,0)+IF(ISNUMBER(SEARCH(MAP_TNHN!C100&amp;" (2 tiết)",'PL11'!$S$17)),1,0)+IF(ISNUMBER(SEARCH(MAP_TNHN!C100&amp;" (2 tiết)",'PL11'!$S$18)),1,0))))</f>
        <v>0</v>
      </c>
      <c r="AY100">
        <f>IF(S100="",0,IF(MAP_TNHN!D100="",S100*3,S100*3-2*(IF(ISNUMBER(SEARCH(MAP_TNHN!D100&amp;" (1 tiết)",'PL10'!$S$5)),1,0)+IF(ISNUMBER(SEARCH(MAP_TNHN!D100&amp;" (1 tiết)",'PL10'!$S$6)),1,0)+IF(ISNUMBER(SEARCH(MAP_TNHN!D100&amp;" (1 tiết)",'PL10'!$S$7)),1,0)+IF(ISNUMBER(SEARCH(MAP_TNHN!D100&amp;" (1 tiết)",'PL10'!$S$8)),1,0)+IF(ISNUMBER(SEARCH(MAP_TNHN!D100&amp;" (1 tiết)",'PL10'!$S$9)),1,0)+IF(ISNUMBER(SEARCH(MAP_TNHN!D100&amp;" (1 tiết)",'PL10'!$S$10)),1,0)+IF(ISNUMBER(SEARCH(MAP_TNHN!D100&amp;" (1 tiết)",'PL10'!$S$11)),1,0)+IF(ISNUMBER(SEARCH(MAP_TNHN!D100&amp;" (1 tiết)",'PL10'!$S$12)),1,0)+IF(ISNUMBER(SEARCH(MAP_TNHN!D100&amp;" (1 tiết)",'PL10'!$S$13)),1,0)+IF(ISNUMBER(SEARCH(MAP_TNHN!D100&amp;" (1 tiết)",'PL10'!$S$14)),1,0)+IF(ISNUMBER(SEARCH(MAP_TNHN!D100&amp;" (1 tiết)",'PL10'!$S$15)),1,0)+IF(ISNUMBER(SEARCH(MAP_TNHN!D100&amp;" (1 tiết)",'PL10'!$S$16)),1,0)+IF(ISNUMBER(SEARCH(MAP_TNHN!D100&amp;" (1 tiết)",'PL10'!$S$17)),1,0)+IF(ISNUMBER(SEARCH(MAP_TNHN!D100&amp;" (1 tiết)",'PL10'!$S$18)),1,0)+IF(ISNUMBER(SEARCH(MAP_TNHN!D100&amp;" (1 tiết)",'PL10'!$S$19)),1,0)+IF(ISNUMBER(SEARCH(MAP_TNHN!D100&amp;" (1 tiết)",'PL10'!$S$20)),1,0)+IF(ISNUMBER(SEARCH(MAP_TNHN!D100&amp;" (1 tiết)",'PL10'!$S$21)),1,0)+IF(ISNUMBER(SEARCH(MAP_TNHN!D100&amp;" (1 tiết)",'PL10'!$S$22)),1,0)+IF(ISNUMBER(SEARCH(MAP_TNHN!D100&amp;" (1 tiết)",'PL10'!$S$23)),1,0)+IF(ISNUMBER(SEARCH(MAP_TNHN!D100&amp;" (1 tiết)",'PL10'!$S$24)),1,0)+IF(ISNUMBER(SEARCH(MAP_TNHN!D100&amp;" (1 tiết)",'PL10'!$S$25)),1,0))-(IF(ISNUMBER(SEARCH(MAP_TNHN!D100&amp;" (2 tiết)",'PL10'!$S$5)),1,0)+IF(ISNUMBER(SEARCH(MAP_TNHN!D100&amp;" (2 tiết)",'PL10'!$S$6)),1,0)+IF(ISNUMBER(SEARCH(MAP_TNHN!D100&amp;" (2 tiết)",'PL10'!$S$7)),1,0)+IF(ISNUMBER(SEARCH(MAP_TNHN!D100&amp;" (2 tiết)",'PL10'!$S$8)),1,0)+IF(ISNUMBER(SEARCH(MAP_TNHN!D100&amp;" (2 tiết)",'PL10'!$S$9)),1,0)+IF(ISNUMBER(SEARCH(MAP_TNHN!D100&amp;" (2 tiết)",'PL10'!$S$10)),1,0)+IF(ISNUMBER(SEARCH(MAP_TNHN!D100&amp;" (2 tiết)",'PL10'!$S$11)),1,0)+IF(ISNUMBER(SEARCH(MAP_TNHN!D100&amp;" (2 tiết)",'PL10'!$S$12)),1,0)+IF(ISNUMBER(SEARCH(MAP_TNHN!D100&amp;" (2 tiết)",'PL10'!$S$13)),1,0)+IF(ISNUMBER(SEARCH(MAP_TNHN!D100&amp;" (2 tiết)",'PL10'!$S$14)),1,0)+IF(ISNUMBER(SEARCH(MAP_TNHN!D100&amp;" (2 tiết)",'PL10'!$S$15)),1,0)+IF(ISNUMBER(SEARCH(MAP_TNHN!D100&amp;" (2 tiết)",'PL10'!$S$16)),1,0)+IF(ISNUMBER(SEARCH(MAP_TNHN!D100&amp;" (2 tiết)",'PL10'!$S$17)),1,0)+IF(ISNUMBER(SEARCH(MAP_TNHN!D100&amp;" (2 tiết)",'PL10'!$S$18)),1,0)+IF(ISNUMBER(SEARCH(MAP_TNHN!D100&amp;" (2 tiết)",'PL10'!$S$19)),1,0)+IF(ISNUMBER(SEARCH(MAP_TNHN!D100&amp;" (2 tiết)",'PL10'!$S$20)),1,0)+IF(ISNUMBER(SEARCH(MAP_TNHN!D100&amp;" (2 tiết)",'PL10'!$S$21)),1,0)+IF(ISNUMBER(SEARCH(MAP_TNHN!D100&amp;" (2 tiết)",'PL10'!$S$22)),1,0)+IF(ISNUMBER(SEARCH(MAP_TNHN!D100&amp;" (2 tiết)",'PL10'!$S$23)),1,0)+IF(ISNUMBER(SEARCH(MAP_TNHN!D100&amp;" (2 tiết)",'PL10'!$S$24)),1,0)+IF(ISNUMBER(SEARCH(MAP_TNHN!D100&amp;" (2 tiết)",'PL10'!$S$25)),1,0))))</f>
        <v>0</v>
      </c>
    </row>
    <row r="101" spans="1:51" x14ac:dyDescent="0.35">
      <c r="A101" s="313"/>
      <c r="B101" s="8">
        <v>6</v>
      </c>
      <c r="C101" s="9" t="s">
        <v>218</v>
      </c>
      <c r="D101" s="20">
        <v>10</v>
      </c>
      <c r="E101" s="10"/>
      <c r="F101" s="10"/>
      <c r="G101" s="10"/>
      <c r="H101" s="10"/>
      <c r="I101" s="159"/>
      <c r="J101" s="10"/>
      <c r="K101" s="6">
        <v>2</v>
      </c>
      <c r="L101" s="6"/>
      <c r="M101" s="6">
        <v>1</v>
      </c>
      <c r="N101" s="139"/>
      <c r="O101" s="6"/>
      <c r="P101" s="42">
        <v>2</v>
      </c>
      <c r="Q101" s="42">
        <v>1</v>
      </c>
      <c r="R101" s="42">
        <v>1</v>
      </c>
      <c r="S101" s="138">
        <v>1</v>
      </c>
      <c r="T101" s="42">
        <v>1</v>
      </c>
      <c r="U101" s="11">
        <f>E101*('Phân tiết'!$M$18/4)+G101*('Phân tiết'!$M$21/3)+H101*'Phân tiết'!$L$26+AW101+J101*'Phân tiết'!$M$20+K101*('Phân tiết'!$I$18/4)+M101*('Phân tiết'!$I$21/3)+AX101+O101*'Phân tiết'!$I$20+P101*('Phân tiết'!$E$18/4)+R101*('Phân tiết'!$E$21/3)+AY101+T101*'Phân tiết'!$E$20</f>
        <v>14</v>
      </c>
      <c r="V101" s="8">
        <f t="shared" si="34"/>
        <v>4</v>
      </c>
      <c r="W101" s="6"/>
      <c r="X101" s="6"/>
      <c r="Y101" s="8"/>
      <c r="Z101" s="43">
        <f t="shared" si="35"/>
        <v>18</v>
      </c>
      <c r="AA101" s="34">
        <f t="shared" si="36"/>
        <v>1</v>
      </c>
      <c r="AB101" s="8"/>
      <c r="AC101" s="8"/>
      <c r="AD101" s="6">
        <f t="shared" si="25"/>
        <v>0</v>
      </c>
      <c r="AE101" s="8"/>
      <c r="AF101" s="8"/>
      <c r="AG101" s="6">
        <f t="shared" si="26"/>
        <v>0</v>
      </c>
      <c r="AH101" s="8"/>
      <c r="AI101" s="8"/>
      <c r="AJ101" s="6">
        <f t="shared" si="37"/>
        <v>0</v>
      </c>
      <c r="AK101" s="6">
        <f t="shared" si="27"/>
        <v>33</v>
      </c>
      <c r="AL101" s="9"/>
      <c r="AM101" s="8"/>
      <c r="AN101" s="8"/>
      <c r="AO101" s="8"/>
      <c r="AP101" s="8"/>
      <c r="AQ101" s="9"/>
      <c r="AR101" s="8"/>
      <c r="AS101" s="8"/>
      <c r="AT101" s="8" t="s">
        <v>46</v>
      </c>
      <c r="AU101" s="8"/>
      <c r="AV101" s="8"/>
      <c r="AW101">
        <f>IF(I101="",0,IF(MAP_TNHN!B101="",I101*3,I101*3-2*(IF(ISNUMBER(SEARCH(MAP_TNHN!B101&amp;" (1 tiết)",'PL12'!$S$5)),1,0)+IF(ISNUMBER(SEARCH(MAP_TNHN!B101&amp;" (1 tiết)",'PL12'!$S$6)),1,0)+IF(ISNUMBER(SEARCH(MAP_TNHN!B101&amp;" (1 tiết)",'PL12'!$S$7)),1,0)+IF(ISNUMBER(SEARCH(MAP_TNHN!B101&amp;" (1 tiết)",'PL12'!$S$8)),1,0)+IF(ISNUMBER(SEARCH(MAP_TNHN!B101&amp;" (1 tiết)",'PL12'!$S$9)),1,0)+IF(ISNUMBER(SEARCH(MAP_TNHN!B101&amp;" (1 tiết)",'PL12'!$S$10)),1,0)+IF(ISNUMBER(SEARCH(MAP_TNHN!B101&amp;" (1 tiết)",'PL12'!$S$11)),1,0)+IF(ISNUMBER(SEARCH(MAP_TNHN!B101&amp;" (1 tiết)",'PL12'!$S$12)),1,0)+IF(ISNUMBER(SEARCH(MAP_TNHN!B101&amp;" (1 tiết)",'PL12'!$S$13)),1,0)+IF(ISNUMBER(SEARCH(MAP_TNHN!B101&amp;" (1 tiết)",'PL12'!$S$14)),1,0)+IF(ISNUMBER(SEARCH(MAP_TNHN!B101&amp;" (1 tiết)",'PL12'!$S$15)),1,0)+IF(ISNUMBER(SEARCH(MAP_TNHN!B101&amp;" (1 tiết)",'PL12'!$S$16)),1,0)+IF(ISNUMBER(SEARCH(MAP_TNHN!B101&amp;" (1 tiết)",'PL12'!$S$17)),1,0)+IF(ISNUMBER(SEARCH(MAP_TNHN!B101&amp;" (1 tiết)",'PL12'!$S$18)),1,0)+IF(ISNUMBER(SEARCH(MAP_TNHN!B101&amp;" (1 tiết)",'PL12'!$S$19)),1,0))-(IF(ISNUMBER(SEARCH(MAP_TNHN!B101&amp;" (2 tiết)",'PL12'!$S$5)),1,0)+IF(ISNUMBER(SEARCH(MAP_TNHN!B101&amp;" (2 tiết)",'PL12'!$S$6)),1,0)+IF(ISNUMBER(SEARCH(MAP_TNHN!B101&amp;" (2 tiết)",'PL12'!$S$7)),1,0)+IF(ISNUMBER(SEARCH(MAP_TNHN!B101&amp;" (2 tiết)",'PL12'!$S$8)),1,0)+IF(ISNUMBER(SEARCH(MAP_TNHN!B101&amp;" (2 tiết)",'PL12'!$S$9)),1,0)+IF(ISNUMBER(SEARCH(MAP_TNHN!B101&amp;" (2 tiết)",'PL12'!$S$10)),1,0)+IF(ISNUMBER(SEARCH(MAP_TNHN!B101&amp;" (2 tiết)",'PL12'!$S$11)),1,0)+IF(ISNUMBER(SEARCH(MAP_TNHN!B101&amp;" (2 tiết)",'PL12'!$S$12)),1,0)+IF(ISNUMBER(SEARCH(MAP_TNHN!B101&amp;" (2 tiết)",'PL12'!$S$13)),1,0)+IF(ISNUMBER(SEARCH(MAP_TNHN!B101&amp;" (2 tiết)",'PL12'!$S$14)),1,0)+IF(ISNUMBER(SEARCH(MAP_TNHN!B101&amp;" (2 tiết)",'PL12'!$S$15)),1,0)+IF(ISNUMBER(SEARCH(MAP_TNHN!B101&amp;" (2 tiết)",'PL12'!$S$16)),1,0)+IF(ISNUMBER(SEARCH(MAP_TNHN!B101&amp;" (2 tiết)",'PL12'!$S$17)),1,0)+IF(ISNUMBER(SEARCH(MAP_TNHN!B101&amp;" (2 tiết)",'PL12'!$S$18)),1,0)+IF(ISNUMBER(SEARCH(MAP_TNHN!B101&amp;" (2 tiết)",'PL12'!$S$19)),1,0))))</f>
        <v>0</v>
      </c>
      <c r="AX101">
        <f>IF(N101="",0,IF(MAP_TNHN!C101="",N101*3,N101*3-2*(IF(ISNUMBER(SEARCH(MAP_TNHN!C101&amp;" (1 tiết)",'PL11'!$S$5)),1,0)+IF(ISNUMBER(SEARCH(MAP_TNHN!C101&amp;" (1 tiết)",'PL11'!$S$6)),1,0)+IF(ISNUMBER(SEARCH(MAP_TNHN!C101&amp;" (1 tiết)",'PL11'!$S$7)),1,0)+IF(ISNUMBER(SEARCH(MAP_TNHN!C101&amp;" (1 tiết)",'PL11'!$S$8)),1,0)+IF(ISNUMBER(SEARCH(MAP_TNHN!C101&amp;" (1 tiết)",'PL11'!$S$9)),1,0)+IF(ISNUMBER(SEARCH(MAP_TNHN!C101&amp;" (1 tiết)",'PL11'!$S$10)),1,0)+IF(ISNUMBER(SEARCH(MAP_TNHN!C101&amp;" (1 tiết)",'PL11'!$S$11)),1,0)+IF(ISNUMBER(SEARCH(MAP_TNHN!C101&amp;" (1 tiết)",'PL11'!$S$12)),1,0)+IF(ISNUMBER(SEARCH(MAP_TNHN!C101&amp;" (1 tiết)",'PL11'!$S$13)),1,0)+IF(ISNUMBER(SEARCH(MAP_TNHN!C101&amp;" (1 tiết)",'PL11'!$S$14)),1,0)+IF(ISNUMBER(SEARCH(MAP_TNHN!C101&amp;" (1 tiết)",'PL11'!$S$15)),1,0)+IF(ISNUMBER(SEARCH(MAP_TNHN!C101&amp;" (1 tiết)",'PL11'!$S$16)),1,0)+IF(ISNUMBER(SEARCH(MAP_TNHN!C101&amp;" (1 tiết)",'PL11'!$S$17)),1,0)+IF(ISNUMBER(SEARCH(MAP_TNHN!C101&amp;" (1 tiết)",'PL11'!$S$18)),1,0))-(IF(ISNUMBER(SEARCH(MAP_TNHN!C101&amp;" (2 tiết)",'PL11'!$S$5)),1,0)+IF(ISNUMBER(SEARCH(MAP_TNHN!C101&amp;" (2 tiết)",'PL11'!$S$6)),1,0)+IF(ISNUMBER(SEARCH(MAP_TNHN!C101&amp;" (2 tiết)",'PL11'!$S$7)),1,0)+IF(ISNUMBER(SEARCH(MAP_TNHN!C101&amp;" (2 tiết)",'PL11'!$S$8)),1,0)+IF(ISNUMBER(SEARCH(MAP_TNHN!C101&amp;" (2 tiết)",'PL11'!$S$9)),1,0)+IF(ISNUMBER(SEARCH(MAP_TNHN!C101&amp;" (2 tiết)",'PL11'!$S$10)),1,0)+IF(ISNUMBER(SEARCH(MAP_TNHN!C101&amp;" (2 tiết)",'PL11'!$S$11)),1,0)+IF(ISNUMBER(SEARCH(MAP_TNHN!C101&amp;" (2 tiết)",'PL11'!$S$12)),1,0)+IF(ISNUMBER(SEARCH(MAP_TNHN!C101&amp;" (2 tiết)",'PL11'!$S$13)),1,0)+IF(ISNUMBER(SEARCH(MAP_TNHN!C101&amp;" (2 tiết)",'PL11'!$S$14)),1,0)+IF(ISNUMBER(SEARCH(MAP_TNHN!C101&amp;" (2 tiết)",'PL11'!$S$15)),1,0)+IF(ISNUMBER(SEARCH(MAP_TNHN!C101&amp;" (2 tiết)",'PL11'!$S$16)),1,0)+IF(ISNUMBER(SEARCH(MAP_TNHN!C101&amp;" (2 tiết)",'PL11'!$S$17)),1,0)+IF(ISNUMBER(SEARCH(MAP_TNHN!C101&amp;" (2 tiết)",'PL11'!$S$18)),1,0))))</f>
        <v>0</v>
      </c>
      <c r="AY101">
        <f>IF(S101="",0,IF(MAP_TNHN!D101="",S101*3,S101*3-2*(IF(ISNUMBER(SEARCH(MAP_TNHN!D101&amp;" (1 tiết)",'PL10'!$S$5)),1,0)+IF(ISNUMBER(SEARCH(MAP_TNHN!D101&amp;" (1 tiết)",'PL10'!$S$6)),1,0)+IF(ISNUMBER(SEARCH(MAP_TNHN!D101&amp;" (1 tiết)",'PL10'!$S$7)),1,0)+IF(ISNUMBER(SEARCH(MAP_TNHN!D101&amp;" (1 tiết)",'PL10'!$S$8)),1,0)+IF(ISNUMBER(SEARCH(MAP_TNHN!D101&amp;" (1 tiết)",'PL10'!$S$9)),1,0)+IF(ISNUMBER(SEARCH(MAP_TNHN!D101&amp;" (1 tiết)",'PL10'!$S$10)),1,0)+IF(ISNUMBER(SEARCH(MAP_TNHN!D101&amp;" (1 tiết)",'PL10'!$S$11)),1,0)+IF(ISNUMBER(SEARCH(MAP_TNHN!D101&amp;" (1 tiết)",'PL10'!$S$12)),1,0)+IF(ISNUMBER(SEARCH(MAP_TNHN!D101&amp;" (1 tiết)",'PL10'!$S$13)),1,0)+IF(ISNUMBER(SEARCH(MAP_TNHN!D101&amp;" (1 tiết)",'PL10'!$S$14)),1,0)+IF(ISNUMBER(SEARCH(MAP_TNHN!D101&amp;" (1 tiết)",'PL10'!$S$15)),1,0)+IF(ISNUMBER(SEARCH(MAP_TNHN!D101&amp;" (1 tiết)",'PL10'!$S$16)),1,0)+IF(ISNUMBER(SEARCH(MAP_TNHN!D101&amp;" (1 tiết)",'PL10'!$S$17)),1,0)+IF(ISNUMBER(SEARCH(MAP_TNHN!D101&amp;" (1 tiết)",'PL10'!$S$18)),1,0)+IF(ISNUMBER(SEARCH(MAP_TNHN!D101&amp;" (1 tiết)",'PL10'!$S$19)),1,0)+IF(ISNUMBER(SEARCH(MAP_TNHN!D101&amp;" (1 tiết)",'PL10'!$S$20)),1,0)+IF(ISNUMBER(SEARCH(MAP_TNHN!D101&amp;" (1 tiết)",'PL10'!$S$21)),1,0)+IF(ISNUMBER(SEARCH(MAP_TNHN!D101&amp;" (1 tiết)",'PL10'!$S$22)),1,0)+IF(ISNUMBER(SEARCH(MAP_TNHN!D101&amp;" (1 tiết)",'PL10'!$S$23)),1,0)+IF(ISNUMBER(SEARCH(MAP_TNHN!D101&amp;" (1 tiết)",'PL10'!$S$24)),1,0)+IF(ISNUMBER(SEARCH(MAP_TNHN!D101&amp;" (1 tiết)",'PL10'!$S$25)),1,0))-(IF(ISNUMBER(SEARCH(MAP_TNHN!D101&amp;" (2 tiết)",'PL10'!$S$5)),1,0)+IF(ISNUMBER(SEARCH(MAP_TNHN!D101&amp;" (2 tiết)",'PL10'!$S$6)),1,0)+IF(ISNUMBER(SEARCH(MAP_TNHN!D101&amp;" (2 tiết)",'PL10'!$S$7)),1,0)+IF(ISNUMBER(SEARCH(MAP_TNHN!D101&amp;" (2 tiết)",'PL10'!$S$8)),1,0)+IF(ISNUMBER(SEARCH(MAP_TNHN!D101&amp;" (2 tiết)",'PL10'!$S$9)),1,0)+IF(ISNUMBER(SEARCH(MAP_TNHN!D101&amp;" (2 tiết)",'PL10'!$S$10)),1,0)+IF(ISNUMBER(SEARCH(MAP_TNHN!D101&amp;" (2 tiết)",'PL10'!$S$11)),1,0)+IF(ISNUMBER(SEARCH(MAP_TNHN!D101&amp;" (2 tiết)",'PL10'!$S$12)),1,0)+IF(ISNUMBER(SEARCH(MAP_TNHN!D101&amp;" (2 tiết)",'PL10'!$S$13)),1,0)+IF(ISNUMBER(SEARCH(MAP_TNHN!D101&amp;" (2 tiết)",'PL10'!$S$14)),1,0)+IF(ISNUMBER(SEARCH(MAP_TNHN!D101&amp;" (2 tiết)",'PL10'!$S$15)),1,0)+IF(ISNUMBER(SEARCH(MAP_TNHN!D101&amp;" (2 tiết)",'PL10'!$S$16)),1,0)+IF(ISNUMBER(SEARCH(MAP_TNHN!D101&amp;" (2 tiết)",'PL10'!$S$17)),1,0)+IF(ISNUMBER(SEARCH(MAP_TNHN!D101&amp;" (2 tiết)",'PL10'!$S$18)),1,0)+IF(ISNUMBER(SEARCH(MAP_TNHN!D101&amp;" (2 tiết)",'PL10'!$S$19)),1,0)+IF(ISNUMBER(SEARCH(MAP_TNHN!D101&amp;" (2 tiết)",'PL10'!$S$20)),1,0)+IF(ISNUMBER(SEARCH(MAP_TNHN!D101&amp;" (2 tiết)",'PL10'!$S$21)),1,0)+IF(ISNUMBER(SEARCH(MAP_TNHN!D101&amp;" (2 tiết)",'PL10'!$S$22)),1,0)+IF(ISNUMBER(SEARCH(MAP_TNHN!D101&amp;" (2 tiết)",'PL10'!$S$23)),1,0)+IF(ISNUMBER(SEARCH(MAP_TNHN!D101&amp;" (2 tiết)",'PL10'!$S$24)),1,0)+IF(ISNUMBER(SEARCH(MAP_TNHN!D101&amp;" (2 tiết)",'PL10'!$S$25)),1,0))))</f>
        <v>3</v>
      </c>
    </row>
    <row r="102" spans="1:51" x14ac:dyDescent="0.35">
      <c r="A102" s="313"/>
      <c r="B102" s="8">
        <v>7</v>
      </c>
      <c r="C102" s="9" t="s">
        <v>219</v>
      </c>
      <c r="D102" s="20">
        <v>10</v>
      </c>
      <c r="E102" s="10"/>
      <c r="F102" s="10"/>
      <c r="G102" s="10"/>
      <c r="H102" s="10"/>
      <c r="I102" s="159"/>
      <c r="J102" s="10"/>
      <c r="K102" s="6"/>
      <c r="L102" s="6"/>
      <c r="M102" s="6"/>
      <c r="N102" s="139">
        <v>1</v>
      </c>
      <c r="O102" s="6">
        <v>1</v>
      </c>
      <c r="P102" s="42">
        <v>2</v>
      </c>
      <c r="Q102" s="42">
        <v>1</v>
      </c>
      <c r="R102" s="223">
        <v>1</v>
      </c>
      <c r="S102" s="138">
        <v>1</v>
      </c>
      <c r="T102" s="215">
        <v>1</v>
      </c>
      <c r="U102" s="11">
        <f>E102*('Phân tiết'!$M$18/4)+G102*('Phân tiết'!$M$21/3)+H102*'Phân tiết'!$L$26+AW102+J102*'Phân tiết'!$M$20+K102*('Phân tiết'!$I$18/4)+M102*('Phân tiết'!$I$21/3)+AX102+O102*'Phân tiết'!$I$20+P102*('Phân tiết'!$E$18/4)+R102*('Phân tiết'!$E$21/3)+AY102+T102*'Phân tiết'!$E$20</f>
        <v>12</v>
      </c>
      <c r="V102" s="8">
        <f t="shared" si="34"/>
        <v>4</v>
      </c>
      <c r="W102" s="6"/>
      <c r="X102" s="6"/>
      <c r="Y102" s="8"/>
      <c r="Z102" s="43">
        <f t="shared" si="35"/>
        <v>16</v>
      </c>
      <c r="AA102" s="34">
        <f t="shared" si="36"/>
        <v>-1</v>
      </c>
      <c r="AB102" s="8"/>
      <c r="AC102" s="8"/>
      <c r="AD102" s="6">
        <f t="shared" si="25"/>
        <v>0</v>
      </c>
      <c r="AE102" s="8"/>
      <c r="AF102" s="8"/>
      <c r="AG102" s="6">
        <f t="shared" si="26"/>
        <v>0</v>
      </c>
      <c r="AH102" s="8"/>
      <c r="AI102" s="8"/>
      <c r="AJ102" s="6">
        <f t="shared" si="37"/>
        <v>0</v>
      </c>
      <c r="AK102" s="6">
        <f t="shared" si="27"/>
        <v>-33</v>
      </c>
      <c r="AL102" s="8"/>
      <c r="AM102" s="8"/>
      <c r="AN102" s="8"/>
      <c r="AO102" s="8"/>
      <c r="AP102" s="8"/>
      <c r="AQ102" s="9"/>
      <c r="AR102" s="8"/>
      <c r="AS102" s="8"/>
      <c r="AT102" s="8" t="s">
        <v>46</v>
      </c>
      <c r="AU102" s="8"/>
      <c r="AV102" s="8"/>
      <c r="AW102">
        <f>IF(I102="",0,IF(MAP_TNHN!B102="",I102*3,I102*3-2*(IF(ISNUMBER(SEARCH(MAP_TNHN!B102&amp;" (1 tiết)",'PL12'!$S$5)),1,0)+IF(ISNUMBER(SEARCH(MAP_TNHN!B102&amp;" (1 tiết)",'PL12'!$S$6)),1,0)+IF(ISNUMBER(SEARCH(MAP_TNHN!B102&amp;" (1 tiết)",'PL12'!$S$7)),1,0)+IF(ISNUMBER(SEARCH(MAP_TNHN!B102&amp;" (1 tiết)",'PL12'!$S$8)),1,0)+IF(ISNUMBER(SEARCH(MAP_TNHN!B102&amp;" (1 tiết)",'PL12'!$S$9)),1,0)+IF(ISNUMBER(SEARCH(MAP_TNHN!B102&amp;" (1 tiết)",'PL12'!$S$10)),1,0)+IF(ISNUMBER(SEARCH(MAP_TNHN!B102&amp;" (1 tiết)",'PL12'!$S$11)),1,0)+IF(ISNUMBER(SEARCH(MAP_TNHN!B102&amp;" (1 tiết)",'PL12'!$S$12)),1,0)+IF(ISNUMBER(SEARCH(MAP_TNHN!B102&amp;" (1 tiết)",'PL12'!$S$13)),1,0)+IF(ISNUMBER(SEARCH(MAP_TNHN!B102&amp;" (1 tiết)",'PL12'!$S$14)),1,0)+IF(ISNUMBER(SEARCH(MAP_TNHN!B102&amp;" (1 tiết)",'PL12'!$S$15)),1,0)+IF(ISNUMBER(SEARCH(MAP_TNHN!B102&amp;" (1 tiết)",'PL12'!$S$16)),1,0)+IF(ISNUMBER(SEARCH(MAP_TNHN!B102&amp;" (1 tiết)",'PL12'!$S$17)),1,0)+IF(ISNUMBER(SEARCH(MAP_TNHN!B102&amp;" (1 tiết)",'PL12'!$S$18)),1,0)+IF(ISNUMBER(SEARCH(MAP_TNHN!B102&amp;" (1 tiết)",'PL12'!$S$19)),1,0))-(IF(ISNUMBER(SEARCH(MAP_TNHN!B102&amp;" (2 tiết)",'PL12'!$S$5)),1,0)+IF(ISNUMBER(SEARCH(MAP_TNHN!B102&amp;" (2 tiết)",'PL12'!$S$6)),1,0)+IF(ISNUMBER(SEARCH(MAP_TNHN!B102&amp;" (2 tiết)",'PL12'!$S$7)),1,0)+IF(ISNUMBER(SEARCH(MAP_TNHN!B102&amp;" (2 tiết)",'PL12'!$S$8)),1,0)+IF(ISNUMBER(SEARCH(MAP_TNHN!B102&amp;" (2 tiết)",'PL12'!$S$9)),1,0)+IF(ISNUMBER(SEARCH(MAP_TNHN!B102&amp;" (2 tiết)",'PL12'!$S$10)),1,0)+IF(ISNUMBER(SEARCH(MAP_TNHN!B102&amp;" (2 tiết)",'PL12'!$S$11)),1,0)+IF(ISNUMBER(SEARCH(MAP_TNHN!B102&amp;" (2 tiết)",'PL12'!$S$12)),1,0)+IF(ISNUMBER(SEARCH(MAP_TNHN!B102&amp;" (2 tiết)",'PL12'!$S$13)),1,0)+IF(ISNUMBER(SEARCH(MAP_TNHN!B102&amp;" (2 tiết)",'PL12'!$S$14)),1,0)+IF(ISNUMBER(SEARCH(MAP_TNHN!B102&amp;" (2 tiết)",'PL12'!$S$15)),1,0)+IF(ISNUMBER(SEARCH(MAP_TNHN!B102&amp;" (2 tiết)",'PL12'!$S$16)),1,0)+IF(ISNUMBER(SEARCH(MAP_TNHN!B102&amp;" (2 tiết)",'PL12'!$S$17)),1,0)+IF(ISNUMBER(SEARCH(MAP_TNHN!B102&amp;" (2 tiết)",'PL12'!$S$18)),1,0)+IF(ISNUMBER(SEARCH(MAP_TNHN!B102&amp;" (2 tiết)",'PL12'!$S$19)),1,0))))</f>
        <v>0</v>
      </c>
      <c r="AX102">
        <f>IF(N102="",0,IF(MAP_TNHN!C102="",N102*3,N102*3-2*(IF(ISNUMBER(SEARCH(MAP_TNHN!C102&amp;" (1 tiết)",'PL11'!$S$5)),1,0)+IF(ISNUMBER(SEARCH(MAP_TNHN!C102&amp;" (1 tiết)",'PL11'!$S$6)),1,0)+IF(ISNUMBER(SEARCH(MAP_TNHN!C102&amp;" (1 tiết)",'PL11'!$S$7)),1,0)+IF(ISNUMBER(SEARCH(MAP_TNHN!C102&amp;" (1 tiết)",'PL11'!$S$8)),1,0)+IF(ISNUMBER(SEARCH(MAP_TNHN!C102&amp;" (1 tiết)",'PL11'!$S$9)),1,0)+IF(ISNUMBER(SEARCH(MAP_TNHN!C102&amp;" (1 tiết)",'PL11'!$S$10)),1,0)+IF(ISNUMBER(SEARCH(MAP_TNHN!C102&amp;" (1 tiết)",'PL11'!$S$11)),1,0)+IF(ISNUMBER(SEARCH(MAP_TNHN!C102&amp;" (1 tiết)",'PL11'!$S$12)),1,0)+IF(ISNUMBER(SEARCH(MAP_TNHN!C102&amp;" (1 tiết)",'PL11'!$S$13)),1,0)+IF(ISNUMBER(SEARCH(MAP_TNHN!C102&amp;" (1 tiết)",'PL11'!$S$14)),1,0)+IF(ISNUMBER(SEARCH(MAP_TNHN!C102&amp;" (1 tiết)",'PL11'!$S$15)),1,0)+IF(ISNUMBER(SEARCH(MAP_TNHN!C102&amp;" (1 tiết)",'PL11'!$S$16)),1,0)+IF(ISNUMBER(SEARCH(MAP_TNHN!C102&amp;" (1 tiết)",'PL11'!$S$17)),1,0)+IF(ISNUMBER(SEARCH(MAP_TNHN!C102&amp;" (1 tiết)",'PL11'!$S$18)),1,0))-(IF(ISNUMBER(SEARCH(MAP_TNHN!C102&amp;" (2 tiết)",'PL11'!$S$5)),1,0)+IF(ISNUMBER(SEARCH(MAP_TNHN!C102&amp;" (2 tiết)",'PL11'!$S$6)),1,0)+IF(ISNUMBER(SEARCH(MAP_TNHN!C102&amp;" (2 tiết)",'PL11'!$S$7)),1,0)+IF(ISNUMBER(SEARCH(MAP_TNHN!C102&amp;" (2 tiết)",'PL11'!$S$8)),1,0)+IF(ISNUMBER(SEARCH(MAP_TNHN!C102&amp;" (2 tiết)",'PL11'!$S$9)),1,0)+IF(ISNUMBER(SEARCH(MAP_TNHN!C102&amp;" (2 tiết)",'PL11'!$S$10)),1,0)+IF(ISNUMBER(SEARCH(MAP_TNHN!C102&amp;" (2 tiết)",'PL11'!$S$11)),1,0)+IF(ISNUMBER(SEARCH(MAP_TNHN!C102&amp;" (2 tiết)",'PL11'!$S$12)),1,0)+IF(ISNUMBER(SEARCH(MAP_TNHN!C102&amp;" (2 tiết)",'PL11'!$S$13)),1,0)+IF(ISNUMBER(SEARCH(MAP_TNHN!C102&amp;" (2 tiết)",'PL11'!$S$14)),1,0)+IF(ISNUMBER(SEARCH(MAP_TNHN!C102&amp;" (2 tiết)",'PL11'!$S$15)),1,0)+IF(ISNUMBER(SEARCH(MAP_TNHN!C102&amp;" (2 tiết)",'PL11'!$S$16)),1,0)+IF(ISNUMBER(SEARCH(MAP_TNHN!C102&amp;" (2 tiết)",'PL11'!$S$17)),1,0)+IF(ISNUMBER(SEARCH(MAP_TNHN!C102&amp;" (2 tiết)",'PL11'!$S$18)),1,0))))</f>
        <v>2</v>
      </c>
      <c r="AY102">
        <f>IF(S102="",0,IF(MAP_TNHN!D102="",S102*3,S102*3-2*(IF(ISNUMBER(SEARCH(MAP_TNHN!D102&amp;" (1 tiết)",'PL10'!$S$5)),1,0)+IF(ISNUMBER(SEARCH(MAP_TNHN!D102&amp;" (1 tiết)",'PL10'!$S$6)),1,0)+IF(ISNUMBER(SEARCH(MAP_TNHN!D102&amp;" (1 tiết)",'PL10'!$S$7)),1,0)+IF(ISNUMBER(SEARCH(MAP_TNHN!D102&amp;" (1 tiết)",'PL10'!$S$8)),1,0)+IF(ISNUMBER(SEARCH(MAP_TNHN!D102&amp;" (1 tiết)",'PL10'!$S$9)),1,0)+IF(ISNUMBER(SEARCH(MAP_TNHN!D102&amp;" (1 tiết)",'PL10'!$S$10)),1,0)+IF(ISNUMBER(SEARCH(MAP_TNHN!D102&amp;" (1 tiết)",'PL10'!$S$11)),1,0)+IF(ISNUMBER(SEARCH(MAP_TNHN!D102&amp;" (1 tiết)",'PL10'!$S$12)),1,0)+IF(ISNUMBER(SEARCH(MAP_TNHN!D102&amp;" (1 tiết)",'PL10'!$S$13)),1,0)+IF(ISNUMBER(SEARCH(MAP_TNHN!D102&amp;" (1 tiết)",'PL10'!$S$14)),1,0)+IF(ISNUMBER(SEARCH(MAP_TNHN!D102&amp;" (1 tiết)",'PL10'!$S$15)),1,0)+IF(ISNUMBER(SEARCH(MAP_TNHN!D102&amp;" (1 tiết)",'PL10'!$S$16)),1,0)+IF(ISNUMBER(SEARCH(MAP_TNHN!D102&amp;" (1 tiết)",'PL10'!$S$17)),1,0)+IF(ISNUMBER(SEARCH(MAP_TNHN!D102&amp;" (1 tiết)",'PL10'!$S$18)),1,0)+IF(ISNUMBER(SEARCH(MAP_TNHN!D102&amp;" (1 tiết)",'PL10'!$S$19)),1,0)+IF(ISNUMBER(SEARCH(MAP_TNHN!D102&amp;" (1 tiết)",'PL10'!$S$20)),1,0)+IF(ISNUMBER(SEARCH(MAP_TNHN!D102&amp;" (1 tiết)",'PL10'!$S$21)),1,0)+IF(ISNUMBER(SEARCH(MAP_TNHN!D102&amp;" (1 tiết)",'PL10'!$S$22)),1,0)+IF(ISNUMBER(SEARCH(MAP_TNHN!D102&amp;" (1 tiết)",'PL10'!$S$23)),1,0)+IF(ISNUMBER(SEARCH(MAP_TNHN!D102&amp;" (1 tiết)",'PL10'!$S$24)),1,0)+IF(ISNUMBER(SEARCH(MAP_TNHN!D102&amp;" (1 tiết)",'PL10'!$S$25)),1,0))-(IF(ISNUMBER(SEARCH(MAP_TNHN!D102&amp;" (2 tiết)",'PL10'!$S$5)),1,0)+IF(ISNUMBER(SEARCH(MAP_TNHN!D102&amp;" (2 tiết)",'PL10'!$S$6)),1,0)+IF(ISNUMBER(SEARCH(MAP_TNHN!D102&amp;" (2 tiết)",'PL10'!$S$7)),1,0)+IF(ISNUMBER(SEARCH(MAP_TNHN!D102&amp;" (2 tiết)",'PL10'!$S$8)),1,0)+IF(ISNUMBER(SEARCH(MAP_TNHN!D102&amp;" (2 tiết)",'PL10'!$S$9)),1,0)+IF(ISNUMBER(SEARCH(MAP_TNHN!D102&amp;" (2 tiết)",'PL10'!$S$10)),1,0)+IF(ISNUMBER(SEARCH(MAP_TNHN!D102&amp;" (2 tiết)",'PL10'!$S$11)),1,0)+IF(ISNUMBER(SEARCH(MAP_TNHN!D102&amp;" (2 tiết)",'PL10'!$S$12)),1,0)+IF(ISNUMBER(SEARCH(MAP_TNHN!D102&amp;" (2 tiết)",'PL10'!$S$13)),1,0)+IF(ISNUMBER(SEARCH(MAP_TNHN!D102&amp;" (2 tiết)",'PL10'!$S$14)),1,0)+IF(ISNUMBER(SEARCH(MAP_TNHN!D102&amp;" (2 tiết)",'PL10'!$S$15)),1,0)+IF(ISNUMBER(SEARCH(MAP_TNHN!D102&amp;" (2 tiết)",'PL10'!$S$16)),1,0)+IF(ISNUMBER(SEARCH(MAP_TNHN!D102&amp;" (2 tiết)",'PL10'!$S$17)),1,0)+IF(ISNUMBER(SEARCH(MAP_TNHN!D102&amp;" (2 tiết)",'PL10'!$S$18)),1,0)+IF(ISNUMBER(SEARCH(MAP_TNHN!D102&amp;" (2 tiết)",'PL10'!$S$19)),1,0)+IF(ISNUMBER(SEARCH(MAP_TNHN!D102&amp;" (2 tiết)",'PL10'!$S$20)),1,0)+IF(ISNUMBER(SEARCH(MAP_TNHN!D102&amp;" (2 tiết)",'PL10'!$S$21)),1,0)+IF(ISNUMBER(SEARCH(MAP_TNHN!D102&amp;" (2 tiết)",'PL10'!$S$22)),1,0)+IF(ISNUMBER(SEARCH(MAP_TNHN!D102&amp;" (2 tiết)",'PL10'!$S$23)),1,0)+IF(ISNUMBER(SEARCH(MAP_TNHN!D102&amp;" (2 tiết)",'PL10'!$S$24)),1,0)+IF(ISNUMBER(SEARCH(MAP_TNHN!D102&amp;" (2 tiết)",'PL10'!$S$25)),1,0))))</f>
        <v>3</v>
      </c>
    </row>
    <row r="103" spans="1:51" x14ac:dyDescent="0.35">
      <c r="A103" s="313"/>
      <c r="B103" s="8">
        <v>8</v>
      </c>
      <c r="C103" s="9" t="s">
        <v>220</v>
      </c>
      <c r="D103" s="20"/>
      <c r="E103" s="10">
        <v>2</v>
      </c>
      <c r="F103" s="10"/>
      <c r="G103" s="10">
        <v>2</v>
      </c>
      <c r="H103" s="10">
        <v>1</v>
      </c>
      <c r="I103" s="159">
        <v>1</v>
      </c>
      <c r="J103" s="10"/>
      <c r="K103" s="6"/>
      <c r="L103" s="6"/>
      <c r="M103" s="6"/>
      <c r="N103" s="139"/>
      <c r="O103" s="6"/>
      <c r="P103" s="42">
        <v>2</v>
      </c>
      <c r="Q103" s="42"/>
      <c r="R103" s="42">
        <v>1</v>
      </c>
      <c r="S103" s="138">
        <v>1</v>
      </c>
      <c r="T103" s="42"/>
      <c r="U103" s="11">
        <f>E103*('Phân tiết'!$M$18/4)+G103*('Phân tiết'!$M$21/3)+H103*'Phân tiết'!$L$26+AW103+J103*'Phân tiết'!$M$20+K103*('Phân tiết'!$I$18/4)+M103*('Phân tiết'!$I$21/3)+AX103+O103*'Phân tiết'!$I$20+P103*('Phân tiết'!$E$18/4)+R103*('Phân tiết'!$E$21/3)+AY103+T103*'Phân tiết'!$E$20</f>
        <v>18</v>
      </c>
      <c r="V103" s="8">
        <f t="shared" si="34"/>
        <v>0</v>
      </c>
      <c r="W103" s="6"/>
      <c r="X103" s="6" t="s">
        <v>221</v>
      </c>
      <c r="Y103" s="8">
        <v>2</v>
      </c>
      <c r="Z103" s="43">
        <f t="shared" si="35"/>
        <v>20</v>
      </c>
      <c r="AA103" s="34">
        <f t="shared" si="36"/>
        <v>3</v>
      </c>
      <c r="AB103" s="8"/>
      <c r="AC103" s="8"/>
      <c r="AD103" s="6">
        <f t="shared" si="25"/>
        <v>0</v>
      </c>
      <c r="AE103" s="8"/>
      <c r="AF103" s="8"/>
      <c r="AG103" s="6">
        <f t="shared" si="26"/>
        <v>0</v>
      </c>
      <c r="AH103" s="8"/>
      <c r="AI103" s="8"/>
      <c r="AJ103" s="6">
        <f t="shared" si="37"/>
        <v>0</v>
      </c>
      <c r="AK103" s="6">
        <f>AA103*33+AD103+AG103+AJ103</f>
        <v>99</v>
      </c>
      <c r="AL103" s="84"/>
      <c r="AM103" s="8"/>
      <c r="AN103" s="8"/>
      <c r="AO103" s="8"/>
      <c r="AP103" s="8"/>
      <c r="AQ103" s="9"/>
      <c r="AR103" s="8"/>
      <c r="AS103" s="8"/>
      <c r="AT103" s="8" t="s">
        <v>46</v>
      </c>
      <c r="AU103" s="8"/>
      <c r="AV103" s="8"/>
      <c r="AW103">
        <f>IF(I103="",0,IF(MAP_TNHN!B103="",I103*3,I103*3-2*(IF(ISNUMBER(SEARCH(MAP_TNHN!B103&amp;" (1 tiết)",'PL12'!$S$5)),1,0)+IF(ISNUMBER(SEARCH(MAP_TNHN!B103&amp;" (1 tiết)",'PL12'!$S$6)),1,0)+IF(ISNUMBER(SEARCH(MAP_TNHN!B103&amp;" (1 tiết)",'PL12'!$S$7)),1,0)+IF(ISNUMBER(SEARCH(MAP_TNHN!B103&amp;" (1 tiết)",'PL12'!$S$8)),1,0)+IF(ISNUMBER(SEARCH(MAP_TNHN!B103&amp;" (1 tiết)",'PL12'!$S$9)),1,0)+IF(ISNUMBER(SEARCH(MAP_TNHN!B103&amp;" (1 tiết)",'PL12'!$S$10)),1,0)+IF(ISNUMBER(SEARCH(MAP_TNHN!B103&amp;" (1 tiết)",'PL12'!$S$11)),1,0)+IF(ISNUMBER(SEARCH(MAP_TNHN!B103&amp;" (1 tiết)",'PL12'!$S$12)),1,0)+IF(ISNUMBER(SEARCH(MAP_TNHN!B103&amp;" (1 tiết)",'PL12'!$S$13)),1,0)+IF(ISNUMBER(SEARCH(MAP_TNHN!B103&amp;" (1 tiết)",'PL12'!$S$14)),1,0)+IF(ISNUMBER(SEARCH(MAP_TNHN!B103&amp;" (1 tiết)",'PL12'!$S$15)),1,0)+IF(ISNUMBER(SEARCH(MAP_TNHN!B103&amp;" (1 tiết)",'PL12'!$S$16)),1,0)+IF(ISNUMBER(SEARCH(MAP_TNHN!B103&amp;" (1 tiết)",'PL12'!$S$17)),1,0)+IF(ISNUMBER(SEARCH(MAP_TNHN!B103&amp;" (1 tiết)",'PL12'!$S$18)),1,0)+IF(ISNUMBER(SEARCH(MAP_TNHN!B103&amp;" (1 tiết)",'PL12'!$S$19)),1,0))-(IF(ISNUMBER(SEARCH(MAP_TNHN!B103&amp;" (2 tiết)",'PL12'!$S$5)),1,0)+IF(ISNUMBER(SEARCH(MAP_TNHN!B103&amp;" (2 tiết)",'PL12'!$S$6)),1,0)+IF(ISNUMBER(SEARCH(MAP_TNHN!B103&amp;" (2 tiết)",'PL12'!$S$7)),1,0)+IF(ISNUMBER(SEARCH(MAP_TNHN!B103&amp;" (2 tiết)",'PL12'!$S$8)),1,0)+IF(ISNUMBER(SEARCH(MAP_TNHN!B103&amp;" (2 tiết)",'PL12'!$S$9)),1,0)+IF(ISNUMBER(SEARCH(MAP_TNHN!B103&amp;" (2 tiết)",'PL12'!$S$10)),1,0)+IF(ISNUMBER(SEARCH(MAP_TNHN!B103&amp;" (2 tiết)",'PL12'!$S$11)),1,0)+IF(ISNUMBER(SEARCH(MAP_TNHN!B103&amp;" (2 tiết)",'PL12'!$S$12)),1,0)+IF(ISNUMBER(SEARCH(MAP_TNHN!B103&amp;" (2 tiết)",'PL12'!$S$13)),1,0)+IF(ISNUMBER(SEARCH(MAP_TNHN!B103&amp;" (2 tiết)",'PL12'!$S$14)),1,0)+IF(ISNUMBER(SEARCH(MAP_TNHN!B103&amp;" (2 tiết)",'PL12'!$S$15)),1,0)+IF(ISNUMBER(SEARCH(MAP_TNHN!B103&amp;" (2 tiết)",'PL12'!$S$16)),1,0)+IF(ISNUMBER(SEARCH(MAP_TNHN!B103&amp;" (2 tiết)",'PL12'!$S$17)),1,0)+IF(ISNUMBER(SEARCH(MAP_TNHN!B103&amp;" (2 tiết)",'PL12'!$S$18)),1,0)+IF(ISNUMBER(SEARCH(MAP_TNHN!B103&amp;" (2 tiết)",'PL12'!$S$19)),1,0))))</f>
        <v>3</v>
      </c>
      <c r="AX103">
        <f>IF(N103="",0,IF(MAP_TNHN!C103="",N103*3,N103*3-2*(IF(ISNUMBER(SEARCH(MAP_TNHN!C103&amp;" (1 tiết)",'PL11'!$S$5)),1,0)+IF(ISNUMBER(SEARCH(MAP_TNHN!C103&amp;" (1 tiết)",'PL11'!$S$6)),1,0)+IF(ISNUMBER(SEARCH(MAP_TNHN!C103&amp;" (1 tiết)",'PL11'!$S$7)),1,0)+IF(ISNUMBER(SEARCH(MAP_TNHN!C103&amp;" (1 tiết)",'PL11'!$S$8)),1,0)+IF(ISNUMBER(SEARCH(MAP_TNHN!C103&amp;" (1 tiết)",'PL11'!$S$9)),1,0)+IF(ISNUMBER(SEARCH(MAP_TNHN!C103&amp;" (1 tiết)",'PL11'!$S$10)),1,0)+IF(ISNUMBER(SEARCH(MAP_TNHN!C103&amp;" (1 tiết)",'PL11'!$S$11)),1,0)+IF(ISNUMBER(SEARCH(MAP_TNHN!C103&amp;" (1 tiết)",'PL11'!$S$12)),1,0)+IF(ISNUMBER(SEARCH(MAP_TNHN!C103&amp;" (1 tiết)",'PL11'!$S$13)),1,0)+IF(ISNUMBER(SEARCH(MAP_TNHN!C103&amp;" (1 tiết)",'PL11'!$S$14)),1,0)+IF(ISNUMBER(SEARCH(MAP_TNHN!C103&amp;" (1 tiết)",'PL11'!$S$15)),1,0)+IF(ISNUMBER(SEARCH(MAP_TNHN!C103&amp;" (1 tiết)",'PL11'!$S$16)),1,0)+IF(ISNUMBER(SEARCH(MAP_TNHN!C103&amp;" (1 tiết)",'PL11'!$S$17)),1,0)+IF(ISNUMBER(SEARCH(MAP_TNHN!C103&amp;" (1 tiết)",'PL11'!$S$18)),1,0))-(IF(ISNUMBER(SEARCH(MAP_TNHN!C103&amp;" (2 tiết)",'PL11'!$S$5)),1,0)+IF(ISNUMBER(SEARCH(MAP_TNHN!C103&amp;" (2 tiết)",'PL11'!$S$6)),1,0)+IF(ISNUMBER(SEARCH(MAP_TNHN!C103&amp;" (2 tiết)",'PL11'!$S$7)),1,0)+IF(ISNUMBER(SEARCH(MAP_TNHN!C103&amp;" (2 tiết)",'PL11'!$S$8)),1,0)+IF(ISNUMBER(SEARCH(MAP_TNHN!C103&amp;" (2 tiết)",'PL11'!$S$9)),1,0)+IF(ISNUMBER(SEARCH(MAP_TNHN!C103&amp;" (2 tiết)",'PL11'!$S$10)),1,0)+IF(ISNUMBER(SEARCH(MAP_TNHN!C103&amp;" (2 tiết)",'PL11'!$S$11)),1,0)+IF(ISNUMBER(SEARCH(MAP_TNHN!C103&amp;" (2 tiết)",'PL11'!$S$12)),1,0)+IF(ISNUMBER(SEARCH(MAP_TNHN!C103&amp;" (2 tiết)",'PL11'!$S$13)),1,0)+IF(ISNUMBER(SEARCH(MAP_TNHN!C103&amp;" (2 tiết)",'PL11'!$S$14)),1,0)+IF(ISNUMBER(SEARCH(MAP_TNHN!C103&amp;" (2 tiết)",'PL11'!$S$15)),1,0)+IF(ISNUMBER(SEARCH(MAP_TNHN!C103&amp;" (2 tiết)",'PL11'!$S$16)),1,0)+IF(ISNUMBER(SEARCH(MAP_TNHN!C103&amp;" (2 tiết)",'PL11'!$S$17)),1,0)+IF(ISNUMBER(SEARCH(MAP_TNHN!C103&amp;" (2 tiết)",'PL11'!$S$18)),1,0))))</f>
        <v>0</v>
      </c>
      <c r="AY103">
        <f>IF(S103="",0,IF(MAP_TNHN!D103="",S103*3,S103*3-2*(IF(ISNUMBER(SEARCH(MAP_TNHN!D103&amp;" (1 tiết)",'PL10'!$S$5)),1,0)+IF(ISNUMBER(SEARCH(MAP_TNHN!D103&amp;" (1 tiết)",'PL10'!$S$6)),1,0)+IF(ISNUMBER(SEARCH(MAP_TNHN!D103&amp;" (1 tiết)",'PL10'!$S$7)),1,0)+IF(ISNUMBER(SEARCH(MAP_TNHN!D103&amp;" (1 tiết)",'PL10'!$S$8)),1,0)+IF(ISNUMBER(SEARCH(MAP_TNHN!D103&amp;" (1 tiết)",'PL10'!$S$9)),1,0)+IF(ISNUMBER(SEARCH(MAP_TNHN!D103&amp;" (1 tiết)",'PL10'!$S$10)),1,0)+IF(ISNUMBER(SEARCH(MAP_TNHN!D103&amp;" (1 tiết)",'PL10'!$S$11)),1,0)+IF(ISNUMBER(SEARCH(MAP_TNHN!D103&amp;" (1 tiết)",'PL10'!$S$12)),1,0)+IF(ISNUMBER(SEARCH(MAP_TNHN!D103&amp;" (1 tiết)",'PL10'!$S$13)),1,0)+IF(ISNUMBER(SEARCH(MAP_TNHN!D103&amp;" (1 tiết)",'PL10'!$S$14)),1,0)+IF(ISNUMBER(SEARCH(MAP_TNHN!D103&amp;" (1 tiết)",'PL10'!$S$15)),1,0)+IF(ISNUMBER(SEARCH(MAP_TNHN!D103&amp;" (1 tiết)",'PL10'!$S$16)),1,0)+IF(ISNUMBER(SEARCH(MAP_TNHN!D103&amp;" (1 tiết)",'PL10'!$S$17)),1,0)+IF(ISNUMBER(SEARCH(MAP_TNHN!D103&amp;" (1 tiết)",'PL10'!$S$18)),1,0)+IF(ISNUMBER(SEARCH(MAP_TNHN!D103&amp;" (1 tiết)",'PL10'!$S$19)),1,0)+IF(ISNUMBER(SEARCH(MAP_TNHN!D103&amp;" (1 tiết)",'PL10'!$S$20)),1,0)+IF(ISNUMBER(SEARCH(MAP_TNHN!D103&amp;" (1 tiết)",'PL10'!$S$21)),1,0)+IF(ISNUMBER(SEARCH(MAP_TNHN!D103&amp;" (1 tiết)",'PL10'!$S$22)),1,0)+IF(ISNUMBER(SEARCH(MAP_TNHN!D103&amp;" (1 tiết)",'PL10'!$S$23)),1,0)+IF(ISNUMBER(SEARCH(MAP_TNHN!D103&amp;" (1 tiết)",'PL10'!$S$24)),1,0)+IF(ISNUMBER(SEARCH(MAP_TNHN!D103&amp;" (1 tiết)",'PL10'!$S$25)),1,0))-(IF(ISNUMBER(SEARCH(MAP_TNHN!D103&amp;" (2 tiết)",'PL10'!$S$5)),1,0)+IF(ISNUMBER(SEARCH(MAP_TNHN!D103&amp;" (2 tiết)",'PL10'!$S$6)),1,0)+IF(ISNUMBER(SEARCH(MAP_TNHN!D103&amp;" (2 tiết)",'PL10'!$S$7)),1,0)+IF(ISNUMBER(SEARCH(MAP_TNHN!D103&amp;" (2 tiết)",'PL10'!$S$8)),1,0)+IF(ISNUMBER(SEARCH(MAP_TNHN!D103&amp;" (2 tiết)",'PL10'!$S$9)),1,0)+IF(ISNUMBER(SEARCH(MAP_TNHN!D103&amp;" (2 tiết)",'PL10'!$S$10)),1,0)+IF(ISNUMBER(SEARCH(MAP_TNHN!D103&amp;" (2 tiết)",'PL10'!$S$11)),1,0)+IF(ISNUMBER(SEARCH(MAP_TNHN!D103&amp;" (2 tiết)",'PL10'!$S$12)),1,0)+IF(ISNUMBER(SEARCH(MAP_TNHN!D103&amp;" (2 tiết)",'PL10'!$S$13)),1,0)+IF(ISNUMBER(SEARCH(MAP_TNHN!D103&amp;" (2 tiết)",'PL10'!$S$14)),1,0)+IF(ISNUMBER(SEARCH(MAP_TNHN!D103&amp;" (2 tiết)",'PL10'!$S$15)),1,0)+IF(ISNUMBER(SEARCH(MAP_TNHN!D103&amp;" (2 tiết)",'PL10'!$S$16)),1,0)+IF(ISNUMBER(SEARCH(MAP_TNHN!D103&amp;" (2 tiết)",'PL10'!$S$17)),1,0)+IF(ISNUMBER(SEARCH(MAP_TNHN!D103&amp;" (2 tiết)",'PL10'!$S$18)),1,0)+IF(ISNUMBER(SEARCH(MAP_TNHN!D103&amp;" (2 tiết)",'PL10'!$S$19)),1,0)+IF(ISNUMBER(SEARCH(MAP_TNHN!D103&amp;" (2 tiết)",'PL10'!$S$20)),1,0)+IF(ISNUMBER(SEARCH(MAP_TNHN!D103&amp;" (2 tiết)",'PL10'!$S$21)),1,0)+IF(ISNUMBER(SEARCH(MAP_TNHN!D103&amp;" (2 tiết)",'PL10'!$S$22)),1,0)+IF(ISNUMBER(SEARCH(MAP_TNHN!D103&amp;" (2 tiết)",'PL10'!$S$23)),1,0)+IF(ISNUMBER(SEARCH(MAP_TNHN!D103&amp;" (2 tiết)",'PL10'!$S$24)),1,0)+IF(ISNUMBER(SEARCH(MAP_TNHN!D103&amp;" (2 tiết)",'PL10'!$S$25)),1,0))))</f>
        <v>2</v>
      </c>
    </row>
    <row r="104" spans="1:51" ht="15.5" x14ac:dyDescent="0.35">
      <c r="A104" s="313"/>
      <c r="B104" s="8">
        <v>9</v>
      </c>
      <c r="C104" s="9" t="s">
        <v>222</v>
      </c>
      <c r="D104" s="20">
        <v>10</v>
      </c>
      <c r="E104" s="10"/>
      <c r="F104" s="10"/>
      <c r="G104" s="10"/>
      <c r="H104" s="10"/>
      <c r="I104" s="159"/>
      <c r="J104" s="10"/>
      <c r="K104" s="6">
        <v>1</v>
      </c>
      <c r="L104" s="6"/>
      <c r="M104" s="6">
        <v>1</v>
      </c>
      <c r="N104" s="139"/>
      <c r="O104" s="6">
        <v>2</v>
      </c>
      <c r="P104" s="42">
        <v>3</v>
      </c>
      <c r="Q104" s="42">
        <v>1</v>
      </c>
      <c r="R104" s="42"/>
      <c r="S104" s="166">
        <v>1</v>
      </c>
      <c r="T104" s="42"/>
      <c r="U104" s="11">
        <f>E104*('Phân tiết'!$M$18/4)+G104*('Phân tiết'!$M$21/3)+H104*'Phân tiết'!$L$26+AW104+J104*'Phân tiết'!$M$20+K104*('Phân tiết'!$I$18/4)+M104*('Phân tiết'!$I$21/3)+AX104+O104*'Phân tiết'!$I$20+P104*('Phân tiết'!$E$18/4)+R104*('Phân tiết'!$E$21/3)+AY104+T104*'Phân tiết'!$E$20</f>
        <v>12</v>
      </c>
      <c r="V104" s="8">
        <f t="shared" si="34"/>
        <v>4</v>
      </c>
      <c r="W104" s="6"/>
      <c r="X104" s="6" t="s">
        <v>54</v>
      </c>
      <c r="Y104" s="8">
        <v>1</v>
      </c>
      <c r="Z104" s="43">
        <f t="shared" si="35"/>
        <v>17</v>
      </c>
      <c r="AA104" s="34">
        <f>Z104-17</f>
        <v>0</v>
      </c>
      <c r="AB104" s="8"/>
      <c r="AC104" s="8"/>
      <c r="AD104" s="6">
        <f t="shared" si="25"/>
        <v>0</v>
      </c>
      <c r="AE104" s="8">
        <v>2</v>
      </c>
      <c r="AF104" s="8">
        <v>15</v>
      </c>
      <c r="AG104" s="6">
        <f t="shared" si="26"/>
        <v>45</v>
      </c>
      <c r="AH104" s="8"/>
      <c r="AI104" s="8"/>
      <c r="AJ104" s="6">
        <f t="shared" si="37"/>
        <v>0</v>
      </c>
      <c r="AK104" s="6">
        <f t="shared" si="27"/>
        <v>45</v>
      </c>
      <c r="AL104" s="8"/>
      <c r="AM104" s="8" t="s">
        <v>52</v>
      </c>
      <c r="AN104" s="8" t="s">
        <v>106</v>
      </c>
      <c r="AO104" s="8"/>
      <c r="AP104" s="8"/>
      <c r="AQ104" s="9"/>
      <c r="AR104" s="8"/>
      <c r="AS104" s="8"/>
      <c r="AT104" s="8" t="s">
        <v>46</v>
      </c>
      <c r="AU104" s="8"/>
      <c r="AV104" s="51" t="s">
        <v>88</v>
      </c>
      <c r="AW104">
        <f>IF(I104="",0,IF(MAP_TNHN!B104="",I104*3,I104*3-2*(IF(ISNUMBER(SEARCH(MAP_TNHN!B104&amp;" (1 tiết)",'PL12'!$S$5)),1,0)+IF(ISNUMBER(SEARCH(MAP_TNHN!B104&amp;" (1 tiết)",'PL12'!$S$6)),1,0)+IF(ISNUMBER(SEARCH(MAP_TNHN!B104&amp;" (1 tiết)",'PL12'!$S$7)),1,0)+IF(ISNUMBER(SEARCH(MAP_TNHN!B104&amp;" (1 tiết)",'PL12'!$S$8)),1,0)+IF(ISNUMBER(SEARCH(MAP_TNHN!B104&amp;" (1 tiết)",'PL12'!$S$9)),1,0)+IF(ISNUMBER(SEARCH(MAP_TNHN!B104&amp;" (1 tiết)",'PL12'!$S$10)),1,0)+IF(ISNUMBER(SEARCH(MAP_TNHN!B104&amp;" (1 tiết)",'PL12'!$S$11)),1,0)+IF(ISNUMBER(SEARCH(MAP_TNHN!B104&amp;" (1 tiết)",'PL12'!$S$12)),1,0)+IF(ISNUMBER(SEARCH(MAP_TNHN!B104&amp;" (1 tiết)",'PL12'!$S$13)),1,0)+IF(ISNUMBER(SEARCH(MAP_TNHN!B104&amp;" (1 tiết)",'PL12'!$S$14)),1,0)+IF(ISNUMBER(SEARCH(MAP_TNHN!B104&amp;" (1 tiết)",'PL12'!$S$15)),1,0)+IF(ISNUMBER(SEARCH(MAP_TNHN!B104&amp;" (1 tiết)",'PL12'!$S$16)),1,0)+IF(ISNUMBER(SEARCH(MAP_TNHN!B104&amp;" (1 tiết)",'PL12'!$S$17)),1,0)+IF(ISNUMBER(SEARCH(MAP_TNHN!B104&amp;" (1 tiết)",'PL12'!$S$18)),1,0)+IF(ISNUMBER(SEARCH(MAP_TNHN!B104&amp;" (1 tiết)",'PL12'!$S$19)),1,0))-(IF(ISNUMBER(SEARCH(MAP_TNHN!B104&amp;" (2 tiết)",'PL12'!$S$5)),1,0)+IF(ISNUMBER(SEARCH(MAP_TNHN!B104&amp;" (2 tiết)",'PL12'!$S$6)),1,0)+IF(ISNUMBER(SEARCH(MAP_TNHN!B104&amp;" (2 tiết)",'PL12'!$S$7)),1,0)+IF(ISNUMBER(SEARCH(MAP_TNHN!B104&amp;" (2 tiết)",'PL12'!$S$8)),1,0)+IF(ISNUMBER(SEARCH(MAP_TNHN!B104&amp;" (2 tiết)",'PL12'!$S$9)),1,0)+IF(ISNUMBER(SEARCH(MAP_TNHN!B104&amp;" (2 tiết)",'PL12'!$S$10)),1,0)+IF(ISNUMBER(SEARCH(MAP_TNHN!B104&amp;" (2 tiết)",'PL12'!$S$11)),1,0)+IF(ISNUMBER(SEARCH(MAP_TNHN!B104&amp;" (2 tiết)",'PL12'!$S$12)),1,0)+IF(ISNUMBER(SEARCH(MAP_TNHN!B104&amp;" (2 tiết)",'PL12'!$S$13)),1,0)+IF(ISNUMBER(SEARCH(MAP_TNHN!B104&amp;" (2 tiết)",'PL12'!$S$14)),1,0)+IF(ISNUMBER(SEARCH(MAP_TNHN!B104&amp;" (2 tiết)",'PL12'!$S$15)),1,0)+IF(ISNUMBER(SEARCH(MAP_TNHN!B104&amp;" (2 tiết)",'PL12'!$S$16)),1,0)+IF(ISNUMBER(SEARCH(MAP_TNHN!B104&amp;" (2 tiết)",'PL12'!$S$17)),1,0)+IF(ISNUMBER(SEARCH(MAP_TNHN!B104&amp;" (2 tiết)",'PL12'!$S$18)),1,0)+IF(ISNUMBER(SEARCH(MAP_TNHN!B104&amp;" (2 tiết)",'PL12'!$S$19)),1,0))))</f>
        <v>0</v>
      </c>
      <c r="AX104">
        <f>IF(N104="",0,IF(MAP_TNHN!C104="",N104*3,N104*3-2*(IF(ISNUMBER(SEARCH(MAP_TNHN!C104&amp;" (1 tiết)",'PL11'!$S$5)),1,0)+IF(ISNUMBER(SEARCH(MAP_TNHN!C104&amp;" (1 tiết)",'PL11'!$S$6)),1,0)+IF(ISNUMBER(SEARCH(MAP_TNHN!C104&amp;" (1 tiết)",'PL11'!$S$7)),1,0)+IF(ISNUMBER(SEARCH(MAP_TNHN!C104&amp;" (1 tiết)",'PL11'!$S$8)),1,0)+IF(ISNUMBER(SEARCH(MAP_TNHN!C104&amp;" (1 tiết)",'PL11'!$S$9)),1,0)+IF(ISNUMBER(SEARCH(MAP_TNHN!C104&amp;" (1 tiết)",'PL11'!$S$10)),1,0)+IF(ISNUMBER(SEARCH(MAP_TNHN!C104&amp;" (1 tiết)",'PL11'!$S$11)),1,0)+IF(ISNUMBER(SEARCH(MAP_TNHN!C104&amp;" (1 tiết)",'PL11'!$S$12)),1,0)+IF(ISNUMBER(SEARCH(MAP_TNHN!C104&amp;" (1 tiết)",'PL11'!$S$13)),1,0)+IF(ISNUMBER(SEARCH(MAP_TNHN!C104&amp;" (1 tiết)",'PL11'!$S$14)),1,0)+IF(ISNUMBER(SEARCH(MAP_TNHN!C104&amp;" (1 tiết)",'PL11'!$S$15)),1,0)+IF(ISNUMBER(SEARCH(MAP_TNHN!C104&amp;" (1 tiết)",'PL11'!$S$16)),1,0)+IF(ISNUMBER(SEARCH(MAP_TNHN!C104&amp;" (1 tiết)",'PL11'!$S$17)),1,0)+IF(ISNUMBER(SEARCH(MAP_TNHN!C104&amp;" (1 tiết)",'PL11'!$S$18)),1,0))-(IF(ISNUMBER(SEARCH(MAP_TNHN!C104&amp;" (2 tiết)",'PL11'!$S$5)),1,0)+IF(ISNUMBER(SEARCH(MAP_TNHN!C104&amp;" (2 tiết)",'PL11'!$S$6)),1,0)+IF(ISNUMBER(SEARCH(MAP_TNHN!C104&amp;" (2 tiết)",'PL11'!$S$7)),1,0)+IF(ISNUMBER(SEARCH(MAP_TNHN!C104&amp;" (2 tiết)",'PL11'!$S$8)),1,0)+IF(ISNUMBER(SEARCH(MAP_TNHN!C104&amp;" (2 tiết)",'PL11'!$S$9)),1,0)+IF(ISNUMBER(SEARCH(MAP_TNHN!C104&amp;" (2 tiết)",'PL11'!$S$10)),1,0)+IF(ISNUMBER(SEARCH(MAP_TNHN!C104&amp;" (2 tiết)",'PL11'!$S$11)),1,0)+IF(ISNUMBER(SEARCH(MAP_TNHN!C104&amp;" (2 tiết)",'PL11'!$S$12)),1,0)+IF(ISNUMBER(SEARCH(MAP_TNHN!C104&amp;" (2 tiết)",'PL11'!$S$13)),1,0)+IF(ISNUMBER(SEARCH(MAP_TNHN!C104&amp;" (2 tiết)",'PL11'!$S$14)),1,0)+IF(ISNUMBER(SEARCH(MAP_TNHN!C104&amp;" (2 tiết)",'PL11'!$S$15)),1,0)+IF(ISNUMBER(SEARCH(MAP_TNHN!C104&amp;" (2 tiết)",'PL11'!$S$16)),1,0)+IF(ISNUMBER(SEARCH(MAP_TNHN!C104&amp;" (2 tiết)",'PL11'!$S$17)),1,0)+IF(ISNUMBER(SEARCH(MAP_TNHN!C104&amp;" (2 tiết)",'PL11'!$S$18)),1,0))))</f>
        <v>0</v>
      </c>
      <c r="AY104">
        <f>IF(S104="",0,IF(MAP_TNHN!D104="",S104*3,S104*3-2*(IF(ISNUMBER(SEARCH(MAP_TNHN!D104&amp;" (1 tiết)",'PL10'!$S$5)),1,0)+IF(ISNUMBER(SEARCH(MAP_TNHN!D104&amp;" (1 tiết)",'PL10'!$S$6)),1,0)+IF(ISNUMBER(SEARCH(MAP_TNHN!D104&amp;" (1 tiết)",'PL10'!$S$7)),1,0)+IF(ISNUMBER(SEARCH(MAP_TNHN!D104&amp;" (1 tiết)",'PL10'!$S$8)),1,0)+IF(ISNUMBER(SEARCH(MAP_TNHN!D104&amp;" (1 tiết)",'PL10'!$S$9)),1,0)+IF(ISNUMBER(SEARCH(MAP_TNHN!D104&amp;" (1 tiết)",'PL10'!$S$10)),1,0)+IF(ISNUMBER(SEARCH(MAP_TNHN!D104&amp;" (1 tiết)",'PL10'!$S$11)),1,0)+IF(ISNUMBER(SEARCH(MAP_TNHN!D104&amp;" (1 tiết)",'PL10'!$S$12)),1,0)+IF(ISNUMBER(SEARCH(MAP_TNHN!D104&amp;" (1 tiết)",'PL10'!$S$13)),1,0)+IF(ISNUMBER(SEARCH(MAP_TNHN!D104&amp;" (1 tiết)",'PL10'!$S$14)),1,0)+IF(ISNUMBER(SEARCH(MAP_TNHN!D104&amp;" (1 tiết)",'PL10'!$S$15)),1,0)+IF(ISNUMBER(SEARCH(MAP_TNHN!D104&amp;" (1 tiết)",'PL10'!$S$16)),1,0)+IF(ISNUMBER(SEARCH(MAP_TNHN!D104&amp;" (1 tiết)",'PL10'!$S$17)),1,0)+IF(ISNUMBER(SEARCH(MAP_TNHN!D104&amp;" (1 tiết)",'PL10'!$S$18)),1,0)+IF(ISNUMBER(SEARCH(MAP_TNHN!D104&amp;" (1 tiết)",'PL10'!$S$19)),1,0)+IF(ISNUMBER(SEARCH(MAP_TNHN!D104&amp;" (1 tiết)",'PL10'!$S$20)),1,0)+IF(ISNUMBER(SEARCH(MAP_TNHN!D104&amp;" (1 tiết)",'PL10'!$S$21)),1,0)+IF(ISNUMBER(SEARCH(MAP_TNHN!D104&amp;" (1 tiết)",'PL10'!$S$22)),1,0)+IF(ISNUMBER(SEARCH(MAP_TNHN!D104&amp;" (1 tiết)",'PL10'!$S$23)),1,0)+IF(ISNUMBER(SEARCH(MAP_TNHN!D104&amp;" (1 tiết)",'PL10'!$S$24)),1,0)+IF(ISNUMBER(SEARCH(MAP_TNHN!D104&amp;" (1 tiết)",'PL10'!$S$25)),1,0))-(IF(ISNUMBER(SEARCH(MAP_TNHN!D104&amp;" (2 tiết)",'PL10'!$S$5)),1,0)+IF(ISNUMBER(SEARCH(MAP_TNHN!D104&amp;" (2 tiết)",'PL10'!$S$6)),1,0)+IF(ISNUMBER(SEARCH(MAP_TNHN!D104&amp;" (2 tiết)",'PL10'!$S$7)),1,0)+IF(ISNUMBER(SEARCH(MAP_TNHN!D104&amp;" (2 tiết)",'PL10'!$S$8)),1,0)+IF(ISNUMBER(SEARCH(MAP_TNHN!D104&amp;" (2 tiết)",'PL10'!$S$9)),1,0)+IF(ISNUMBER(SEARCH(MAP_TNHN!D104&amp;" (2 tiết)",'PL10'!$S$10)),1,0)+IF(ISNUMBER(SEARCH(MAP_TNHN!D104&amp;" (2 tiết)",'PL10'!$S$11)),1,0)+IF(ISNUMBER(SEARCH(MAP_TNHN!D104&amp;" (2 tiết)",'PL10'!$S$12)),1,0)+IF(ISNUMBER(SEARCH(MAP_TNHN!D104&amp;" (2 tiết)",'PL10'!$S$13)),1,0)+IF(ISNUMBER(SEARCH(MAP_TNHN!D104&amp;" (2 tiết)",'PL10'!$S$14)),1,0)+IF(ISNUMBER(SEARCH(MAP_TNHN!D104&amp;" (2 tiết)",'PL10'!$S$15)),1,0)+IF(ISNUMBER(SEARCH(MAP_TNHN!D104&amp;" (2 tiết)",'PL10'!$S$16)),1,0)+IF(ISNUMBER(SEARCH(MAP_TNHN!D104&amp;" (2 tiết)",'PL10'!$S$17)),1,0)+IF(ISNUMBER(SEARCH(MAP_TNHN!D104&amp;" (2 tiết)",'PL10'!$S$18)),1,0)+IF(ISNUMBER(SEARCH(MAP_TNHN!D104&amp;" (2 tiết)",'PL10'!$S$19)),1,0)+IF(ISNUMBER(SEARCH(MAP_TNHN!D104&amp;" (2 tiết)",'PL10'!$S$20)),1,0)+IF(ISNUMBER(SEARCH(MAP_TNHN!D104&amp;" (2 tiết)",'PL10'!$S$21)),1,0)+IF(ISNUMBER(SEARCH(MAP_TNHN!D104&amp;" (2 tiết)",'PL10'!$S$22)),1,0)+IF(ISNUMBER(SEARCH(MAP_TNHN!D104&amp;" (2 tiết)",'PL10'!$S$23)),1,0)+IF(ISNUMBER(SEARCH(MAP_TNHN!D104&amp;" (2 tiết)",'PL10'!$S$24)),1,0)+IF(ISNUMBER(SEARCH(MAP_TNHN!D104&amp;" (2 tiết)",'PL10'!$S$25)),1,0))))</f>
        <v>1</v>
      </c>
    </row>
    <row r="105" spans="1:51" x14ac:dyDescent="0.35">
      <c r="A105" s="313"/>
      <c r="B105" s="8">
        <v>10</v>
      </c>
      <c r="C105" s="9" t="s">
        <v>223</v>
      </c>
      <c r="D105" s="20">
        <v>11</v>
      </c>
      <c r="E105" s="10"/>
      <c r="F105" s="10"/>
      <c r="G105" s="10"/>
      <c r="H105" s="10"/>
      <c r="I105" s="159"/>
      <c r="J105" s="10"/>
      <c r="K105" s="6">
        <v>2</v>
      </c>
      <c r="L105" s="6">
        <v>1</v>
      </c>
      <c r="M105" s="6">
        <v>1</v>
      </c>
      <c r="N105" s="169">
        <v>1</v>
      </c>
      <c r="O105" s="6"/>
      <c r="P105" s="42">
        <v>2</v>
      </c>
      <c r="Q105" s="42"/>
      <c r="R105" s="42">
        <v>1</v>
      </c>
      <c r="S105" s="138">
        <v>1</v>
      </c>
      <c r="T105" s="42"/>
      <c r="U105" s="11">
        <f>E105*('Phân tiết'!$M$18/4)+G105*('Phân tiết'!$M$21/3)+H105*'Phân tiết'!$L$26+AW105+J105*'Phân tiết'!$M$20+K105*('Phân tiết'!$I$18/4)+M105*('Phân tiết'!$I$21/3)+AX105+O105*'Phân tiết'!$I$20+P105*('Phân tiết'!$E$18/4)+R105*('Phân tiết'!$E$21/3)+AY105+T105*'Phân tiết'!$E$20</f>
        <v>13</v>
      </c>
      <c r="V105" s="8">
        <f t="shared" si="34"/>
        <v>4</v>
      </c>
      <c r="W105" s="6" t="s">
        <v>86</v>
      </c>
      <c r="X105" s="6"/>
      <c r="Y105" s="8">
        <v>3</v>
      </c>
      <c r="Z105" s="43">
        <f t="shared" si="35"/>
        <v>20</v>
      </c>
      <c r="AA105" s="34">
        <f>Z105-17</f>
        <v>3</v>
      </c>
      <c r="AB105" s="8"/>
      <c r="AC105" s="8"/>
      <c r="AD105" s="6">
        <f t="shared" si="25"/>
        <v>0</v>
      </c>
      <c r="AE105" s="8">
        <v>2</v>
      </c>
      <c r="AF105" s="8">
        <v>15</v>
      </c>
      <c r="AG105" s="6">
        <f t="shared" si="26"/>
        <v>45</v>
      </c>
      <c r="AH105" s="8"/>
      <c r="AI105" s="8"/>
      <c r="AJ105" s="6">
        <f t="shared" si="37"/>
        <v>0</v>
      </c>
      <c r="AK105" s="6">
        <f t="shared" si="27"/>
        <v>144</v>
      </c>
      <c r="AL105" s="8"/>
      <c r="AM105" s="8" t="s">
        <v>224</v>
      </c>
      <c r="AN105" s="8"/>
      <c r="AO105" s="8"/>
      <c r="AP105" s="8"/>
      <c r="AQ105" s="8"/>
      <c r="AR105" s="8"/>
      <c r="AS105" s="8"/>
      <c r="AT105" s="8" t="s">
        <v>46</v>
      </c>
      <c r="AU105" s="8"/>
      <c r="AV105" s="8" t="s">
        <v>194</v>
      </c>
      <c r="AW105">
        <f>IF(I105="",0,IF(MAP_TNHN!B105="",I105*3,I105*3-2*(IF(ISNUMBER(SEARCH(MAP_TNHN!B105&amp;" (1 tiết)",'PL12'!$S$5)),1,0)+IF(ISNUMBER(SEARCH(MAP_TNHN!B105&amp;" (1 tiết)",'PL12'!$S$6)),1,0)+IF(ISNUMBER(SEARCH(MAP_TNHN!B105&amp;" (1 tiết)",'PL12'!$S$7)),1,0)+IF(ISNUMBER(SEARCH(MAP_TNHN!B105&amp;" (1 tiết)",'PL12'!$S$8)),1,0)+IF(ISNUMBER(SEARCH(MAP_TNHN!B105&amp;" (1 tiết)",'PL12'!$S$9)),1,0)+IF(ISNUMBER(SEARCH(MAP_TNHN!B105&amp;" (1 tiết)",'PL12'!$S$10)),1,0)+IF(ISNUMBER(SEARCH(MAP_TNHN!B105&amp;" (1 tiết)",'PL12'!$S$11)),1,0)+IF(ISNUMBER(SEARCH(MAP_TNHN!B105&amp;" (1 tiết)",'PL12'!$S$12)),1,0)+IF(ISNUMBER(SEARCH(MAP_TNHN!B105&amp;" (1 tiết)",'PL12'!$S$13)),1,0)+IF(ISNUMBER(SEARCH(MAP_TNHN!B105&amp;" (1 tiết)",'PL12'!$S$14)),1,0)+IF(ISNUMBER(SEARCH(MAP_TNHN!B105&amp;" (1 tiết)",'PL12'!$S$15)),1,0)+IF(ISNUMBER(SEARCH(MAP_TNHN!B105&amp;" (1 tiết)",'PL12'!$S$16)),1,0)+IF(ISNUMBER(SEARCH(MAP_TNHN!B105&amp;" (1 tiết)",'PL12'!$S$17)),1,0)+IF(ISNUMBER(SEARCH(MAP_TNHN!B105&amp;" (1 tiết)",'PL12'!$S$18)),1,0)+IF(ISNUMBER(SEARCH(MAP_TNHN!B105&amp;" (1 tiết)",'PL12'!$S$19)),1,0))-(IF(ISNUMBER(SEARCH(MAP_TNHN!B105&amp;" (2 tiết)",'PL12'!$S$5)),1,0)+IF(ISNUMBER(SEARCH(MAP_TNHN!B105&amp;" (2 tiết)",'PL12'!$S$6)),1,0)+IF(ISNUMBER(SEARCH(MAP_TNHN!B105&amp;" (2 tiết)",'PL12'!$S$7)),1,0)+IF(ISNUMBER(SEARCH(MAP_TNHN!B105&amp;" (2 tiết)",'PL12'!$S$8)),1,0)+IF(ISNUMBER(SEARCH(MAP_TNHN!B105&amp;" (2 tiết)",'PL12'!$S$9)),1,0)+IF(ISNUMBER(SEARCH(MAP_TNHN!B105&amp;" (2 tiết)",'PL12'!$S$10)),1,0)+IF(ISNUMBER(SEARCH(MAP_TNHN!B105&amp;" (2 tiết)",'PL12'!$S$11)),1,0)+IF(ISNUMBER(SEARCH(MAP_TNHN!B105&amp;" (2 tiết)",'PL12'!$S$12)),1,0)+IF(ISNUMBER(SEARCH(MAP_TNHN!B105&amp;" (2 tiết)",'PL12'!$S$13)),1,0)+IF(ISNUMBER(SEARCH(MAP_TNHN!B105&amp;" (2 tiết)",'PL12'!$S$14)),1,0)+IF(ISNUMBER(SEARCH(MAP_TNHN!B105&amp;" (2 tiết)",'PL12'!$S$15)),1,0)+IF(ISNUMBER(SEARCH(MAP_TNHN!B105&amp;" (2 tiết)",'PL12'!$S$16)),1,0)+IF(ISNUMBER(SEARCH(MAP_TNHN!B105&amp;" (2 tiết)",'PL12'!$S$17)),1,0)+IF(ISNUMBER(SEARCH(MAP_TNHN!B105&amp;" (2 tiết)",'PL12'!$S$18)),1,0)+IF(ISNUMBER(SEARCH(MAP_TNHN!B105&amp;" (2 tiết)",'PL12'!$S$19)),1,0))))</f>
        <v>0</v>
      </c>
      <c r="AX105">
        <f>IF(N105="",0,IF(MAP_TNHN!C105="",N105*3,N105*3-2*(IF(ISNUMBER(SEARCH(MAP_TNHN!C105&amp;" (1 tiết)",'PL11'!$S$5)),1,0)+IF(ISNUMBER(SEARCH(MAP_TNHN!C105&amp;" (1 tiết)",'PL11'!$S$6)),1,0)+IF(ISNUMBER(SEARCH(MAP_TNHN!C105&amp;" (1 tiết)",'PL11'!$S$7)),1,0)+IF(ISNUMBER(SEARCH(MAP_TNHN!C105&amp;" (1 tiết)",'PL11'!$S$8)),1,0)+IF(ISNUMBER(SEARCH(MAP_TNHN!C105&amp;" (1 tiết)",'PL11'!$S$9)),1,0)+IF(ISNUMBER(SEARCH(MAP_TNHN!C105&amp;" (1 tiết)",'PL11'!$S$10)),1,0)+IF(ISNUMBER(SEARCH(MAP_TNHN!C105&amp;" (1 tiết)",'PL11'!$S$11)),1,0)+IF(ISNUMBER(SEARCH(MAP_TNHN!C105&amp;" (1 tiết)",'PL11'!$S$12)),1,0)+IF(ISNUMBER(SEARCH(MAP_TNHN!C105&amp;" (1 tiết)",'PL11'!$S$13)),1,0)+IF(ISNUMBER(SEARCH(MAP_TNHN!C105&amp;" (1 tiết)",'PL11'!$S$14)),1,0)+IF(ISNUMBER(SEARCH(MAP_TNHN!C105&amp;" (1 tiết)",'PL11'!$S$15)),1,0)+IF(ISNUMBER(SEARCH(MAP_TNHN!C105&amp;" (1 tiết)",'PL11'!$S$16)),1,0)+IF(ISNUMBER(SEARCH(MAP_TNHN!C105&amp;" (1 tiết)",'PL11'!$S$17)),1,0)+IF(ISNUMBER(SEARCH(MAP_TNHN!C105&amp;" (1 tiết)",'PL11'!$S$18)),1,0))-(IF(ISNUMBER(SEARCH(MAP_TNHN!C105&amp;" (2 tiết)",'PL11'!$S$5)),1,0)+IF(ISNUMBER(SEARCH(MAP_TNHN!C105&amp;" (2 tiết)",'PL11'!$S$6)),1,0)+IF(ISNUMBER(SEARCH(MAP_TNHN!C105&amp;" (2 tiết)",'PL11'!$S$7)),1,0)+IF(ISNUMBER(SEARCH(MAP_TNHN!C105&amp;" (2 tiết)",'PL11'!$S$8)),1,0)+IF(ISNUMBER(SEARCH(MAP_TNHN!C105&amp;" (2 tiết)",'PL11'!$S$9)),1,0)+IF(ISNUMBER(SEARCH(MAP_TNHN!C105&amp;" (2 tiết)",'PL11'!$S$10)),1,0)+IF(ISNUMBER(SEARCH(MAP_TNHN!C105&amp;" (2 tiết)",'PL11'!$S$11)),1,0)+IF(ISNUMBER(SEARCH(MAP_TNHN!C105&amp;" (2 tiết)",'PL11'!$S$12)),1,0)+IF(ISNUMBER(SEARCH(MAP_TNHN!C105&amp;" (2 tiết)",'PL11'!$S$13)),1,0)+IF(ISNUMBER(SEARCH(MAP_TNHN!C105&amp;" (2 tiết)",'PL11'!$S$14)),1,0)+IF(ISNUMBER(SEARCH(MAP_TNHN!C105&amp;" (2 tiết)",'PL11'!$S$15)),1,0)+IF(ISNUMBER(SEARCH(MAP_TNHN!C105&amp;" (2 tiết)",'PL11'!$S$16)),1,0)+IF(ISNUMBER(SEARCH(MAP_TNHN!C105&amp;" (2 tiết)",'PL11'!$S$17)),1,0)+IF(ISNUMBER(SEARCH(MAP_TNHN!C105&amp;" (2 tiết)",'PL11'!$S$18)),1,0))))</f>
        <v>1</v>
      </c>
      <c r="AY105">
        <f>IF(S105="",0,IF(MAP_TNHN!D105="",S105*3,S105*3-2*(IF(ISNUMBER(SEARCH(MAP_TNHN!D105&amp;" (1 tiết)",'PL10'!$S$5)),1,0)+IF(ISNUMBER(SEARCH(MAP_TNHN!D105&amp;" (1 tiết)",'PL10'!$S$6)),1,0)+IF(ISNUMBER(SEARCH(MAP_TNHN!D105&amp;" (1 tiết)",'PL10'!$S$7)),1,0)+IF(ISNUMBER(SEARCH(MAP_TNHN!D105&amp;" (1 tiết)",'PL10'!$S$8)),1,0)+IF(ISNUMBER(SEARCH(MAP_TNHN!D105&amp;" (1 tiết)",'PL10'!$S$9)),1,0)+IF(ISNUMBER(SEARCH(MAP_TNHN!D105&amp;" (1 tiết)",'PL10'!$S$10)),1,0)+IF(ISNUMBER(SEARCH(MAP_TNHN!D105&amp;" (1 tiết)",'PL10'!$S$11)),1,0)+IF(ISNUMBER(SEARCH(MAP_TNHN!D105&amp;" (1 tiết)",'PL10'!$S$12)),1,0)+IF(ISNUMBER(SEARCH(MAP_TNHN!D105&amp;" (1 tiết)",'PL10'!$S$13)),1,0)+IF(ISNUMBER(SEARCH(MAP_TNHN!D105&amp;" (1 tiết)",'PL10'!$S$14)),1,0)+IF(ISNUMBER(SEARCH(MAP_TNHN!D105&amp;" (1 tiết)",'PL10'!$S$15)),1,0)+IF(ISNUMBER(SEARCH(MAP_TNHN!D105&amp;" (1 tiết)",'PL10'!$S$16)),1,0)+IF(ISNUMBER(SEARCH(MAP_TNHN!D105&amp;" (1 tiết)",'PL10'!$S$17)),1,0)+IF(ISNUMBER(SEARCH(MAP_TNHN!D105&amp;" (1 tiết)",'PL10'!$S$18)),1,0)+IF(ISNUMBER(SEARCH(MAP_TNHN!D105&amp;" (1 tiết)",'PL10'!$S$19)),1,0)+IF(ISNUMBER(SEARCH(MAP_TNHN!D105&amp;" (1 tiết)",'PL10'!$S$20)),1,0)+IF(ISNUMBER(SEARCH(MAP_TNHN!D105&amp;" (1 tiết)",'PL10'!$S$21)),1,0)+IF(ISNUMBER(SEARCH(MAP_TNHN!D105&amp;" (1 tiết)",'PL10'!$S$22)),1,0)+IF(ISNUMBER(SEARCH(MAP_TNHN!D105&amp;" (1 tiết)",'PL10'!$S$23)),1,0)+IF(ISNUMBER(SEARCH(MAP_TNHN!D105&amp;" (1 tiết)",'PL10'!$S$24)),1,0)+IF(ISNUMBER(SEARCH(MAP_TNHN!D105&amp;" (1 tiết)",'PL10'!$S$25)),1,0))-(IF(ISNUMBER(SEARCH(MAP_TNHN!D105&amp;" (2 tiết)",'PL10'!$S$5)),1,0)+IF(ISNUMBER(SEARCH(MAP_TNHN!D105&amp;" (2 tiết)",'PL10'!$S$6)),1,0)+IF(ISNUMBER(SEARCH(MAP_TNHN!D105&amp;" (2 tiết)",'PL10'!$S$7)),1,0)+IF(ISNUMBER(SEARCH(MAP_TNHN!D105&amp;" (2 tiết)",'PL10'!$S$8)),1,0)+IF(ISNUMBER(SEARCH(MAP_TNHN!D105&amp;" (2 tiết)",'PL10'!$S$9)),1,0)+IF(ISNUMBER(SEARCH(MAP_TNHN!D105&amp;" (2 tiết)",'PL10'!$S$10)),1,0)+IF(ISNUMBER(SEARCH(MAP_TNHN!D105&amp;" (2 tiết)",'PL10'!$S$11)),1,0)+IF(ISNUMBER(SEARCH(MAP_TNHN!D105&amp;" (2 tiết)",'PL10'!$S$12)),1,0)+IF(ISNUMBER(SEARCH(MAP_TNHN!D105&amp;" (2 tiết)",'PL10'!$S$13)),1,0)+IF(ISNUMBER(SEARCH(MAP_TNHN!D105&amp;" (2 tiết)",'PL10'!$S$14)),1,0)+IF(ISNUMBER(SEARCH(MAP_TNHN!D105&amp;" (2 tiết)",'PL10'!$S$15)),1,0)+IF(ISNUMBER(SEARCH(MAP_TNHN!D105&amp;" (2 tiết)",'PL10'!$S$16)),1,0)+IF(ISNUMBER(SEARCH(MAP_TNHN!D105&amp;" (2 tiết)",'PL10'!$S$17)),1,0)+IF(ISNUMBER(SEARCH(MAP_TNHN!D105&amp;" (2 tiết)",'PL10'!$S$18)),1,0)+IF(ISNUMBER(SEARCH(MAP_TNHN!D105&amp;" (2 tiết)",'PL10'!$S$19)),1,0)+IF(ISNUMBER(SEARCH(MAP_TNHN!D105&amp;" (2 tiết)",'PL10'!$S$20)),1,0)+IF(ISNUMBER(SEARCH(MAP_TNHN!D105&amp;" (2 tiết)",'PL10'!$S$21)),1,0)+IF(ISNUMBER(SEARCH(MAP_TNHN!D105&amp;" (2 tiết)",'PL10'!$S$22)),1,0)+IF(ISNUMBER(SEARCH(MAP_TNHN!D105&amp;" (2 tiết)",'PL10'!$S$23)),1,0)+IF(ISNUMBER(SEARCH(MAP_TNHN!D105&amp;" (2 tiết)",'PL10'!$S$24)),1,0)+IF(ISNUMBER(SEARCH(MAP_TNHN!D105&amp;" (2 tiết)",'PL10'!$S$25)),1,0))))</f>
        <v>2</v>
      </c>
    </row>
    <row r="106" spans="1:51" x14ac:dyDescent="0.35">
      <c r="A106" s="313"/>
      <c r="B106" s="8">
        <v>11</v>
      </c>
      <c r="C106" s="9" t="s">
        <v>225</v>
      </c>
      <c r="D106" s="20"/>
      <c r="E106" s="10"/>
      <c r="F106" s="10"/>
      <c r="G106" s="10"/>
      <c r="H106" s="10"/>
      <c r="I106" s="159"/>
      <c r="J106" s="10">
        <v>2</v>
      </c>
      <c r="K106" s="6"/>
      <c r="L106" s="6"/>
      <c r="M106" s="6"/>
      <c r="N106" s="139">
        <v>1</v>
      </c>
      <c r="O106" s="6">
        <v>3</v>
      </c>
      <c r="P106" s="42"/>
      <c r="Q106" s="42"/>
      <c r="R106" s="42"/>
      <c r="S106" s="216">
        <v>1</v>
      </c>
      <c r="T106" s="215">
        <v>10</v>
      </c>
      <c r="U106" s="11">
        <f>E106*('Phân tiết'!$M$18/4)+G106*('Phân tiết'!$M$21/3)+H106*'Phân tiết'!$L$26+AW106+J106*'Phân tiết'!$M$20+K106*('Phân tiết'!$I$18/4)+M106*('Phân tiết'!$I$21/3)+AX106+O106*'Phân tiết'!$I$20+P106*('Phân tiết'!$E$18/4)+R106*('Phân tiết'!$E$21/3)+AY106+T106*'Phân tiết'!$E$20</f>
        <v>19</v>
      </c>
      <c r="V106" s="8">
        <f t="shared" si="34"/>
        <v>0</v>
      </c>
      <c r="W106" s="6"/>
      <c r="X106" s="6"/>
      <c r="Y106" s="8"/>
      <c r="Z106" s="43">
        <f t="shared" si="35"/>
        <v>19</v>
      </c>
      <c r="AA106" s="34">
        <f>Z106-17</f>
        <v>2</v>
      </c>
      <c r="AB106" s="8"/>
      <c r="AC106" s="8"/>
      <c r="AD106" s="6">
        <f t="shared" si="25"/>
        <v>0</v>
      </c>
      <c r="AE106" s="8"/>
      <c r="AF106" s="8"/>
      <c r="AG106" s="6">
        <f t="shared" si="26"/>
        <v>0</v>
      </c>
      <c r="AH106" s="8"/>
      <c r="AI106" s="8"/>
      <c r="AJ106" s="6">
        <f t="shared" si="37"/>
        <v>0</v>
      </c>
      <c r="AK106" s="6">
        <f t="shared" si="27"/>
        <v>66</v>
      </c>
      <c r="AL106" s="8"/>
      <c r="AM106" s="8"/>
      <c r="AN106" s="8"/>
      <c r="AO106" s="8"/>
      <c r="AP106" s="8"/>
      <c r="AQ106" s="8"/>
      <c r="AR106" s="8"/>
      <c r="AS106" s="8"/>
      <c r="AT106" s="8" t="s">
        <v>46</v>
      </c>
      <c r="AU106" s="8"/>
      <c r="AV106" s="8" t="s">
        <v>194</v>
      </c>
      <c r="AW106">
        <f>IF(I106="",0,IF(MAP_TNHN!B106="",I106*3,I106*3-2*(IF(ISNUMBER(SEARCH(MAP_TNHN!B106&amp;" (1 tiết)",'PL12'!$S$5)),1,0)+IF(ISNUMBER(SEARCH(MAP_TNHN!B106&amp;" (1 tiết)",'PL12'!$S$6)),1,0)+IF(ISNUMBER(SEARCH(MAP_TNHN!B106&amp;" (1 tiết)",'PL12'!$S$7)),1,0)+IF(ISNUMBER(SEARCH(MAP_TNHN!B106&amp;" (1 tiết)",'PL12'!$S$8)),1,0)+IF(ISNUMBER(SEARCH(MAP_TNHN!B106&amp;" (1 tiết)",'PL12'!$S$9)),1,0)+IF(ISNUMBER(SEARCH(MAP_TNHN!B106&amp;" (1 tiết)",'PL12'!$S$10)),1,0)+IF(ISNUMBER(SEARCH(MAP_TNHN!B106&amp;" (1 tiết)",'PL12'!$S$11)),1,0)+IF(ISNUMBER(SEARCH(MAP_TNHN!B106&amp;" (1 tiết)",'PL12'!$S$12)),1,0)+IF(ISNUMBER(SEARCH(MAP_TNHN!B106&amp;" (1 tiết)",'PL12'!$S$13)),1,0)+IF(ISNUMBER(SEARCH(MAP_TNHN!B106&amp;" (1 tiết)",'PL12'!$S$14)),1,0)+IF(ISNUMBER(SEARCH(MAP_TNHN!B106&amp;" (1 tiết)",'PL12'!$S$15)),1,0)+IF(ISNUMBER(SEARCH(MAP_TNHN!B106&amp;" (1 tiết)",'PL12'!$S$16)),1,0)+IF(ISNUMBER(SEARCH(MAP_TNHN!B106&amp;" (1 tiết)",'PL12'!$S$17)),1,0)+IF(ISNUMBER(SEARCH(MAP_TNHN!B106&amp;" (1 tiết)",'PL12'!$S$18)),1,0)+IF(ISNUMBER(SEARCH(MAP_TNHN!B106&amp;" (1 tiết)",'PL12'!$S$19)),1,0))-(IF(ISNUMBER(SEARCH(MAP_TNHN!B106&amp;" (2 tiết)",'PL12'!$S$5)),1,0)+IF(ISNUMBER(SEARCH(MAP_TNHN!B106&amp;" (2 tiết)",'PL12'!$S$6)),1,0)+IF(ISNUMBER(SEARCH(MAP_TNHN!B106&amp;" (2 tiết)",'PL12'!$S$7)),1,0)+IF(ISNUMBER(SEARCH(MAP_TNHN!B106&amp;" (2 tiết)",'PL12'!$S$8)),1,0)+IF(ISNUMBER(SEARCH(MAP_TNHN!B106&amp;" (2 tiết)",'PL12'!$S$9)),1,0)+IF(ISNUMBER(SEARCH(MAP_TNHN!B106&amp;" (2 tiết)",'PL12'!$S$10)),1,0)+IF(ISNUMBER(SEARCH(MAP_TNHN!B106&amp;" (2 tiết)",'PL12'!$S$11)),1,0)+IF(ISNUMBER(SEARCH(MAP_TNHN!B106&amp;" (2 tiết)",'PL12'!$S$12)),1,0)+IF(ISNUMBER(SEARCH(MAP_TNHN!B106&amp;" (2 tiết)",'PL12'!$S$13)),1,0)+IF(ISNUMBER(SEARCH(MAP_TNHN!B106&amp;" (2 tiết)",'PL12'!$S$14)),1,0)+IF(ISNUMBER(SEARCH(MAP_TNHN!B106&amp;" (2 tiết)",'PL12'!$S$15)),1,0)+IF(ISNUMBER(SEARCH(MAP_TNHN!B106&amp;" (2 tiết)",'PL12'!$S$16)),1,0)+IF(ISNUMBER(SEARCH(MAP_TNHN!B106&amp;" (2 tiết)",'PL12'!$S$17)),1,0)+IF(ISNUMBER(SEARCH(MAP_TNHN!B106&amp;" (2 tiết)",'PL12'!$S$18)),1,0)+IF(ISNUMBER(SEARCH(MAP_TNHN!B106&amp;" (2 tiết)",'PL12'!$S$19)),1,0))))</f>
        <v>0</v>
      </c>
      <c r="AX106">
        <f>IF(N106="",0,IF(MAP_TNHN!C106="",N106*3,N106*3-2*(IF(ISNUMBER(SEARCH(MAP_TNHN!C106&amp;" (1 tiết)",'PL11'!$S$5)),1,0)+IF(ISNUMBER(SEARCH(MAP_TNHN!C106&amp;" (1 tiết)",'PL11'!$S$6)),1,0)+IF(ISNUMBER(SEARCH(MAP_TNHN!C106&amp;" (1 tiết)",'PL11'!$S$7)),1,0)+IF(ISNUMBER(SEARCH(MAP_TNHN!C106&amp;" (1 tiết)",'PL11'!$S$8)),1,0)+IF(ISNUMBER(SEARCH(MAP_TNHN!C106&amp;" (1 tiết)",'PL11'!$S$9)),1,0)+IF(ISNUMBER(SEARCH(MAP_TNHN!C106&amp;" (1 tiết)",'PL11'!$S$10)),1,0)+IF(ISNUMBER(SEARCH(MAP_TNHN!C106&amp;" (1 tiết)",'PL11'!$S$11)),1,0)+IF(ISNUMBER(SEARCH(MAP_TNHN!C106&amp;" (1 tiết)",'PL11'!$S$12)),1,0)+IF(ISNUMBER(SEARCH(MAP_TNHN!C106&amp;" (1 tiết)",'PL11'!$S$13)),1,0)+IF(ISNUMBER(SEARCH(MAP_TNHN!C106&amp;" (1 tiết)",'PL11'!$S$14)),1,0)+IF(ISNUMBER(SEARCH(MAP_TNHN!C106&amp;" (1 tiết)",'PL11'!$S$15)),1,0)+IF(ISNUMBER(SEARCH(MAP_TNHN!C106&amp;" (1 tiết)",'PL11'!$S$16)),1,0)+IF(ISNUMBER(SEARCH(MAP_TNHN!C106&amp;" (1 tiết)",'PL11'!$S$17)),1,0)+IF(ISNUMBER(SEARCH(MAP_TNHN!C106&amp;" (1 tiết)",'PL11'!$S$18)),1,0))-(IF(ISNUMBER(SEARCH(MAP_TNHN!C106&amp;" (2 tiết)",'PL11'!$S$5)),1,0)+IF(ISNUMBER(SEARCH(MAP_TNHN!C106&amp;" (2 tiết)",'PL11'!$S$6)),1,0)+IF(ISNUMBER(SEARCH(MAP_TNHN!C106&amp;" (2 tiết)",'PL11'!$S$7)),1,0)+IF(ISNUMBER(SEARCH(MAP_TNHN!C106&amp;" (2 tiết)",'PL11'!$S$8)),1,0)+IF(ISNUMBER(SEARCH(MAP_TNHN!C106&amp;" (2 tiết)",'PL11'!$S$9)),1,0)+IF(ISNUMBER(SEARCH(MAP_TNHN!C106&amp;" (2 tiết)",'PL11'!$S$10)),1,0)+IF(ISNUMBER(SEARCH(MAP_TNHN!C106&amp;" (2 tiết)",'PL11'!$S$11)),1,0)+IF(ISNUMBER(SEARCH(MAP_TNHN!C106&amp;" (2 tiết)",'PL11'!$S$12)),1,0)+IF(ISNUMBER(SEARCH(MAP_TNHN!C106&amp;" (2 tiết)",'PL11'!$S$13)),1,0)+IF(ISNUMBER(SEARCH(MAP_TNHN!C106&amp;" (2 tiết)",'PL11'!$S$14)),1,0)+IF(ISNUMBER(SEARCH(MAP_TNHN!C106&amp;" (2 tiết)",'PL11'!$S$15)),1,0)+IF(ISNUMBER(SEARCH(MAP_TNHN!C106&amp;" (2 tiết)",'PL11'!$S$16)),1,0)+IF(ISNUMBER(SEARCH(MAP_TNHN!C106&amp;" (2 tiết)",'PL11'!$S$17)),1,0)+IF(ISNUMBER(SEARCH(MAP_TNHN!C106&amp;" (2 tiết)",'PL11'!$S$18)),1,0))))</f>
        <v>2</v>
      </c>
      <c r="AY106">
        <f>IF(S106="",0,IF(MAP_TNHN!D106="",S106*3,S106*3-2*(IF(ISNUMBER(SEARCH(MAP_TNHN!D106&amp;" (1 tiết)",'PL10'!$S$5)),1,0)+IF(ISNUMBER(SEARCH(MAP_TNHN!D106&amp;" (1 tiết)",'PL10'!$S$6)),1,0)+IF(ISNUMBER(SEARCH(MAP_TNHN!D106&amp;" (1 tiết)",'PL10'!$S$7)),1,0)+IF(ISNUMBER(SEARCH(MAP_TNHN!D106&amp;" (1 tiết)",'PL10'!$S$8)),1,0)+IF(ISNUMBER(SEARCH(MAP_TNHN!D106&amp;" (1 tiết)",'PL10'!$S$9)),1,0)+IF(ISNUMBER(SEARCH(MAP_TNHN!D106&amp;" (1 tiết)",'PL10'!$S$10)),1,0)+IF(ISNUMBER(SEARCH(MAP_TNHN!D106&amp;" (1 tiết)",'PL10'!$S$11)),1,0)+IF(ISNUMBER(SEARCH(MAP_TNHN!D106&amp;" (1 tiết)",'PL10'!$S$12)),1,0)+IF(ISNUMBER(SEARCH(MAP_TNHN!D106&amp;" (1 tiết)",'PL10'!$S$13)),1,0)+IF(ISNUMBER(SEARCH(MAP_TNHN!D106&amp;" (1 tiết)",'PL10'!$S$14)),1,0)+IF(ISNUMBER(SEARCH(MAP_TNHN!D106&amp;" (1 tiết)",'PL10'!$S$15)),1,0)+IF(ISNUMBER(SEARCH(MAP_TNHN!D106&amp;" (1 tiết)",'PL10'!$S$16)),1,0)+IF(ISNUMBER(SEARCH(MAP_TNHN!D106&amp;" (1 tiết)",'PL10'!$S$17)),1,0)+IF(ISNUMBER(SEARCH(MAP_TNHN!D106&amp;" (1 tiết)",'PL10'!$S$18)),1,0)+IF(ISNUMBER(SEARCH(MAP_TNHN!D106&amp;" (1 tiết)",'PL10'!$S$19)),1,0)+IF(ISNUMBER(SEARCH(MAP_TNHN!D106&amp;" (1 tiết)",'PL10'!$S$20)),1,0)+IF(ISNUMBER(SEARCH(MAP_TNHN!D106&amp;" (1 tiết)",'PL10'!$S$21)),1,0)+IF(ISNUMBER(SEARCH(MAP_TNHN!D106&amp;" (1 tiết)",'PL10'!$S$22)),1,0)+IF(ISNUMBER(SEARCH(MAP_TNHN!D106&amp;" (1 tiết)",'PL10'!$S$23)),1,0)+IF(ISNUMBER(SEARCH(MAP_TNHN!D106&amp;" (1 tiết)",'PL10'!$S$24)),1,0)+IF(ISNUMBER(SEARCH(MAP_TNHN!D106&amp;" (1 tiết)",'PL10'!$S$25)),1,0))-(IF(ISNUMBER(SEARCH(MAP_TNHN!D106&amp;" (2 tiết)",'PL10'!$S$5)),1,0)+IF(ISNUMBER(SEARCH(MAP_TNHN!D106&amp;" (2 tiết)",'PL10'!$S$6)),1,0)+IF(ISNUMBER(SEARCH(MAP_TNHN!D106&amp;" (2 tiết)",'PL10'!$S$7)),1,0)+IF(ISNUMBER(SEARCH(MAP_TNHN!D106&amp;" (2 tiết)",'PL10'!$S$8)),1,0)+IF(ISNUMBER(SEARCH(MAP_TNHN!D106&amp;" (2 tiết)",'PL10'!$S$9)),1,0)+IF(ISNUMBER(SEARCH(MAP_TNHN!D106&amp;" (2 tiết)",'PL10'!$S$10)),1,0)+IF(ISNUMBER(SEARCH(MAP_TNHN!D106&amp;" (2 tiết)",'PL10'!$S$11)),1,0)+IF(ISNUMBER(SEARCH(MAP_TNHN!D106&amp;" (2 tiết)",'PL10'!$S$12)),1,0)+IF(ISNUMBER(SEARCH(MAP_TNHN!D106&amp;" (2 tiết)",'PL10'!$S$13)),1,0)+IF(ISNUMBER(SEARCH(MAP_TNHN!D106&amp;" (2 tiết)",'PL10'!$S$14)),1,0)+IF(ISNUMBER(SEARCH(MAP_TNHN!D106&amp;" (2 tiết)",'PL10'!$S$15)),1,0)+IF(ISNUMBER(SEARCH(MAP_TNHN!D106&amp;" (2 tiết)",'PL10'!$S$16)),1,0)+IF(ISNUMBER(SEARCH(MAP_TNHN!D106&amp;" (2 tiết)",'PL10'!$S$17)),1,0)+IF(ISNUMBER(SEARCH(MAP_TNHN!D106&amp;" (2 tiết)",'PL10'!$S$18)),1,0)+IF(ISNUMBER(SEARCH(MAP_TNHN!D106&amp;" (2 tiết)",'PL10'!$S$19)),1,0)+IF(ISNUMBER(SEARCH(MAP_TNHN!D106&amp;" (2 tiết)",'PL10'!$S$20)),1,0)+IF(ISNUMBER(SEARCH(MAP_TNHN!D106&amp;" (2 tiết)",'PL10'!$S$21)),1,0)+IF(ISNUMBER(SEARCH(MAP_TNHN!D106&amp;" (2 tiết)",'PL10'!$S$22)),1,0)+IF(ISNUMBER(SEARCH(MAP_TNHN!D106&amp;" (2 tiết)",'PL10'!$S$23)),1,0)+IF(ISNUMBER(SEARCH(MAP_TNHN!D106&amp;" (2 tiết)",'PL10'!$S$24)),1,0)+IF(ISNUMBER(SEARCH(MAP_TNHN!D106&amp;" (2 tiết)",'PL10'!$S$25)),1,0))))</f>
        <v>2</v>
      </c>
    </row>
    <row r="107" spans="1:51" ht="60" x14ac:dyDescent="0.35">
      <c r="A107" s="313"/>
      <c r="B107" s="8">
        <v>12</v>
      </c>
      <c r="C107" s="9" t="s">
        <v>226</v>
      </c>
      <c r="D107" s="20"/>
      <c r="E107" s="10"/>
      <c r="F107" s="10"/>
      <c r="G107" s="10"/>
      <c r="H107" s="10"/>
      <c r="I107" s="159"/>
      <c r="J107" s="10"/>
      <c r="K107" s="6"/>
      <c r="L107" s="6"/>
      <c r="M107" s="6"/>
      <c r="N107" s="139"/>
      <c r="O107" s="6"/>
      <c r="P107" s="42"/>
      <c r="Q107" s="42"/>
      <c r="R107" s="42"/>
      <c r="S107" s="213">
        <v>1</v>
      </c>
      <c r="T107" s="42"/>
      <c r="U107" s="11">
        <f>E107*('Phân tiết'!$M$18/4)+G107*('Phân tiết'!$M$21/3)+H107*'Phân tiết'!$L$26+AW107+J107*'Phân tiết'!$M$20+K107*('Phân tiết'!$I$18/4)+M107*('Phân tiết'!$I$21/3)+AX107+O107*'Phân tiết'!$I$20+P107*('Phân tiết'!$E$18/4)+R107*('Phân tiết'!$E$21/3)+AY107+T107*'Phân tiết'!$E$20</f>
        <v>2</v>
      </c>
      <c r="V107" s="8">
        <f t="shared" si="34"/>
        <v>0</v>
      </c>
      <c r="W107" s="6" t="s">
        <v>227</v>
      </c>
      <c r="X107" s="6" t="s">
        <v>228</v>
      </c>
      <c r="Y107" s="8">
        <v>15</v>
      </c>
      <c r="Z107" s="43">
        <f t="shared" si="35"/>
        <v>17</v>
      </c>
      <c r="AA107" s="34">
        <f>Z107-17</f>
        <v>0</v>
      </c>
      <c r="AB107" s="8"/>
      <c r="AC107" s="8"/>
      <c r="AD107" s="6">
        <f t="shared" ref="AD107" si="38">AB107*AC107*1.5</f>
        <v>0</v>
      </c>
      <c r="AE107" s="8"/>
      <c r="AF107" s="8"/>
      <c r="AG107" s="6">
        <f t="shared" si="26"/>
        <v>0</v>
      </c>
      <c r="AH107" s="8"/>
      <c r="AI107" s="8"/>
      <c r="AJ107" s="6">
        <f t="shared" si="37"/>
        <v>0</v>
      </c>
      <c r="AK107" s="6">
        <f t="shared" si="27"/>
        <v>0</v>
      </c>
      <c r="AL107" s="8"/>
      <c r="AM107" s="8"/>
      <c r="AN107" s="8"/>
      <c r="AO107" s="8"/>
      <c r="AP107" s="8"/>
      <c r="AQ107" s="9"/>
      <c r="AR107" s="9"/>
      <c r="AS107" s="8"/>
      <c r="AT107" s="8"/>
      <c r="AU107" s="8"/>
      <c r="AV107" s="8" t="s">
        <v>229</v>
      </c>
      <c r="AW107">
        <f>IF(I107="",0,IF(MAP_TNHN!B107="",I107*3,I107*3-2*(IF(ISNUMBER(SEARCH(MAP_TNHN!B107&amp;" (1 tiết)",'PL12'!$S$5)),1,0)+IF(ISNUMBER(SEARCH(MAP_TNHN!B107&amp;" (1 tiết)",'PL12'!$S$6)),1,0)+IF(ISNUMBER(SEARCH(MAP_TNHN!B107&amp;" (1 tiết)",'PL12'!$S$7)),1,0)+IF(ISNUMBER(SEARCH(MAP_TNHN!B107&amp;" (1 tiết)",'PL12'!$S$8)),1,0)+IF(ISNUMBER(SEARCH(MAP_TNHN!B107&amp;" (1 tiết)",'PL12'!$S$9)),1,0)+IF(ISNUMBER(SEARCH(MAP_TNHN!B107&amp;" (1 tiết)",'PL12'!$S$10)),1,0)+IF(ISNUMBER(SEARCH(MAP_TNHN!B107&amp;" (1 tiết)",'PL12'!$S$11)),1,0)+IF(ISNUMBER(SEARCH(MAP_TNHN!B107&amp;" (1 tiết)",'PL12'!$S$12)),1,0)+IF(ISNUMBER(SEARCH(MAP_TNHN!B107&amp;" (1 tiết)",'PL12'!$S$13)),1,0)+IF(ISNUMBER(SEARCH(MAP_TNHN!B107&amp;" (1 tiết)",'PL12'!$S$14)),1,0)+IF(ISNUMBER(SEARCH(MAP_TNHN!B107&amp;" (1 tiết)",'PL12'!$S$15)),1,0)+IF(ISNUMBER(SEARCH(MAP_TNHN!B107&amp;" (1 tiết)",'PL12'!$S$16)),1,0)+IF(ISNUMBER(SEARCH(MAP_TNHN!B107&amp;" (1 tiết)",'PL12'!$S$17)),1,0)+IF(ISNUMBER(SEARCH(MAP_TNHN!B107&amp;" (1 tiết)",'PL12'!$S$18)),1,0)+IF(ISNUMBER(SEARCH(MAP_TNHN!B107&amp;" (1 tiết)",'PL12'!$S$19)),1,0))-(IF(ISNUMBER(SEARCH(MAP_TNHN!B107&amp;" (2 tiết)",'PL12'!$S$5)),1,0)+IF(ISNUMBER(SEARCH(MAP_TNHN!B107&amp;" (2 tiết)",'PL12'!$S$6)),1,0)+IF(ISNUMBER(SEARCH(MAP_TNHN!B107&amp;" (2 tiết)",'PL12'!$S$7)),1,0)+IF(ISNUMBER(SEARCH(MAP_TNHN!B107&amp;" (2 tiết)",'PL12'!$S$8)),1,0)+IF(ISNUMBER(SEARCH(MAP_TNHN!B107&amp;" (2 tiết)",'PL12'!$S$9)),1,0)+IF(ISNUMBER(SEARCH(MAP_TNHN!B107&amp;" (2 tiết)",'PL12'!$S$10)),1,0)+IF(ISNUMBER(SEARCH(MAP_TNHN!B107&amp;" (2 tiết)",'PL12'!$S$11)),1,0)+IF(ISNUMBER(SEARCH(MAP_TNHN!B107&amp;" (2 tiết)",'PL12'!$S$12)),1,0)+IF(ISNUMBER(SEARCH(MAP_TNHN!B107&amp;" (2 tiết)",'PL12'!$S$13)),1,0)+IF(ISNUMBER(SEARCH(MAP_TNHN!B107&amp;" (2 tiết)",'PL12'!$S$14)),1,0)+IF(ISNUMBER(SEARCH(MAP_TNHN!B107&amp;" (2 tiết)",'PL12'!$S$15)),1,0)+IF(ISNUMBER(SEARCH(MAP_TNHN!B107&amp;" (2 tiết)",'PL12'!$S$16)),1,0)+IF(ISNUMBER(SEARCH(MAP_TNHN!B107&amp;" (2 tiết)",'PL12'!$S$17)),1,0)+IF(ISNUMBER(SEARCH(MAP_TNHN!B107&amp;" (2 tiết)",'PL12'!$S$18)),1,0)+IF(ISNUMBER(SEARCH(MAP_TNHN!B107&amp;" (2 tiết)",'PL12'!$S$19)),1,0))))</f>
        <v>0</v>
      </c>
      <c r="AX107">
        <f>IF(N107="",0,IF(MAP_TNHN!C107="",N107*3,N107*3-2*(IF(ISNUMBER(SEARCH(MAP_TNHN!C107&amp;" (1 tiết)",'PL11'!$S$5)),1,0)+IF(ISNUMBER(SEARCH(MAP_TNHN!C107&amp;" (1 tiết)",'PL11'!$S$6)),1,0)+IF(ISNUMBER(SEARCH(MAP_TNHN!C107&amp;" (1 tiết)",'PL11'!$S$7)),1,0)+IF(ISNUMBER(SEARCH(MAP_TNHN!C107&amp;" (1 tiết)",'PL11'!$S$8)),1,0)+IF(ISNUMBER(SEARCH(MAP_TNHN!C107&amp;" (1 tiết)",'PL11'!$S$9)),1,0)+IF(ISNUMBER(SEARCH(MAP_TNHN!C107&amp;" (1 tiết)",'PL11'!$S$10)),1,0)+IF(ISNUMBER(SEARCH(MAP_TNHN!C107&amp;" (1 tiết)",'PL11'!$S$11)),1,0)+IF(ISNUMBER(SEARCH(MAP_TNHN!C107&amp;" (1 tiết)",'PL11'!$S$12)),1,0)+IF(ISNUMBER(SEARCH(MAP_TNHN!C107&amp;" (1 tiết)",'PL11'!$S$13)),1,0)+IF(ISNUMBER(SEARCH(MAP_TNHN!C107&amp;" (1 tiết)",'PL11'!$S$14)),1,0)+IF(ISNUMBER(SEARCH(MAP_TNHN!C107&amp;" (1 tiết)",'PL11'!$S$15)),1,0)+IF(ISNUMBER(SEARCH(MAP_TNHN!C107&amp;" (1 tiết)",'PL11'!$S$16)),1,0)+IF(ISNUMBER(SEARCH(MAP_TNHN!C107&amp;" (1 tiết)",'PL11'!$S$17)),1,0)+IF(ISNUMBER(SEARCH(MAP_TNHN!C107&amp;" (1 tiết)",'PL11'!$S$18)),1,0))-(IF(ISNUMBER(SEARCH(MAP_TNHN!C107&amp;" (2 tiết)",'PL11'!$S$5)),1,0)+IF(ISNUMBER(SEARCH(MAP_TNHN!C107&amp;" (2 tiết)",'PL11'!$S$6)),1,0)+IF(ISNUMBER(SEARCH(MAP_TNHN!C107&amp;" (2 tiết)",'PL11'!$S$7)),1,0)+IF(ISNUMBER(SEARCH(MAP_TNHN!C107&amp;" (2 tiết)",'PL11'!$S$8)),1,0)+IF(ISNUMBER(SEARCH(MAP_TNHN!C107&amp;" (2 tiết)",'PL11'!$S$9)),1,0)+IF(ISNUMBER(SEARCH(MAP_TNHN!C107&amp;" (2 tiết)",'PL11'!$S$10)),1,0)+IF(ISNUMBER(SEARCH(MAP_TNHN!C107&amp;" (2 tiết)",'PL11'!$S$11)),1,0)+IF(ISNUMBER(SEARCH(MAP_TNHN!C107&amp;" (2 tiết)",'PL11'!$S$12)),1,0)+IF(ISNUMBER(SEARCH(MAP_TNHN!C107&amp;" (2 tiết)",'PL11'!$S$13)),1,0)+IF(ISNUMBER(SEARCH(MAP_TNHN!C107&amp;" (2 tiết)",'PL11'!$S$14)),1,0)+IF(ISNUMBER(SEARCH(MAP_TNHN!C107&amp;" (2 tiết)",'PL11'!$S$15)),1,0)+IF(ISNUMBER(SEARCH(MAP_TNHN!C107&amp;" (2 tiết)",'PL11'!$S$16)),1,0)+IF(ISNUMBER(SEARCH(MAP_TNHN!C107&amp;" (2 tiết)",'PL11'!$S$17)),1,0)+IF(ISNUMBER(SEARCH(MAP_TNHN!C107&amp;" (2 tiết)",'PL11'!$S$18)),1,0))))</f>
        <v>0</v>
      </c>
      <c r="AY107">
        <v>2</v>
      </c>
    </row>
    <row r="108" spans="1:51" s="89" customFormat="1" x14ac:dyDescent="0.35">
      <c r="A108" s="88"/>
      <c r="B108" s="85"/>
      <c r="C108" s="95" t="s">
        <v>65</v>
      </c>
      <c r="D108" s="85"/>
      <c r="E108" s="85">
        <f>SUM(E96:E107)</f>
        <v>8</v>
      </c>
      <c r="F108" s="85"/>
      <c r="G108" s="85">
        <f>SUM(G96:G107)</f>
        <v>8</v>
      </c>
      <c r="H108" s="85"/>
      <c r="I108" s="160"/>
      <c r="J108" s="85"/>
      <c r="K108" s="85">
        <f>SUM(K96:K107)</f>
        <v>9</v>
      </c>
      <c r="L108" s="85"/>
      <c r="M108" s="85">
        <f>SUM(M96:M107)</f>
        <v>5</v>
      </c>
      <c r="N108" s="160"/>
      <c r="O108" s="85"/>
      <c r="P108" s="85">
        <f>SUM(P96:P107)</f>
        <v>15</v>
      </c>
      <c r="Q108" s="85"/>
      <c r="R108" s="85">
        <f>SUM(R96:R107)</f>
        <v>8</v>
      </c>
      <c r="S108" s="160"/>
      <c r="T108" s="85"/>
      <c r="U108" s="87"/>
      <c r="V108" s="85"/>
      <c r="W108" s="85"/>
      <c r="X108" s="85"/>
      <c r="Y108" s="85"/>
      <c r="Z108" s="88"/>
      <c r="AA108" s="88"/>
      <c r="AB108" s="85"/>
      <c r="AC108" s="85"/>
      <c r="AD108" s="85"/>
      <c r="AE108" s="85"/>
      <c r="AF108" s="85"/>
      <c r="AG108" s="85"/>
      <c r="AH108" s="85"/>
      <c r="AI108" s="85"/>
      <c r="AJ108" s="85"/>
      <c r="AK108" s="85">
        <f t="shared" si="27"/>
        <v>0</v>
      </c>
      <c r="AL108" s="85"/>
      <c r="AM108" s="85"/>
      <c r="AN108" s="85"/>
      <c r="AO108" s="85"/>
      <c r="AP108" s="85"/>
      <c r="AQ108" s="86"/>
      <c r="AR108" s="86"/>
      <c r="AS108" s="85"/>
      <c r="AT108" s="85"/>
      <c r="AU108" s="85"/>
      <c r="AV108" s="85"/>
      <c r="AW108"/>
      <c r="AX108"/>
      <c r="AY108"/>
    </row>
    <row r="109" spans="1:51" x14ac:dyDescent="0.35">
      <c r="A109" s="309" t="s">
        <v>230</v>
      </c>
      <c r="B109" s="8">
        <v>1</v>
      </c>
      <c r="C109" s="9" t="s">
        <v>231</v>
      </c>
      <c r="D109" s="20"/>
      <c r="E109" s="10">
        <v>5</v>
      </c>
      <c r="F109" s="10"/>
      <c r="G109" s="10"/>
      <c r="H109" s="10"/>
      <c r="I109" s="159"/>
      <c r="J109" s="10"/>
      <c r="K109" s="6">
        <v>3</v>
      </c>
      <c r="L109" s="6"/>
      <c r="M109" s="6"/>
      <c r="N109" s="139"/>
      <c r="O109" s="6"/>
      <c r="P109" s="42">
        <v>2</v>
      </c>
      <c r="Q109" s="42"/>
      <c r="R109" s="42"/>
      <c r="S109" s="138"/>
      <c r="T109" s="42"/>
      <c r="U109" s="11">
        <f>E109*('Phân tiết'!$M$18/4)+G109*('Phân tiết'!$M$21/3)+H109*'Phân tiết'!$L$26+AW109+J109*'Phân tiết'!$M$20+K109*('Phân tiết'!$I$18/4)+M109*('Phân tiết'!$I$21/3)+AX109+O109*'Phân tiết'!$I$20+P109*('Phân tiết'!$E$18/4)+R109*('Phân tiết'!$E$21/3)+AY109+T109*'Phân tiết'!$E$20</f>
        <v>20</v>
      </c>
      <c r="V109" s="8">
        <f t="shared" ref="V109:V110" si="39">F109*4+L109*4+Q109*4</f>
        <v>0</v>
      </c>
      <c r="W109" s="6"/>
      <c r="X109" s="6"/>
      <c r="Y109" s="8">
        <v>2</v>
      </c>
      <c r="Z109" s="43">
        <f t="shared" ref="Z109:Z110" si="40">SUM(U109:Y109)</f>
        <v>22</v>
      </c>
      <c r="AA109" s="34">
        <f>Z109-17</f>
        <v>5</v>
      </c>
      <c r="AB109" s="8">
        <v>2</v>
      </c>
      <c r="AC109" s="8">
        <v>15</v>
      </c>
      <c r="AD109" s="6">
        <f t="shared" ref="AD109:AD111" si="41">AB109*AC109*1.5</f>
        <v>45</v>
      </c>
      <c r="AE109" s="8"/>
      <c r="AF109" s="8"/>
      <c r="AG109" s="6">
        <f t="shared" ref="AG109:AG111" si="42">AE109*AF109*1.5</f>
        <v>0</v>
      </c>
      <c r="AH109" s="8"/>
      <c r="AI109" s="8"/>
      <c r="AJ109" s="6">
        <f t="shared" ref="AJ109" si="43">AH109*AI109</f>
        <v>0</v>
      </c>
      <c r="AK109" s="6">
        <f t="shared" ref="AK109:AK111" si="44">AA109*33+AD109+AG109+AJ109</f>
        <v>210</v>
      </c>
      <c r="AL109" s="8" t="s">
        <v>121</v>
      </c>
      <c r="AM109" s="8"/>
      <c r="AN109" s="8" t="s">
        <v>106</v>
      </c>
      <c r="AO109" s="8" t="s">
        <v>46</v>
      </c>
      <c r="AP109" s="8" t="s">
        <v>46</v>
      </c>
      <c r="AQ109" s="9" t="s">
        <v>46</v>
      </c>
      <c r="AR109" s="8" t="s">
        <v>46</v>
      </c>
      <c r="AS109" s="8"/>
      <c r="AT109" s="8" t="s">
        <v>46</v>
      </c>
      <c r="AU109" s="8"/>
      <c r="AV109" s="8" t="s">
        <v>88</v>
      </c>
      <c r="AW109">
        <f>IF(I109="",0,IF(MAP_TNHN!B109="",I109*3,I109*3-2*(IF(ISNUMBER(SEARCH(MAP_TNHN!B109&amp;" (1 tiết)",'PL12'!$S$5)),1,0)+IF(ISNUMBER(SEARCH(MAP_TNHN!B109&amp;" (1 tiết)",'PL12'!$S$6)),1,0)+IF(ISNUMBER(SEARCH(MAP_TNHN!B109&amp;" (1 tiết)",'PL12'!$S$7)),1,0)+IF(ISNUMBER(SEARCH(MAP_TNHN!B109&amp;" (1 tiết)",'PL12'!$S$8)),1,0)+IF(ISNUMBER(SEARCH(MAP_TNHN!B109&amp;" (1 tiết)",'PL12'!$S$9)),1,0)+IF(ISNUMBER(SEARCH(MAP_TNHN!B109&amp;" (1 tiết)",'PL12'!$S$10)),1,0)+IF(ISNUMBER(SEARCH(MAP_TNHN!B109&amp;" (1 tiết)",'PL12'!$S$11)),1,0)+IF(ISNUMBER(SEARCH(MAP_TNHN!B109&amp;" (1 tiết)",'PL12'!$S$12)),1,0)+IF(ISNUMBER(SEARCH(MAP_TNHN!B109&amp;" (1 tiết)",'PL12'!$S$13)),1,0)+IF(ISNUMBER(SEARCH(MAP_TNHN!B109&amp;" (1 tiết)",'PL12'!$S$14)),1,0)+IF(ISNUMBER(SEARCH(MAP_TNHN!B109&amp;" (1 tiết)",'PL12'!$S$15)),1,0)+IF(ISNUMBER(SEARCH(MAP_TNHN!B109&amp;" (1 tiết)",'PL12'!$S$16)),1,0)+IF(ISNUMBER(SEARCH(MAP_TNHN!B109&amp;" (1 tiết)",'PL12'!$S$17)),1,0)+IF(ISNUMBER(SEARCH(MAP_TNHN!B109&amp;" (1 tiết)",'PL12'!$S$18)),1,0)+IF(ISNUMBER(SEARCH(MAP_TNHN!B109&amp;" (1 tiết)",'PL12'!$S$19)),1,0))-(IF(ISNUMBER(SEARCH(MAP_TNHN!B109&amp;" (2 tiết)",'PL12'!$S$5)),1,0)+IF(ISNUMBER(SEARCH(MAP_TNHN!B109&amp;" (2 tiết)",'PL12'!$S$6)),1,0)+IF(ISNUMBER(SEARCH(MAP_TNHN!B109&amp;" (2 tiết)",'PL12'!$S$7)),1,0)+IF(ISNUMBER(SEARCH(MAP_TNHN!B109&amp;" (2 tiết)",'PL12'!$S$8)),1,0)+IF(ISNUMBER(SEARCH(MAP_TNHN!B109&amp;" (2 tiết)",'PL12'!$S$9)),1,0)+IF(ISNUMBER(SEARCH(MAP_TNHN!B109&amp;" (2 tiết)",'PL12'!$S$10)),1,0)+IF(ISNUMBER(SEARCH(MAP_TNHN!B109&amp;" (2 tiết)",'PL12'!$S$11)),1,0)+IF(ISNUMBER(SEARCH(MAP_TNHN!B109&amp;" (2 tiết)",'PL12'!$S$12)),1,0)+IF(ISNUMBER(SEARCH(MAP_TNHN!B109&amp;" (2 tiết)",'PL12'!$S$13)),1,0)+IF(ISNUMBER(SEARCH(MAP_TNHN!B109&amp;" (2 tiết)",'PL12'!$S$14)),1,0)+IF(ISNUMBER(SEARCH(MAP_TNHN!B109&amp;" (2 tiết)",'PL12'!$S$15)),1,0)+IF(ISNUMBER(SEARCH(MAP_TNHN!B109&amp;" (2 tiết)",'PL12'!$S$16)),1,0)+IF(ISNUMBER(SEARCH(MAP_TNHN!B109&amp;" (2 tiết)",'PL12'!$S$17)),1,0)+IF(ISNUMBER(SEARCH(MAP_TNHN!B109&amp;" (2 tiết)",'PL12'!$S$18)),1,0)+IF(ISNUMBER(SEARCH(MAP_TNHN!B109&amp;" (2 tiết)",'PL12'!$S$19)),1,0))))</f>
        <v>0</v>
      </c>
      <c r="AX109">
        <f>IF(N109="",0,IF(MAP_TNHN!C109="",N109*3,N109*3-2*(IF(ISNUMBER(SEARCH(MAP_TNHN!C109&amp;" (1 tiết)",'PL11'!$S$5)),1,0)+IF(ISNUMBER(SEARCH(MAP_TNHN!C109&amp;" (1 tiết)",'PL11'!$S$6)),1,0)+IF(ISNUMBER(SEARCH(MAP_TNHN!C109&amp;" (1 tiết)",'PL11'!$S$7)),1,0)+IF(ISNUMBER(SEARCH(MAP_TNHN!C109&amp;" (1 tiết)",'PL11'!$S$8)),1,0)+IF(ISNUMBER(SEARCH(MAP_TNHN!C109&amp;" (1 tiết)",'PL11'!$S$9)),1,0)+IF(ISNUMBER(SEARCH(MAP_TNHN!C109&amp;" (1 tiết)",'PL11'!$S$10)),1,0)+IF(ISNUMBER(SEARCH(MAP_TNHN!C109&amp;" (1 tiết)",'PL11'!$S$11)),1,0)+IF(ISNUMBER(SEARCH(MAP_TNHN!C109&amp;" (1 tiết)",'PL11'!$S$12)),1,0)+IF(ISNUMBER(SEARCH(MAP_TNHN!C109&amp;" (1 tiết)",'PL11'!$S$13)),1,0)+IF(ISNUMBER(SEARCH(MAP_TNHN!C109&amp;" (1 tiết)",'PL11'!$S$14)),1,0)+IF(ISNUMBER(SEARCH(MAP_TNHN!C109&amp;" (1 tiết)",'PL11'!$S$15)),1,0)+IF(ISNUMBER(SEARCH(MAP_TNHN!C109&amp;" (1 tiết)",'PL11'!$S$16)),1,0)+IF(ISNUMBER(SEARCH(MAP_TNHN!C109&amp;" (1 tiết)",'PL11'!$S$17)),1,0)+IF(ISNUMBER(SEARCH(MAP_TNHN!C109&amp;" (1 tiết)",'PL11'!$S$18)),1,0))-(IF(ISNUMBER(SEARCH(MAP_TNHN!C109&amp;" (2 tiết)",'PL11'!$S$5)),1,0)+IF(ISNUMBER(SEARCH(MAP_TNHN!C109&amp;" (2 tiết)",'PL11'!$S$6)),1,0)+IF(ISNUMBER(SEARCH(MAP_TNHN!C109&amp;" (2 tiết)",'PL11'!$S$7)),1,0)+IF(ISNUMBER(SEARCH(MAP_TNHN!C109&amp;" (2 tiết)",'PL11'!$S$8)),1,0)+IF(ISNUMBER(SEARCH(MAP_TNHN!C109&amp;" (2 tiết)",'PL11'!$S$9)),1,0)+IF(ISNUMBER(SEARCH(MAP_TNHN!C109&amp;" (2 tiết)",'PL11'!$S$10)),1,0)+IF(ISNUMBER(SEARCH(MAP_TNHN!C109&amp;" (2 tiết)",'PL11'!$S$11)),1,0)+IF(ISNUMBER(SEARCH(MAP_TNHN!C109&amp;" (2 tiết)",'PL11'!$S$12)),1,0)+IF(ISNUMBER(SEARCH(MAP_TNHN!C109&amp;" (2 tiết)",'PL11'!$S$13)),1,0)+IF(ISNUMBER(SEARCH(MAP_TNHN!C109&amp;" (2 tiết)",'PL11'!$S$14)),1,0)+IF(ISNUMBER(SEARCH(MAP_TNHN!C109&amp;" (2 tiết)",'PL11'!$S$15)),1,0)+IF(ISNUMBER(SEARCH(MAP_TNHN!C109&amp;" (2 tiết)",'PL11'!$S$16)),1,0)+IF(ISNUMBER(SEARCH(MAP_TNHN!C109&amp;" (2 tiết)",'PL11'!$S$17)),1,0)+IF(ISNUMBER(SEARCH(MAP_TNHN!C109&amp;" (2 tiết)",'PL11'!$S$18)),1,0))))</f>
        <v>0</v>
      </c>
      <c r="AY109">
        <f>IF(S109="",0,IF(MAP_TNHN!D109="",S109*3,S109*3-2*(IF(ISNUMBER(SEARCH(MAP_TNHN!D109&amp;" (1 tiết)",'PL10'!$S$5)),1,0)+IF(ISNUMBER(SEARCH(MAP_TNHN!D109&amp;" (1 tiết)",'PL10'!$S$6)),1,0)+IF(ISNUMBER(SEARCH(MAP_TNHN!D109&amp;" (1 tiết)",'PL10'!$S$7)),1,0)+IF(ISNUMBER(SEARCH(MAP_TNHN!D109&amp;" (1 tiết)",'PL10'!$S$8)),1,0)+IF(ISNUMBER(SEARCH(MAP_TNHN!D109&amp;" (1 tiết)",'PL10'!$S$9)),1,0)+IF(ISNUMBER(SEARCH(MAP_TNHN!D109&amp;" (1 tiết)",'PL10'!$S$10)),1,0)+IF(ISNUMBER(SEARCH(MAP_TNHN!D109&amp;" (1 tiết)",'PL10'!$S$11)),1,0)+IF(ISNUMBER(SEARCH(MAP_TNHN!D109&amp;" (1 tiết)",'PL10'!$S$12)),1,0)+IF(ISNUMBER(SEARCH(MAP_TNHN!D109&amp;" (1 tiết)",'PL10'!$S$13)),1,0)+IF(ISNUMBER(SEARCH(MAP_TNHN!D109&amp;" (1 tiết)",'PL10'!$S$14)),1,0)+IF(ISNUMBER(SEARCH(MAP_TNHN!D109&amp;" (1 tiết)",'PL10'!$S$15)),1,0)+IF(ISNUMBER(SEARCH(MAP_TNHN!D109&amp;" (1 tiết)",'PL10'!$S$16)),1,0)+IF(ISNUMBER(SEARCH(MAP_TNHN!D109&amp;" (1 tiết)",'PL10'!$S$17)),1,0)+IF(ISNUMBER(SEARCH(MAP_TNHN!D109&amp;" (1 tiết)",'PL10'!$S$18)),1,0)+IF(ISNUMBER(SEARCH(MAP_TNHN!D109&amp;" (1 tiết)",'PL10'!$S$19)),1,0)+IF(ISNUMBER(SEARCH(MAP_TNHN!D109&amp;" (1 tiết)",'PL10'!$S$20)),1,0)+IF(ISNUMBER(SEARCH(MAP_TNHN!D109&amp;" (1 tiết)",'PL10'!$S$21)),1,0)+IF(ISNUMBER(SEARCH(MAP_TNHN!D109&amp;" (1 tiết)",'PL10'!$S$22)),1,0)+IF(ISNUMBER(SEARCH(MAP_TNHN!D109&amp;" (1 tiết)",'PL10'!$S$23)),1,0)+IF(ISNUMBER(SEARCH(MAP_TNHN!D109&amp;" (1 tiết)",'PL10'!$S$24)),1,0)+IF(ISNUMBER(SEARCH(MAP_TNHN!D109&amp;" (1 tiết)",'PL10'!$S$25)),1,0))-(IF(ISNUMBER(SEARCH(MAP_TNHN!D109&amp;" (2 tiết)",'PL10'!$S$5)),1,0)+IF(ISNUMBER(SEARCH(MAP_TNHN!D109&amp;" (2 tiết)",'PL10'!$S$6)),1,0)+IF(ISNUMBER(SEARCH(MAP_TNHN!D109&amp;" (2 tiết)",'PL10'!$S$7)),1,0)+IF(ISNUMBER(SEARCH(MAP_TNHN!D109&amp;" (2 tiết)",'PL10'!$S$8)),1,0)+IF(ISNUMBER(SEARCH(MAP_TNHN!D109&amp;" (2 tiết)",'PL10'!$S$9)),1,0)+IF(ISNUMBER(SEARCH(MAP_TNHN!D109&amp;" (2 tiết)",'PL10'!$S$10)),1,0)+IF(ISNUMBER(SEARCH(MAP_TNHN!D109&amp;" (2 tiết)",'PL10'!$S$11)),1,0)+IF(ISNUMBER(SEARCH(MAP_TNHN!D109&amp;" (2 tiết)",'PL10'!$S$12)),1,0)+IF(ISNUMBER(SEARCH(MAP_TNHN!D109&amp;" (2 tiết)",'PL10'!$S$13)),1,0)+IF(ISNUMBER(SEARCH(MAP_TNHN!D109&amp;" (2 tiết)",'PL10'!$S$14)),1,0)+IF(ISNUMBER(SEARCH(MAP_TNHN!D109&amp;" (2 tiết)",'PL10'!$S$15)),1,0)+IF(ISNUMBER(SEARCH(MAP_TNHN!D109&amp;" (2 tiết)",'PL10'!$S$16)),1,0)+IF(ISNUMBER(SEARCH(MAP_TNHN!D109&amp;" (2 tiết)",'PL10'!$S$17)),1,0)+IF(ISNUMBER(SEARCH(MAP_TNHN!D109&amp;" (2 tiết)",'PL10'!$S$18)),1,0)+IF(ISNUMBER(SEARCH(MAP_TNHN!D109&amp;" (2 tiết)",'PL10'!$S$19)),1,0)+IF(ISNUMBER(SEARCH(MAP_TNHN!D109&amp;" (2 tiết)",'PL10'!$S$20)),1,0)+IF(ISNUMBER(SEARCH(MAP_TNHN!D109&amp;" (2 tiết)",'PL10'!$S$21)),1,0)+IF(ISNUMBER(SEARCH(MAP_TNHN!D109&amp;" (2 tiết)",'PL10'!$S$22)),1,0)+IF(ISNUMBER(SEARCH(MAP_TNHN!D109&amp;" (2 tiết)",'PL10'!$S$23)),1,0)+IF(ISNUMBER(SEARCH(MAP_TNHN!D109&amp;" (2 tiết)",'PL10'!$S$24)),1,0)+IF(ISNUMBER(SEARCH(MAP_TNHN!D109&amp;" (2 tiết)",'PL10'!$S$25)),1,0))))</f>
        <v>0</v>
      </c>
    </row>
    <row r="110" spans="1:51" ht="60" x14ac:dyDescent="0.35">
      <c r="A110" s="310"/>
      <c r="B110" s="8">
        <v>2</v>
      </c>
      <c r="C110" s="9" t="s">
        <v>232</v>
      </c>
      <c r="D110" s="20"/>
      <c r="E110" s="10"/>
      <c r="F110" s="10"/>
      <c r="G110" s="10"/>
      <c r="H110" s="10"/>
      <c r="I110" s="159"/>
      <c r="J110" s="10"/>
      <c r="K110" s="6">
        <v>5</v>
      </c>
      <c r="L110" s="6"/>
      <c r="M110" s="6"/>
      <c r="N110" s="139"/>
      <c r="O110" s="6"/>
      <c r="P110" s="42">
        <v>2</v>
      </c>
      <c r="Q110" s="42"/>
      <c r="R110" s="42"/>
      <c r="S110" s="138"/>
      <c r="T110" s="42"/>
      <c r="U110" s="11">
        <f>E110*('Phân tiết'!$M$18/4)+G110*('Phân tiết'!$M$21/3)+H110*'Phân tiết'!$L$26+AW110+J110*'Phân tiết'!$M$20+K110*('Phân tiết'!$I$18/4)+M110*('Phân tiết'!$I$21/3)+AX110+O110*'Phân tiết'!$I$20+P110*('Phân tiết'!$E$18/4)+R110*('Phân tiết'!$E$21/3)+AY110+T110*'Phân tiết'!$E$20</f>
        <v>14</v>
      </c>
      <c r="V110" s="8">
        <f t="shared" si="39"/>
        <v>0</v>
      </c>
      <c r="W110" s="6"/>
      <c r="X110" s="6"/>
      <c r="Y110" s="8"/>
      <c r="Z110" s="43">
        <f t="shared" si="40"/>
        <v>14</v>
      </c>
      <c r="AA110" s="34"/>
      <c r="AB110" s="8"/>
      <c r="AC110" s="8"/>
      <c r="AD110" s="6">
        <f t="shared" si="41"/>
        <v>0</v>
      </c>
      <c r="AE110" s="8"/>
      <c r="AF110" s="8"/>
      <c r="AG110" s="6">
        <f t="shared" si="42"/>
        <v>0</v>
      </c>
      <c r="AH110" s="8"/>
      <c r="AI110" s="8"/>
      <c r="AJ110" s="6"/>
      <c r="AK110" s="6">
        <f t="shared" si="44"/>
        <v>0</v>
      </c>
      <c r="AL110" s="8"/>
      <c r="AM110" s="8"/>
      <c r="AN110" s="8"/>
      <c r="AO110" s="8"/>
      <c r="AP110" s="8"/>
      <c r="AQ110" s="9"/>
      <c r="AR110" s="8"/>
      <c r="AS110" s="8"/>
      <c r="AT110" s="8"/>
      <c r="AU110" s="8"/>
      <c r="AV110" s="8" t="s">
        <v>146</v>
      </c>
      <c r="AW110">
        <f>IF(I110="",0,IF(MAP_TNHN!B110="",I110*3,I110*3-2*(IF(ISNUMBER(SEARCH(MAP_TNHN!B110&amp;" (1 tiết)",'PL12'!$S$5)),1,0)+IF(ISNUMBER(SEARCH(MAP_TNHN!B110&amp;" (1 tiết)",'PL12'!$S$6)),1,0)+IF(ISNUMBER(SEARCH(MAP_TNHN!B110&amp;" (1 tiết)",'PL12'!$S$7)),1,0)+IF(ISNUMBER(SEARCH(MAP_TNHN!B110&amp;" (1 tiết)",'PL12'!$S$8)),1,0)+IF(ISNUMBER(SEARCH(MAP_TNHN!B110&amp;" (1 tiết)",'PL12'!$S$9)),1,0)+IF(ISNUMBER(SEARCH(MAP_TNHN!B110&amp;" (1 tiết)",'PL12'!$S$10)),1,0)+IF(ISNUMBER(SEARCH(MAP_TNHN!B110&amp;" (1 tiết)",'PL12'!$S$11)),1,0)+IF(ISNUMBER(SEARCH(MAP_TNHN!B110&amp;" (1 tiết)",'PL12'!$S$12)),1,0)+IF(ISNUMBER(SEARCH(MAP_TNHN!B110&amp;" (1 tiết)",'PL12'!$S$13)),1,0)+IF(ISNUMBER(SEARCH(MAP_TNHN!B110&amp;" (1 tiết)",'PL12'!$S$14)),1,0)+IF(ISNUMBER(SEARCH(MAP_TNHN!B110&amp;" (1 tiết)",'PL12'!$S$15)),1,0)+IF(ISNUMBER(SEARCH(MAP_TNHN!B110&amp;" (1 tiết)",'PL12'!$S$16)),1,0)+IF(ISNUMBER(SEARCH(MAP_TNHN!B110&amp;" (1 tiết)",'PL12'!$S$17)),1,0)+IF(ISNUMBER(SEARCH(MAP_TNHN!B110&amp;" (1 tiết)",'PL12'!$S$18)),1,0)+IF(ISNUMBER(SEARCH(MAP_TNHN!B110&amp;" (1 tiết)",'PL12'!$S$19)),1,0))-(IF(ISNUMBER(SEARCH(MAP_TNHN!B110&amp;" (2 tiết)",'PL12'!$S$5)),1,0)+IF(ISNUMBER(SEARCH(MAP_TNHN!B110&amp;" (2 tiết)",'PL12'!$S$6)),1,0)+IF(ISNUMBER(SEARCH(MAP_TNHN!B110&amp;" (2 tiết)",'PL12'!$S$7)),1,0)+IF(ISNUMBER(SEARCH(MAP_TNHN!B110&amp;" (2 tiết)",'PL12'!$S$8)),1,0)+IF(ISNUMBER(SEARCH(MAP_TNHN!B110&amp;" (2 tiết)",'PL12'!$S$9)),1,0)+IF(ISNUMBER(SEARCH(MAP_TNHN!B110&amp;" (2 tiết)",'PL12'!$S$10)),1,0)+IF(ISNUMBER(SEARCH(MAP_TNHN!B110&amp;" (2 tiết)",'PL12'!$S$11)),1,0)+IF(ISNUMBER(SEARCH(MAP_TNHN!B110&amp;" (2 tiết)",'PL12'!$S$12)),1,0)+IF(ISNUMBER(SEARCH(MAP_TNHN!B110&amp;" (2 tiết)",'PL12'!$S$13)),1,0)+IF(ISNUMBER(SEARCH(MAP_TNHN!B110&amp;" (2 tiết)",'PL12'!$S$14)),1,0)+IF(ISNUMBER(SEARCH(MAP_TNHN!B110&amp;" (2 tiết)",'PL12'!$S$15)),1,0)+IF(ISNUMBER(SEARCH(MAP_TNHN!B110&amp;" (2 tiết)",'PL12'!$S$16)),1,0)+IF(ISNUMBER(SEARCH(MAP_TNHN!B110&amp;" (2 tiết)",'PL12'!$S$17)),1,0)+IF(ISNUMBER(SEARCH(MAP_TNHN!B110&amp;" (2 tiết)",'PL12'!$S$18)),1,0)+IF(ISNUMBER(SEARCH(MAP_TNHN!B110&amp;" (2 tiết)",'PL12'!$S$19)),1,0))))</f>
        <v>0</v>
      </c>
      <c r="AX110">
        <f>IF(N110="",0,IF(MAP_TNHN!C110="",N110*3,N110*3-2*(IF(ISNUMBER(SEARCH(MAP_TNHN!C110&amp;" (1 tiết)",'PL11'!$S$5)),1,0)+IF(ISNUMBER(SEARCH(MAP_TNHN!C110&amp;" (1 tiết)",'PL11'!$S$6)),1,0)+IF(ISNUMBER(SEARCH(MAP_TNHN!C110&amp;" (1 tiết)",'PL11'!$S$7)),1,0)+IF(ISNUMBER(SEARCH(MAP_TNHN!C110&amp;" (1 tiết)",'PL11'!$S$8)),1,0)+IF(ISNUMBER(SEARCH(MAP_TNHN!C110&amp;" (1 tiết)",'PL11'!$S$9)),1,0)+IF(ISNUMBER(SEARCH(MAP_TNHN!C110&amp;" (1 tiết)",'PL11'!$S$10)),1,0)+IF(ISNUMBER(SEARCH(MAP_TNHN!C110&amp;" (1 tiết)",'PL11'!$S$11)),1,0)+IF(ISNUMBER(SEARCH(MAP_TNHN!C110&amp;" (1 tiết)",'PL11'!$S$12)),1,0)+IF(ISNUMBER(SEARCH(MAP_TNHN!C110&amp;" (1 tiết)",'PL11'!$S$13)),1,0)+IF(ISNUMBER(SEARCH(MAP_TNHN!C110&amp;" (1 tiết)",'PL11'!$S$14)),1,0)+IF(ISNUMBER(SEARCH(MAP_TNHN!C110&amp;" (1 tiết)",'PL11'!$S$15)),1,0)+IF(ISNUMBER(SEARCH(MAP_TNHN!C110&amp;" (1 tiết)",'PL11'!$S$16)),1,0)+IF(ISNUMBER(SEARCH(MAP_TNHN!C110&amp;" (1 tiết)",'PL11'!$S$17)),1,0)+IF(ISNUMBER(SEARCH(MAP_TNHN!C110&amp;" (1 tiết)",'PL11'!$S$18)),1,0))-(IF(ISNUMBER(SEARCH(MAP_TNHN!C110&amp;" (2 tiết)",'PL11'!$S$5)),1,0)+IF(ISNUMBER(SEARCH(MAP_TNHN!C110&amp;" (2 tiết)",'PL11'!$S$6)),1,0)+IF(ISNUMBER(SEARCH(MAP_TNHN!C110&amp;" (2 tiết)",'PL11'!$S$7)),1,0)+IF(ISNUMBER(SEARCH(MAP_TNHN!C110&amp;" (2 tiết)",'PL11'!$S$8)),1,0)+IF(ISNUMBER(SEARCH(MAP_TNHN!C110&amp;" (2 tiết)",'PL11'!$S$9)),1,0)+IF(ISNUMBER(SEARCH(MAP_TNHN!C110&amp;" (2 tiết)",'PL11'!$S$10)),1,0)+IF(ISNUMBER(SEARCH(MAP_TNHN!C110&amp;" (2 tiết)",'PL11'!$S$11)),1,0)+IF(ISNUMBER(SEARCH(MAP_TNHN!C110&amp;" (2 tiết)",'PL11'!$S$12)),1,0)+IF(ISNUMBER(SEARCH(MAP_TNHN!C110&amp;" (2 tiết)",'PL11'!$S$13)),1,0)+IF(ISNUMBER(SEARCH(MAP_TNHN!C110&amp;" (2 tiết)",'PL11'!$S$14)),1,0)+IF(ISNUMBER(SEARCH(MAP_TNHN!C110&amp;" (2 tiết)",'PL11'!$S$15)),1,0)+IF(ISNUMBER(SEARCH(MAP_TNHN!C110&amp;" (2 tiết)",'PL11'!$S$16)),1,0)+IF(ISNUMBER(SEARCH(MAP_TNHN!C110&amp;" (2 tiết)",'PL11'!$S$17)),1,0)+IF(ISNUMBER(SEARCH(MAP_TNHN!C110&amp;" (2 tiết)",'PL11'!$S$18)),1,0))))</f>
        <v>0</v>
      </c>
      <c r="AY110">
        <f>IF(S110="",0,IF(MAP_TNHN!D110="",S110*3,S110*3-2*(IF(ISNUMBER(SEARCH(MAP_TNHN!D110&amp;" (1 tiết)",'PL10'!$S$5)),1,0)+IF(ISNUMBER(SEARCH(MAP_TNHN!D110&amp;" (1 tiết)",'PL10'!$S$6)),1,0)+IF(ISNUMBER(SEARCH(MAP_TNHN!D110&amp;" (1 tiết)",'PL10'!$S$7)),1,0)+IF(ISNUMBER(SEARCH(MAP_TNHN!D110&amp;" (1 tiết)",'PL10'!$S$8)),1,0)+IF(ISNUMBER(SEARCH(MAP_TNHN!D110&amp;" (1 tiết)",'PL10'!$S$9)),1,0)+IF(ISNUMBER(SEARCH(MAP_TNHN!D110&amp;" (1 tiết)",'PL10'!$S$10)),1,0)+IF(ISNUMBER(SEARCH(MAP_TNHN!D110&amp;" (1 tiết)",'PL10'!$S$11)),1,0)+IF(ISNUMBER(SEARCH(MAP_TNHN!D110&amp;" (1 tiết)",'PL10'!$S$12)),1,0)+IF(ISNUMBER(SEARCH(MAP_TNHN!D110&amp;" (1 tiết)",'PL10'!$S$13)),1,0)+IF(ISNUMBER(SEARCH(MAP_TNHN!D110&amp;" (1 tiết)",'PL10'!$S$14)),1,0)+IF(ISNUMBER(SEARCH(MAP_TNHN!D110&amp;" (1 tiết)",'PL10'!$S$15)),1,0)+IF(ISNUMBER(SEARCH(MAP_TNHN!D110&amp;" (1 tiết)",'PL10'!$S$16)),1,0)+IF(ISNUMBER(SEARCH(MAP_TNHN!D110&amp;" (1 tiết)",'PL10'!$S$17)),1,0)+IF(ISNUMBER(SEARCH(MAP_TNHN!D110&amp;" (1 tiết)",'PL10'!$S$18)),1,0)+IF(ISNUMBER(SEARCH(MAP_TNHN!D110&amp;" (1 tiết)",'PL10'!$S$19)),1,0)+IF(ISNUMBER(SEARCH(MAP_TNHN!D110&amp;" (1 tiết)",'PL10'!$S$20)),1,0)+IF(ISNUMBER(SEARCH(MAP_TNHN!D110&amp;" (1 tiết)",'PL10'!$S$21)),1,0)+IF(ISNUMBER(SEARCH(MAP_TNHN!D110&amp;" (1 tiết)",'PL10'!$S$22)),1,0)+IF(ISNUMBER(SEARCH(MAP_TNHN!D110&amp;" (1 tiết)",'PL10'!$S$23)),1,0)+IF(ISNUMBER(SEARCH(MAP_TNHN!D110&amp;" (1 tiết)",'PL10'!$S$24)),1,0)+IF(ISNUMBER(SEARCH(MAP_TNHN!D110&amp;" (1 tiết)",'PL10'!$S$25)),1,0))-(IF(ISNUMBER(SEARCH(MAP_TNHN!D110&amp;" (2 tiết)",'PL10'!$S$5)),1,0)+IF(ISNUMBER(SEARCH(MAP_TNHN!D110&amp;" (2 tiết)",'PL10'!$S$6)),1,0)+IF(ISNUMBER(SEARCH(MAP_TNHN!D110&amp;" (2 tiết)",'PL10'!$S$7)),1,0)+IF(ISNUMBER(SEARCH(MAP_TNHN!D110&amp;" (2 tiết)",'PL10'!$S$8)),1,0)+IF(ISNUMBER(SEARCH(MAP_TNHN!D110&amp;" (2 tiết)",'PL10'!$S$9)),1,0)+IF(ISNUMBER(SEARCH(MAP_TNHN!D110&amp;" (2 tiết)",'PL10'!$S$10)),1,0)+IF(ISNUMBER(SEARCH(MAP_TNHN!D110&amp;" (2 tiết)",'PL10'!$S$11)),1,0)+IF(ISNUMBER(SEARCH(MAP_TNHN!D110&amp;" (2 tiết)",'PL10'!$S$12)),1,0)+IF(ISNUMBER(SEARCH(MAP_TNHN!D110&amp;" (2 tiết)",'PL10'!$S$13)),1,0)+IF(ISNUMBER(SEARCH(MAP_TNHN!D110&amp;" (2 tiết)",'PL10'!$S$14)),1,0)+IF(ISNUMBER(SEARCH(MAP_TNHN!D110&amp;" (2 tiết)",'PL10'!$S$15)),1,0)+IF(ISNUMBER(SEARCH(MAP_TNHN!D110&amp;" (2 tiết)",'PL10'!$S$16)),1,0)+IF(ISNUMBER(SEARCH(MAP_TNHN!D110&amp;" (2 tiết)",'PL10'!$S$17)),1,0)+IF(ISNUMBER(SEARCH(MAP_TNHN!D110&amp;" (2 tiết)",'PL10'!$S$18)),1,0)+IF(ISNUMBER(SEARCH(MAP_TNHN!D110&amp;" (2 tiết)",'PL10'!$S$19)),1,0)+IF(ISNUMBER(SEARCH(MAP_TNHN!D110&amp;" (2 tiết)",'PL10'!$S$20)),1,0)+IF(ISNUMBER(SEARCH(MAP_TNHN!D110&amp;" (2 tiết)",'PL10'!$S$21)),1,0)+IF(ISNUMBER(SEARCH(MAP_TNHN!D110&amp;" (2 tiết)",'PL10'!$S$22)),1,0)+IF(ISNUMBER(SEARCH(MAP_TNHN!D110&amp;" (2 tiết)",'PL10'!$S$23)),1,0)+IF(ISNUMBER(SEARCH(MAP_TNHN!D110&amp;" (2 tiết)",'PL10'!$S$24)),1,0)+IF(ISNUMBER(SEARCH(MAP_TNHN!D110&amp;" (2 tiết)",'PL10'!$S$25)),1,0))))</f>
        <v>0</v>
      </c>
    </row>
    <row r="111" spans="1:51" s="89" customFormat="1" x14ac:dyDescent="0.35">
      <c r="A111" s="88"/>
      <c r="B111" s="85"/>
      <c r="C111" s="86" t="s">
        <v>65</v>
      </c>
      <c r="D111" s="85"/>
      <c r="E111" s="85">
        <f>SUM(E109:E110)</f>
        <v>5</v>
      </c>
      <c r="F111" s="85"/>
      <c r="G111" s="85">
        <f t="shared" ref="G111:R111" si="45">SUM(G109:G110)</f>
        <v>0</v>
      </c>
      <c r="H111" s="85"/>
      <c r="I111" s="160"/>
      <c r="J111" s="85"/>
      <c r="K111" s="85">
        <f t="shared" si="45"/>
        <v>8</v>
      </c>
      <c r="L111" s="85"/>
      <c r="M111" s="85">
        <f t="shared" si="45"/>
        <v>0</v>
      </c>
      <c r="N111" s="160"/>
      <c r="O111" s="85"/>
      <c r="P111" s="85">
        <f t="shared" si="45"/>
        <v>4</v>
      </c>
      <c r="Q111" s="85"/>
      <c r="R111" s="85">
        <f t="shared" si="45"/>
        <v>0</v>
      </c>
      <c r="S111" s="160"/>
      <c r="T111" s="85"/>
      <c r="U111" s="87"/>
      <c r="V111" s="85"/>
      <c r="W111" s="85"/>
      <c r="X111" s="85"/>
      <c r="Y111" s="85"/>
      <c r="Z111" s="88"/>
      <c r="AA111" s="88"/>
      <c r="AB111" s="85"/>
      <c r="AC111" s="85"/>
      <c r="AD111" s="85">
        <f t="shared" si="41"/>
        <v>0</v>
      </c>
      <c r="AE111" s="85"/>
      <c r="AF111" s="85"/>
      <c r="AG111" s="85">
        <f t="shared" si="42"/>
        <v>0</v>
      </c>
      <c r="AH111" s="85"/>
      <c r="AI111" s="85"/>
      <c r="AJ111" s="85"/>
      <c r="AK111" s="85">
        <f t="shared" si="44"/>
        <v>0</v>
      </c>
      <c r="AL111" s="85"/>
      <c r="AM111" s="85"/>
      <c r="AN111" s="85"/>
      <c r="AO111" s="85"/>
      <c r="AP111" s="85"/>
      <c r="AQ111" s="85"/>
      <c r="AR111" s="85"/>
      <c r="AS111" s="85"/>
      <c r="AT111" s="85"/>
      <c r="AU111" s="85"/>
      <c r="AV111" s="85"/>
    </row>
    <row r="112" spans="1:51" s="35" customFormat="1" x14ac:dyDescent="0.35">
      <c r="A112" s="59"/>
      <c r="B112" s="34"/>
      <c r="C112" s="59" t="s">
        <v>233</v>
      </c>
      <c r="D112" s="34">
        <f>COUNTA(D6:D111)</f>
        <v>50</v>
      </c>
      <c r="E112" s="34"/>
      <c r="F112" s="34">
        <f>COUNTA(F6:F111)</f>
        <v>15</v>
      </c>
      <c r="G112" s="34"/>
      <c r="H112" s="34"/>
      <c r="I112" s="307"/>
      <c r="J112" s="34">
        <f>SUM(J6:J111)</f>
        <v>15</v>
      </c>
      <c r="K112" s="34"/>
      <c r="L112" s="34">
        <f>COUNTA(L6:L111)</f>
        <v>14</v>
      </c>
      <c r="M112" s="34"/>
      <c r="N112" s="34">
        <f>SUM(N6:N111)</f>
        <v>22</v>
      </c>
      <c r="O112" s="34">
        <f>SUM(O6:O111)</f>
        <v>14</v>
      </c>
      <c r="P112" s="34"/>
      <c r="Q112" s="34">
        <f>COUNTA(Q6:Q111)</f>
        <v>22</v>
      </c>
      <c r="R112" s="34"/>
      <c r="S112" s="34">
        <f>SUM(S6:S111)</f>
        <v>35</v>
      </c>
      <c r="T112" s="34">
        <f>SUM(T6:T111)</f>
        <v>21</v>
      </c>
      <c r="U112" s="34"/>
      <c r="V112" s="34"/>
      <c r="W112" s="34"/>
      <c r="X112" s="34"/>
      <c r="Y112" s="34"/>
      <c r="Z112" s="34"/>
      <c r="AA112" s="34"/>
      <c r="AB112" s="34"/>
      <c r="AC112" s="34"/>
      <c r="AD112" s="34"/>
      <c r="AE112" s="34"/>
      <c r="AF112" s="34"/>
      <c r="AG112" s="34"/>
      <c r="AH112" s="34"/>
      <c r="AI112" s="34"/>
      <c r="AJ112" s="34"/>
      <c r="AK112" s="59"/>
      <c r="AL112" s="34"/>
      <c r="AM112" s="34"/>
      <c r="AN112" s="34"/>
      <c r="AO112" s="59"/>
      <c r="AP112" s="59"/>
      <c r="AQ112" s="59"/>
      <c r="AR112" s="59"/>
      <c r="AS112" s="59"/>
      <c r="AT112" s="59"/>
      <c r="AU112" s="59"/>
      <c r="AV112" s="34"/>
      <c r="AW112" s="115">
        <f>SUM(AW6:AW110)</f>
        <v>38</v>
      </c>
      <c r="AX112" s="115">
        <f>SUM(AX6:AX110)</f>
        <v>42</v>
      </c>
      <c r="AY112" s="115">
        <f>SUM(AY6:AY110)</f>
        <v>68</v>
      </c>
    </row>
    <row r="113" spans="2:48" s="35" customFormat="1" x14ac:dyDescent="0.35">
      <c r="B113" s="39"/>
      <c r="D113" s="39"/>
      <c r="E113" s="39"/>
      <c r="F113" s="39"/>
      <c r="G113" s="39"/>
      <c r="H113" s="39"/>
      <c r="I113" s="39">
        <v>9</v>
      </c>
      <c r="J113" s="39"/>
      <c r="K113" s="39"/>
      <c r="L113" s="39"/>
      <c r="M113" s="39"/>
      <c r="N113" s="39">
        <v>8</v>
      </c>
      <c r="O113" s="39"/>
      <c r="P113" s="39"/>
      <c r="Q113" s="39"/>
      <c r="R113" s="39"/>
      <c r="S113" s="39">
        <v>14</v>
      </c>
      <c r="T113" s="39"/>
      <c r="U113" s="39"/>
      <c r="V113" s="39"/>
      <c r="W113" s="39"/>
      <c r="X113" s="39"/>
      <c r="Y113" s="39"/>
      <c r="Z113" s="39"/>
      <c r="AA113" s="39"/>
      <c r="AB113" s="39"/>
      <c r="AC113" s="39"/>
      <c r="AD113" s="39"/>
      <c r="AE113" s="39"/>
      <c r="AF113" s="39"/>
      <c r="AG113" s="39"/>
      <c r="AH113" s="39"/>
      <c r="AI113" s="39"/>
      <c r="AJ113" s="39"/>
      <c r="AK113"/>
      <c r="AL113"/>
      <c r="AM113" s="39"/>
      <c r="AN113" s="39"/>
      <c r="AO113" s="39"/>
      <c r="AP113"/>
      <c r="AQ113"/>
      <c r="AR113"/>
      <c r="AS113"/>
      <c r="AT113"/>
      <c r="AU113"/>
      <c r="AV113"/>
    </row>
    <row r="114" spans="2:48" s="35" customFormat="1" x14ac:dyDescent="0.35">
      <c r="B114" s="39"/>
      <c r="C114" s="115"/>
      <c r="D114" s="39"/>
      <c r="E114" s="39"/>
      <c r="F114" s="39"/>
      <c r="G114" s="39"/>
      <c r="H114" s="39"/>
      <c r="I114" s="39">
        <f>I112-I113</f>
        <v>-9</v>
      </c>
      <c r="J114" s="39"/>
      <c r="K114" s="39"/>
      <c r="L114" s="39">
        <f t="shared" ref="L114:S114" si="46">L112-L113</f>
        <v>14</v>
      </c>
      <c r="M114" s="39"/>
      <c r="N114" s="39">
        <f t="shared" si="46"/>
        <v>14</v>
      </c>
      <c r="O114" s="39"/>
      <c r="P114" s="39"/>
      <c r="Q114" s="39">
        <f t="shared" si="46"/>
        <v>22</v>
      </c>
      <c r="R114" s="39"/>
      <c r="S114" s="39">
        <f t="shared" si="46"/>
        <v>21</v>
      </c>
      <c r="T114" s="39"/>
      <c r="U114" s="39"/>
      <c r="V114" s="39"/>
      <c r="W114" s="41"/>
      <c r="X114" s="41"/>
      <c r="Y114" s="41"/>
      <c r="Z114" s="39"/>
      <c r="AA114" s="39"/>
      <c r="AB114" s="39"/>
      <c r="AC114" s="39"/>
      <c r="AD114" s="39"/>
      <c r="AE114" s="39"/>
      <c r="AF114" s="39"/>
      <c r="AG114" s="39"/>
      <c r="AH114" s="41"/>
      <c r="AI114" s="41"/>
      <c r="AJ114" s="41"/>
      <c r="AK114"/>
      <c r="AL114"/>
      <c r="AM114" s="39"/>
      <c r="AN114" s="39"/>
      <c r="AO114" s="39"/>
      <c r="AP114"/>
      <c r="AQ114"/>
      <c r="AR114"/>
      <c r="AS114"/>
      <c r="AT114"/>
      <c r="AU114"/>
      <c r="AV114"/>
    </row>
    <row r="115" spans="2:48" x14ac:dyDescent="0.35">
      <c r="C115" s="316" t="s">
        <v>234</v>
      </c>
      <c r="D115" s="316"/>
      <c r="E115" s="316"/>
      <c r="F115" s="316"/>
      <c r="G115" s="316"/>
      <c r="H115" s="316"/>
      <c r="I115" s="316"/>
      <c r="J115" s="316"/>
      <c r="K115" s="316"/>
      <c r="L115" s="316"/>
      <c r="M115" s="35"/>
      <c r="N115" s="35"/>
      <c r="O115" s="35"/>
      <c r="P115" s="35"/>
      <c r="Q115" s="35"/>
      <c r="R115" s="35"/>
      <c r="S115" s="35"/>
      <c r="T115" s="35"/>
      <c r="U115" s="35"/>
      <c r="V115" s="35"/>
      <c r="Y115" s="35"/>
      <c r="AB115" s="35"/>
      <c r="AC115" s="35"/>
      <c r="AD115" s="35"/>
      <c r="AK115" s="37"/>
      <c r="AL115" s="37"/>
      <c r="AM115" s="40"/>
      <c r="AN115" s="37"/>
      <c r="AO115" s="41"/>
      <c r="AP115" s="40"/>
      <c r="AQ115" s="40"/>
      <c r="AR115" s="40"/>
      <c r="AS115" s="37"/>
      <c r="AT115" s="37"/>
      <c r="AU115" s="37"/>
      <c r="AV115" s="37"/>
    </row>
    <row r="116" spans="2:48" x14ac:dyDescent="0.35">
      <c r="C116" s="312" t="s">
        <v>235</v>
      </c>
      <c r="D116" s="312"/>
      <c r="E116" s="312"/>
      <c r="F116" s="312"/>
      <c r="G116" s="312"/>
      <c r="H116" s="312"/>
      <c r="I116" s="312"/>
      <c r="J116" s="312"/>
      <c r="K116" s="312"/>
      <c r="Q116" s="37"/>
      <c r="R116" s="40"/>
      <c r="S116" s="37"/>
      <c r="T116" s="41"/>
      <c r="U116" s="40"/>
      <c r="V116" s="334" t="s">
        <v>236</v>
      </c>
      <c r="W116" s="334"/>
      <c r="X116" s="334"/>
      <c r="Y116" s="334"/>
      <c r="Z116" s="334"/>
      <c r="AA116" s="334"/>
      <c r="AB116" s="334"/>
      <c r="AC116" s="334"/>
      <c r="AD116" s="334"/>
      <c r="AE116" s="334"/>
      <c r="AF116" s="334"/>
      <c r="AG116" s="334"/>
      <c r="AH116" s="334"/>
      <c r="AI116" s="334"/>
      <c r="AJ116" s="334"/>
      <c r="AK116" s="35"/>
      <c r="AL116" s="35"/>
      <c r="AM116" s="35"/>
      <c r="AN116" s="35"/>
      <c r="AO116" s="35"/>
      <c r="AP116" s="35"/>
      <c r="AQ116" s="39"/>
      <c r="AR116" s="39"/>
      <c r="AS116" s="35"/>
      <c r="AT116" s="35"/>
      <c r="AU116" s="35"/>
      <c r="AV116" s="35"/>
    </row>
    <row r="117" spans="2:48" x14ac:dyDescent="0.35">
      <c r="C117" s="312" t="s">
        <v>237</v>
      </c>
      <c r="D117" s="312"/>
      <c r="E117" s="312"/>
      <c r="F117" s="312"/>
      <c r="G117" s="312"/>
      <c r="H117" s="312"/>
      <c r="I117" s="312"/>
      <c r="J117" s="312"/>
      <c r="K117" s="312"/>
      <c r="N117" s="316" t="s">
        <v>238</v>
      </c>
      <c r="O117" s="316"/>
      <c r="P117" s="316"/>
      <c r="Q117" s="316"/>
      <c r="R117" s="316"/>
      <c r="S117" s="316"/>
      <c r="T117" s="316"/>
      <c r="U117" s="316"/>
      <c r="V117" s="316" t="s">
        <v>239</v>
      </c>
      <c r="W117" s="316"/>
      <c r="X117" s="316"/>
      <c r="Y117" s="316"/>
      <c r="Z117" s="316"/>
      <c r="AA117" s="316"/>
      <c r="AB117" s="316"/>
      <c r="AC117" s="316"/>
      <c r="AD117" s="316"/>
      <c r="AE117" s="316"/>
      <c r="AF117" s="316"/>
      <c r="AG117" s="316"/>
      <c r="AH117" s="316"/>
      <c r="AI117" s="316"/>
      <c r="AJ117" s="316"/>
      <c r="AK117" s="35"/>
      <c r="AL117" s="35"/>
      <c r="AM117" s="39"/>
      <c r="AN117" s="35"/>
      <c r="AO117" s="35"/>
      <c r="AP117" s="35"/>
      <c r="AQ117" s="35"/>
      <c r="AR117" s="35"/>
      <c r="AS117" s="35"/>
      <c r="AT117" s="35"/>
      <c r="AU117" s="35"/>
      <c r="AV117" s="35"/>
    </row>
    <row r="118" spans="2:48" x14ac:dyDescent="0.35">
      <c r="C118" s="312" t="s">
        <v>240</v>
      </c>
      <c r="D118" s="312"/>
      <c r="E118" s="312"/>
      <c r="F118" s="312"/>
      <c r="G118" s="312"/>
      <c r="H118" s="312"/>
      <c r="I118" s="312"/>
      <c r="J118" s="312"/>
      <c r="K118" s="312"/>
      <c r="Q118" s="35"/>
      <c r="R118" s="39"/>
      <c r="S118" s="35"/>
      <c r="T118" s="35"/>
      <c r="U118" s="35"/>
      <c r="V118" s="35"/>
      <c r="W118" s="35"/>
      <c r="X118" s="35"/>
      <c r="Y118" s="35"/>
      <c r="Z118" s="35"/>
      <c r="AA118" s="35"/>
      <c r="AB118" s="35"/>
      <c r="AC118" s="35"/>
      <c r="AD118" s="35"/>
      <c r="AE118" s="35"/>
      <c r="AF118" s="35"/>
      <c r="AG118" s="35"/>
      <c r="AH118" s="35"/>
      <c r="AI118" s="35"/>
      <c r="AJ118" s="35"/>
      <c r="AK118" s="35"/>
      <c r="AL118" s="35"/>
      <c r="AM118" s="39"/>
      <c r="AN118" s="35"/>
      <c r="AO118" s="35"/>
      <c r="AP118" s="35"/>
      <c r="AQ118" s="35"/>
      <c r="AR118" s="35"/>
      <c r="AS118" s="35"/>
      <c r="AT118" s="35"/>
      <c r="AU118" s="35"/>
      <c r="AV118" s="35"/>
    </row>
    <row r="119" spans="2:48" x14ac:dyDescent="0.35">
      <c r="C119" s="312" t="s">
        <v>241</v>
      </c>
      <c r="D119" s="312"/>
      <c r="E119" s="312"/>
      <c r="F119" s="312"/>
      <c r="G119" s="312"/>
      <c r="H119" s="312"/>
      <c r="I119" s="312"/>
      <c r="J119" s="312"/>
      <c r="K119" s="312"/>
      <c r="Q119" s="35"/>
      <c r="R119" s="39"/>
      <c r="S119" s="35"/>
      <c r="T119" s="35"/>
      <c r="U119" s="35"/>
      <c r="V119" s="35"/>
      <c r="W119" s="35"/>
      <c r="X119" s="35"/>
      <c r="Y119" s="35"/>
      <c r="Z119" s="35"/>
      <c r="AA119" s="35"/>
      <c r="AB119" s="35"/>
      <c r="AC119" s="35"/>
      <c r="AD119" s="35"/>
      <c r="AE119" s="35"/>
      <c r="AF119" s="35"/>
      <c r="AG119" s="35"/>
      <c r="AH119" s="35"/>
      <c r="AI119" s="35"/>
      <c r="AJ119" s="35"/>
      <c r="AK119" s="35"/>
      <c r="AL119" s="35"/>
      <c r="AM119" s="39"/>
      <c r="AN119" s="35"/>
      <c r="AO119" s="35"/>
      <c r="AP119" s="35"/>
      <c r="AQ119" s="35"/>
      <c r="AR119" s="35"/>
      <c r="AS119" s="35"/>
      <c r="AT119" s="35"/>
      <c r="AU119" s="35"/>
      <c r="AV119" s="35"/>
    </row>
    <row r="120" spans="2:48" x14ac:dyDescent="0.35">
      <c r="C120" s="312" t="s">
        <v>242</v>
      </c>
      <c r="D120" s="312"/>
      <c r="E120" s="312"/>
      <c r="F120" s="312"/>
      <c r="G120" s="312"/>
      <c r="H120" s="312"/>
      <c r="I120" s="312"/>
      <c r="J120" s="312"/>
      <c r="K120" s="312"/>
      <c r="Q120" s="35"/>
      <c r="R120" s="39"/>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9"/>
      <c r="AR120" s="39"/>
      <c r="AS120" s="35"/>
      <c r="AT120" s="35"/>
      <c r="AU120" s="35"/>
      <c r="AV120" s="35"/>
    </row>
    <row r="121" spans="2:48" x14ac:dyDescent="0.35">
      <c r="C121" s="312" t="s">
        <v>243</v>
      </c>
      <c r="D121" s="312"/>
      <c r="E121" s="312"/>
      <c r="F121" s="312"/>
      <c r="G121" s="312"/>
      <c r="H121" s="312"/>
      <c r="I121" s="312"/>
      <c r="J121" s="312"/>
      <c r="K121" s="312"/>
      <c r="N121" s="316" t="s">
        <v>244</v>
      </c>
      <c r="O121" s="316"/>
      <c r="P121" s="316"/>
      <c r="Q121" s="316"/>
      <c r="R121" s="316"/>
      <c r="S121" s="316"/>
      <c r="T121" s="316"/>
      <c r="U121" s="316"/>
      <c r="V121" s="316" t="s">
        <v>245</v>
      </c>
      <c r="W121" s="316"/>
      <c r="X121" s="316"/>
      <c r="Y121" s="316"/>
      <c r="Z121" s="316"/>
      <c r="AA121" s="316"/>
      <c r="AB121" s="316"/>
      <c r="AC121" s="316"/>
      <c r="AD121" s="316"/>
      <c r="AE121" s="316"/>
      <c r="AF121" s="316"/>
      <c r="AG121" s="316"/>
      <c r="AH121" s="316"/>
      <c r="AI121" s="316"/>
      <c r="AJ121" s="316"/>
    </row>
    <row r="122" spans="2:48" x14ac:dyDescent="0.35">
      <c r="C122" s="312" t="s">
        <v>246</v>
      </c>
      <c r="D122" s="312"/>
      <c r="E122" s="312"/>
      <c r="F122" s="312"/>
      <c r="G122" s="312"/>
      <c r="H122" s="312"/>
      <c r="I122" s="312"/>
      <c r="J122" s="312"/>
      <c r="K122" s="312"/>
      <c r="R122" s="41"/>
    </row>
    <row r="123" spans="2:48" x14ac:dyDescent="0.35">
      <c r="C123" s="312" t="s">
        <v>247</v>
      </c>
      <c r="D123" s="312"/>
      <c r="E123" s="312"/>
      <c r="F123" s="312"/>
      <c r="G123" s="312"/>
      <c r="H123" s="312"/>
      <c r="I123" s="312"/>
      <c r="J123" s="312"/>
      <c r="K123" s="312"/>
      <c r="AQ123" s="41"/>
    </row>
    <row r="124" spans="2:48" x14ac:dyDescent="0.35">
      <c r="C124" s="312" t="s">
        <v>248</v>
      </c>
      <c r="D124" s="312"/>
      <c r="E124" s="312"/>
      <c r="F124" s="312"/>
      <c r="G124" s="312"/>
      <c r="H124" s="312"/>
      <c r="I124" s="312"/>
      <c r="J124" s="312"/>
      <c r="K124" s="312"/>
    </row>
    <row r="125" spans="2:48" x14ac:dyDescent="0.35">
      <c r="C125" s="312" t="s">
        <v>249</v>
      </c>
      <c r="D125" s="312"/>
      <c r="E125" s="312"/>
      <c r="F125" s="312"/>
      <c r="G125" s="312"/>
      <c r="H125" s="312"/>
      <c r="I125" s="312"/>
      <c r="J125" s="312"/>
      <c r="K125" s="312"/>
    </row>
    <row r="126" spans="2:48" x14ac:dyDescent="0.35">
      <c r="C126" s="312" t="s">
        <v>250</v>
      </c>
      <c r="D126" s="312"/>
      <c r="E126" s="312"/>
      <c r="F126" s="312"/>
      <c r="G126" s="312"/>
      <c r="H126" s="312"/>
      <c r="I126" s="312"/>
      <c r="J126" s="312"/>
      <c r="K126" s="312"/>
    </row>
    <row r="127" spans="2:48" x14ac:dyDescent="0.35">
      <c r="C127" s="312" t="s">
        <v>251</v>
      </c>
      <c r="D127" s="312"/>
      <c r="E127" s="312"/>
      <c r="F127" s="312"/>
      <c r="G127" s="312"/>
      <c r="H127" s="312"/>
      <c r="I127" s="312"/>
      <c r="J127" s="312"/>
      <c r="K127" s="312"/>
    </row>
    <row r="128" spans="2:48" x14ac:dyDescent="0.35">
      <c r="C128" s="312" t="s">
        <v>252</v>
      </c>
      <c r="D128" s="312"/>
      <c r="E128" s="312"/>
      <c r="F128" s="312"/>
      <c r="G128" s="312"/>
      <c r="H128" s="312"/>
      <c r="I128" s="312"/>
      <c r="J128" s="312"/>
      <c r="K128" s="312"/>
    </row>
    <row r="129" spans="3:11" x14ac:dyDescent="0.35">
      <c r="C129" s="312" t="s">
        <v>253</v>
      </c>
      <c r="D129" s="312"/>
      <c r="E129" s="312"/>
      <c r="F129" s="312"/>
      <c r="G129" s="312"/>
      <c r="H129" s="312"/>
      <c r="I129" s="312"/>
      <c r="J129" s="312"/>
      <c r="K129" s="312"/>
    </row>
  </sheetData>
  <mergeCells count="61">
    <mergeCell ref="AW4:AY4"/>
    <mergeCell ref="V121:AJ121"/>
    <mergeCell ref="V116:AJ116"/>
    <mergeCell ref="V117:AJ117"/>
    <mergeCell ref="C116:K116"/>
    <mergeCell ref="C117:K117"/>
    <mergeCell ref="C118:K118"/>
    <mergeCell ref="C119:K119"/>
    <mergeCell ref="N117:U117"/>
    <mergeCell ref="AO4:AO5"/>
    <mergeCell ref="AV4:AV5"/>
    <mergeCell ref="K4:O4"/>
    <mergeCell ref="Z4:Z5"/>
    <mergeCell ref="AA4:AA5"/>
    <mergeCell ref="P4:T4"/>
    <mergeCell ref="U4:U5"/>
    <mergeCell ref="A6:A16"/>
    <mergeCell ref="A17:A20"/>
    <mergeCell ref="AS4:AS5"/>
    <mergeCell ref="AT4:AT5"/>
    <mergeCell ref="AU4:AU5"/>
    <mergeCell ref="AB4:AD4"/>
    <mergeCell ref="AE4:AG4"/>
    <mergeCell ref="AR4:AR5"/>
    <mergeCell ref="AM4:AM5"/>
    <mergeCell ref="V4:V5"/>
    <mergeCell ref="AQ4:AQ5"/>
    <mergeCell ref="AP4:AP5"/>
    <mergeCell ref="AK4:AK5"/>
    <mergeCell ref="AN4:AN5"/>
    <mergeCell ref="A4:A5"/>
    <mergeCell ref="AL4:AL5"/>
    <mergeCell ref="A46:A50"/>
    <mergeCell ref="A75:A79"/>
    <mergeCell ref="A27:A29"/>
    <mergeCell ref="A68:A73"/>
    <mergeCell ref="A22:A25"/>
    <mergeCell ref="A31:A36"/>
    <mergeCell ref="A38:A44"/>
    <mergeCell ref="C127:K127"/>
    <mergeCell ref="C128:K128"/>
    <mergeCell ref="C129:K129"/>
    <mergeCell ref="B1:T1"/>
    <mergeCell ref="B2:T2"/>
    <mergeCell ref="C120:K120"/>
    <mergeCell ref="C121:K121"/>
    <mergeCell ref="C122:K122"/>
    <mergeCell ref="C123:K123"/>
    <mergeCell ref="C124:K124"/>
    <mergeCell ref="N121:U121"/>
    <mergeCell ref="C115:L115"/>
    <mergeCell ref="B4:B5"/>
    <mergeCell ref="C4:C5"/>
    <mergeCell ref="D4:D5"/>
    <mergeCell ref="E4:J4"/>
    <mergeCell ref="A109:A110"/>
    <mergeCell ref="A81:A94"/>
    <mergeCell ref="A52:A65"/>
    <mergeCell ref="C125:K125"/>
    <mergeCell ref="C126:K126"/>
    <mergeCell ref="A96:A10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4"/>
  <sheetViews>
    <sheetView workbookViewId="0"/>
  </sheetViews>
  <sheetFormatPr defaultColWidth="8.7265625" defaultRowHeight="15.5" x14ac:dyDescent="0.35"/>
  <cols>
    <col min="1" max="1" width="4.1796875" style="263" customWidth="1"/>
    <col min="2" max="2" width="20.81640625" style="263" customWidth="1"/>
    <col min="3" max="3" width="5.7265625" style="263" customWidth="1"/>
    <col min="4" max="4" width="8.1796875" style="263" customWidth="1"/>
    <col min="5" max="5" width="15.54296875" style="263" customWidth="1"/>
    <col min="6" max="6" width="16.1796875" style="263" customWidth="1"/>
    <col min="7" max="7" width="34.1796875" style="263" customWidth="1"/>
    <col min="8" max="8" width="24.26953125" style="295" customWidth="1"/>
    <col min="9" max="9" width="57.453125" style="296" customWidth="1"/>
    <col min="10" max="10" width="55" style="263" customWidth="1"/>
    <col min="11" max="16384" width="8.7265625" style="263"/>
  </cols>
  <sheetData>
    <row r="1" spans="1:9" ht="15" customHeight="1" x14ac:dyDescent="0.35">
      <c r="A1" s="343" t="s">
        <v>254</v>
      </c>
      <c r="B1" s="343"/>
      <c r="C1" s="343"/>
      <c r="D1" s="343"/>
      <c r="E1" s="343"/>
      <c r="F1" s="343"/>
      <c r="G1" s="343"/>
      <c r="H1" s="343"/>
      <c r="I1" s="343"/>
    </row>
    <row r="2" spans="1:9" ht="15" customHeight="1" x14ac:dyDescent="0.35">
      <c r="A2" s="344" t="s">
        <v>255</v>
      </c>
      <c r="B2" s="344"/>
      <c r="C2" s="344"/>
      <c r="D2" s="344"/>
      <c r="E2" s="344"/>
      <c r="F2" s="344"/>
      <c r="G2" s="344"/>
      <c r="H2" s="344"/>
      <c r="I2" s="344"/>
    </row>
    <row r="3" spans="1:9" x14ac:dyDescent="0.35">
      <c r="A3" s="264"/>
      <c r="B3" s="264"/>
      <c r="C3" s="264"/>
      <c r="D3" s="264"/>
      <c r="E3" s="264"/>
      <c r="F3" s="264"/>
      <c r="G3" s="264"/>
      <c r="H3" s="264"/>
      <c r="I3" s="264"/>
    </row>
    <row r="4" spans="1:9" x14ac:dyDescent="0.35">
      <c r="A4" s="265" t="s">
        <v>3</v>
      </c>
      <c r="B4" s="265" t="s">
        <v>256</v>
      </c>
      <c r="C4" s="266" t="s">
        <v>257</v>
      </c>
      <c r="D4" s="266" t="s">
        <v>258</v>
      </c>
      <c r="E4" s="266" t="s">
        <v>259</v>
      </c>
      <c r="F4" s="266" t="s">
        <v>260</v>
      </c>
      <c r="G4" s="266" t="s">
        <v>261</v>
      </c>
      <c r="H4" s="266" t="s">
        <v>262</v>
      </c>
      <c r="I4" s="265" t="s">
        <v>28</v>
      </c>
    </row>
    <row r="5" spans="1:9" x14ac:dyDescent="0.35">
      <c r="A5" s="267">
        <v>1</v>
      </c>
      <c r="B5" s="268" t="s">
        <v>263</v>
      </c>
      <c r="C5" s="269" t="s">
        <v>264</v>
      </c>
      <c r="D5" s="269">
        <v>45</v>
      </c>
      <c r="E5" s="269" t="s">
        <v>265</v>
      </c>
      <c r="F5" s="269" t="s">
        <v>266</v>
      </c>
      <c r="G5" s="269" t="s">
        <v>267</v>
      </c>
      <c r="H5" s="270" t="s">
        <v>268</v>
      </c>
      <c r="I5" s="271"/>
    </row>
    <row r="6" spans="1:9" x14ac:dyDescent="0.35">
      <c r="A6" s="267">
        <v>2</v>
      </c>
      <c r="B6" s="268" t="s">
        <v>269</v>
      </c>
      <c r="C6" s="269" t="s">
        <v>270</v>
      </c>
      <c r="D6" s="269">
        <v>48</v>
      </c>
      <c r="E6" s="269" t="s">
        <v>271</v>
      </c>
      <c r="F6" s="269" t="s">
        <v>266</v>
      </c>
      <c r="G6" s="269" t="s">
        <v>267</v>
      </c>
      <c r="H6" s="270" t="s">
        <v>268</v>
      </c>
      <c r="I6" s="271"/>
    </row>
    <row r="7" spans="1:9" x14ac:dyDescent="0.35">
      <c r="A7" s="267">
        <v>3</v>
      </c>
      <c r="B7" s="272" t="s">
        <v>272</v>
      </c>
      <c r="C7" s="269" t="s">
        <v>273</v>
      </c>
      <c r="D7" s="269">
        <v>44</v>
      </c>
      <c r="E7" s="269" t="s">
        <v>274</v>
      </c>
      <c r="F7" s="269" t="s">
        <v>275</v>
      </c>
      <c r="G7" s="269" t="s">
        <v>276</v>
      </c>
      <c r="H7" s="270" t="s">
        <v>268</v>
      </c>
      <c r="I7" s="273"/>
    </row>
    <row r="8" spans="1:9" x14ac:dyDescent="0.35">
      <c r="A8" s="267">
        <v>4</v>
      </c>
      <c r="B8" s="272" t="s">
        <v>277</v>
      </c>
      <c r="C8" s="269" t="s">
        <v>278</v>
      </c>
      <c r="D8" s="269">
        <v>45</v>
      </c>
      <c r="E8" s="269" t="s">
        <v>279</v>
      </c>
      <c r="F8" s="269" t="s">
        <v>275</v>
      </c>
      <c r="G8" s="269" t="s">
        <v>276</v>
      </c>
      <c r="H8" s="270" t="s">
        <v>268</v>
      </c>
      <c r="I8" s="273"/>
    </row>
    <row r="9" spans="1:9" x14ac:dyDescent="0.35">
      <c r="A9" s="267">
        <v>5</v>
      </c>
      <c r="B9" s="272" t="s">
        <v>280</v>
      </c>
      <c r="C9" s="269" t="s">
        <v>281</v>
      </c>
      <c r="D9" s="269">
        <v>43</v>
      </c>
      <c r="E9" s="269" t="s">
        <v>282</v>
      </c>
      <c r="F9" s="269" t="s">
        <v>275</v>
      </c>
      <c r="G9" s="269" t="s">
        <v>276</v>
      </c>
      <c r="H9" s="270" t="s">
        <v>268</v>
      </c>
      <c r="I9" s="273"/>
    </row>
    <row r="10" spans="1:9" x14ac:dyDescent="0.35">
      <c r="A10" s="267">
        <v>6</v>
      </c>
      <c r="B10" s="272" t="s">
        <v>283</v>
      </c>
      <c r="C10" s="269" t="s">
        <v>284</v>
      </c>
      <c r="D10" s="269">
        <v>43</v>
      </c>
      <c r="E10" s="269" t="s">
        <v>285</v>
      </c>
      <c r="F10" s="269" t="s">
        <v>275</v>
      </c>
      <c r="G10" s="269" t="s">
        <v>276</v>
      </c>
      <c r="H10" s="270" t="s">
        <v>268</v>
      </c>
      <c r="I10" s="273"/>
    </row>
    <row r="11" spans="1:9" x14ac:dyDescent="0.35">
      <c r="A11" s="267">
        <v>7</v>
      </c>
      <c r="B11" s="272" t="s">
        <v>286</v>
      </c>
      <c r="C11" s="269" t="s">
        <v>287</v>
      </c>
      <c r="D11" s="269">
        <v>44</v>
      </c>
      <c r="E11" s="269" t="s">
        <v>288</v>
      </c>
      <c r="F11" s="269" t="s">
        <v>275</v>
      </c>
      <c r="G11" s="269" t="s">
        <v>276</v>
      </c>
      <c r="H11" s="270" t="s">
        <v>268</v>
      </c>
      <c r="I11" s="271"/>
    </row>
    <row r="12" spans="1:9" x14ac:dyDescent="0.35">
      <c r="A12" s="267">
        <v>8</v>
      </c>
      <c r="B12" s="272" t="s">
        <v>289</v>
      </c>
      <c r="C12" s="269" t="s">
        <v>290</v>
      </c>
      <c r="D12" s="269">
        <v>47</v>
      </c>
      <c r="E12" s="269" t="s">
        <v>291</v>
      </c>
      <c r="F12" s="269" t="s">
        <v>292</v>
      </c>
      <c r="G12" s="269" t="s">
        <v>293</v>
      </c>
      <c r="H12" s="270" t="s">
        <v>294</v>
      </c>
      <c r="I12" s="271"/>
    </row>
    <row r="13" spans="1:9" x14ac:dyDescent="0.35">
      <c r="A13" s="267">
        <v>9</v>
      </c>
      <c r="B13" s="268" t="s">
        <v>295</v>
      </c>
      <c r="C13" s="269" t="s">
        <v>296</v>
      </c>
      <c r="D13" s="269">
        <v>47</v>
      </c>
      <c r="E13" s="269" t="s">
        <v>297</v>
      </c>
      <c r="F13" s="269" t="s">
        <v>292</v>
      </c>
      <c r="G13" s="269" t="s">
        <v>293</v>
      </c>
      <c r="H13" s="270" t="s">
        <v>294</v>
      </c>
      <c r="I13" s="271"/>
    </row>
    <row r="14" spans="1:9" x14ac:dyDescent="0.35">
      <c r="A14" s="267">
        <v>10</v>
      </c>
      <c r="B14" s="268" t="s">
        <v>298</v>
      </c>
      <c r="C14" s="269" t="s">
        <v>299</v>
      </c>
      <c r="D14" s="269">
        <v>45</v>
      </c>
      <c r="E14" s="269" t="s">
        <v>300</v>
      </c>
      <c r="F14" s="269" t="s">
        <v>292</v>
      </c>
      <c r="G14" s="269" t="s">
        <v>293</v>
      </c>
      <c r="H14" s="270" t="s">
        <v>294</v>
      </c>
      <c r="I14" s="273"/>
    </row>
    <row r="15" spans="1:9" x14ac:dyDescent="0.35">
      <c r="A15" s="267">
        <v>11</v>
      </c>
      <c r="B15" s="268" t="s">
        <v>301</v>
      </c>
      <c r="C15" s="269" t="s">
        <v>302</v>
      </c>
      <c r="D15" s="269">
        <v>45</v>
      </c>
      <c r="E15" s="269" t="s">
        <v>303</v>
      </c>
      <c r="F15" s="269" t="s">
        <v>292</v>
      </c>
      <c r="G15" s="269" t="s">
        <v>293</v>
      </c>
      <c r="H15" s="270" t="s">
        <v>294</v>
      </c>
      <c r="I15" s="271"/>
    </row>
    <row r="16" spans="1:9" x14ac:dyDescent="0.35">
      <c r="A16" s="267">
        <v>12</v>
      </c>
      <c r="B16" s="268" t="s">
        <v>304</v>
      </c>
      <c r="C16" s="269" t="s">
        <v>305</v>
      </c>
      <c r="D16" s="269">
        <v>44</v>
      </c>
      <c r="E16" s="269" t="s">
        <v>306</v>
      </c>
      <c r="F16" s="269" t="s">
        <v>292</v>
      </c>
      <c r="G16" s="269" t="s">
        <v>293</v>
      </c>
      <c r="H16" s="270" t="s">
        <v>294</v>
      </c>
      <c r="I16" s="271"/>
    </row>
    <row r="17" spans="1:10" x14ac:dyDescent="0.35">
      <c r="A17" s="274">
        <v>13</v>
      </c>
      <c r="B17" s="275" t="s">
        <v>307</v>
      </c>
      <c r="C17" s="276" t="s">
        <v>308</v>
      </c>
      <c r="D17" s="276">
        <v>44</v>
      </c>
      <c r="E17" s="276" t="s">
        <v>309</v>
      </c>
      <c r="F17" s="276" t="s">
        <v>292</v>
      </c>
      <c r="G17" s="276" t="s">
        <v>293</v>
      </c>
      <c r="H17" s="277" t="s">
        <v>294</v>
      </c>
      <c r="I17" s="274"/>
      <c r="J17" s="274" t="s">
        <v>310</v>
      </c>
    </row>
    <row r="18" spans="1:10" x14ac:dyDescent="0.35">
      <c r="A18" s="267">
        <v>14</v>
      </c>
      <c r="B18" s="268" t="s">
        <v>311</v>
      </c>
      <c r="C18" s="269" t="s">
        <v>312</v>
      </c>
      <c r="D18" s="269">
        <v>45</v>
      </c>
      <c r="E18" s="269" t="s">
        <v>313</v>
      </c>
      <c r="F18" s="269" t="s">
        <v>314</v>
      </c>
      <c r="G18" s="269" t="s">
        <v>315</v>
      </c>
      <c r="H18" s="270" t="s">
        <v>316</v>
      </c>
      <c r="I18" s="271"/>
    </row>
    <row r="19" spans="1:10" x14ac:dyDescent="0.35">
      <c r="A19" s="267">
        <v>15</v>
      </c>
      <c r="B19" s="278" t="s">
        <v>317</v>
      </c>
      <c r="C19" s="269" t="s">
        <v>318</v>
      </c>
      <c r="D19" s="269">
        <v>49</v>
      </c>
      <c r="E19" s="269" t="s">
        <v>319</v>
      </c>
      <c r="F19" s="269" t="s">
        <v>314</v>
      </c>
      <c r="G19" s="269" t="s">
        <v>315</v>
      </c>
      <c r="H19" s="277" t="s">
        <v>316</v>
      </c>
      <c r="I19" s="279"/>
    </row>
    <row r="20" spans="1:10" x14ac:dyDescent="0.35">
      <c r="A20" s="267">
        <v>16</v>
      </c>
      <c r="B20" s="278" t="s">
        <v>320</v>
      </c>
      <c r="C20" s="269" t="s">
        <v>321</v>
      </c>
      <c r="D20" s="269">
        <v>40</v>
      </c>
      <c r="E20" s="269" t="s">
        <v>322</v>
      </c>
      <c r="F20" s="269" t="s">
        <v>323</v>
      </c>
      <c r="G20" s="269" t="s">
        <v>324</v>
      </c>
      <c r="H20" s="270" t="s">
        <v>325</v>
      </c>
      <c r="I20" s="279"/>
    </row>
    <row r="21" spans="1:10" x14ac:dyDescent="0.35">
      <c r="A21" s="267">
        <v>17</v>
      </c>
      <c r="B21" s="278" t="s">
        <v>326</v>
      </c>
      <c r="C21" s="269" t="s">
        <v>327</v>
      </c>
      <c r="D21" s="269">
        <v>43</v>
      </c>
      <c r="E21" s="269" t="s">
        <v>328</v>
      </c>
      <c r="F21" s="269" t="s">
        <v>323</v>
      </c>
      <c r="G21" s="269" t="s">
        <v>324</v>
      </c>
      <c r="H21" s="270" t="s">
        <v>325</v>
      </c>
      <c r="I21" s="279"/>
    </row>
    <row r="22" spans="1:10" x14ac:dyDescent="0.35">
      <c r="A22" s="267">
        <v>18</v>
      </c>
      <c r="B22" s="278" t="s">
        <v>329</v>
      </c>
      <c r="C22" s="269" t="s">
        <v>330</v>
      </c>
      <c r="D22" s="269">
        <v>37</v>
      </c>
      <c r="E22" s="269" t="s">
        <v>331</v>
      </c>
      <c r="F22" s="269" t="s">
        <v>332</v>
      </c>
      <c r="G22" s="269" t="s">
        <v>333</v>
      </c>
      <c r="H22" s="270" t="s">
        <v>334</v>
      </c>
      <c r="I22" s="279"/>
    </row>
    <row r="23" spans="1:10" x14ac:dyDescent="0.35">
      <c r="A23" s="267">
        <v>19</v>
      </c>
      <c r="B23" s="278" t="s">
        <v>335</v>
      </c>
      <c r="C23" s="269" t="s">
        <v>336</v>
      </c>
      <c r="D23" s="269">
        <v>36</v>
      </c>
      <c r="E23" s="269" t="s">
        <v>337</v>
      </c>
      <c r="F23" s="269" t="s">
        <v>332</v>
      </c>
      <c r="G23" s="269" t="s">
        <v>333</v>
      </c>
      <c r="H23" s="270" t="s">
        <v>334</v>
      </c>
      <c r="I23" s="279"/>
    </row>
    <row r="24" spans="1:10" x14ac:dyDescent="0.35">
      <c r="A24" s="267">
        <v>20</v>
      </c>
      <c r="B24" s="278" t="s">
        <v>338</v>
      </c>
      <c r="C24" s="269" t="s">
        <v>339</v>
      </c>
      <c r="D24" s="269">
        <v>35</v>
      </c>
      <c r="E24" s="269" t="s">
        <v>340</v>
      </c>
      <c r="F24" s="269" t="s">
        <v>332</v>
      </c>
      <c r="G24" s="269" t="s">
        <v>333</v>
      </c>
      <c r="H24" s="270" t="s">
        <v>334</v>
      </c>
      <c r="I24" s="279"/>
    </row>
    <row r="25" spans="1:10" x14ac:dyDescent="0.35">
      <c r="A25" s="267">
        <v>21</v>
      </c>
      <c r="B25" s="278" t="s">
        <v>341</v>
      </c>
      <c r="C25" s="269" t="s">
        <v>342</v>
      </c>
      <c r="D25" s="269">
        <v>43</v>
      </c>
      <c r="E25" s="269" t="s">
        <v>343</v>
      </c>
      <c r="F25" s="269" t="s">
        <v>344</v>
      </c>
      <c r="G25" s="269" t="s">
        <v>345</v>
      </c>
      <c r="H25" s="270" t="s">
        <v>346</v>
      </c>
      <c r="I25" s="279"/>
    </row>
    <row r="26" spans="1:10" x14ac:dyDescent="0.35">
      <c r="A26" s="280">
        <v>1</v>
      </c>
      <c r="B26" s="281" t="s">
        <v>347</v>
      </c>
      <c r="C26" s="282" t="s">
        <v>348</v>
      </c>
      <c r="D26" s="282">
        <v>38</v>
      </c>
      <c r="E26" s="282" t="s">
        <v>349</v>
      </c>
      <c r="F26" s="282" t="s">
        <v>266</v>
      </c>
      <c r="G26" s="282" t="s">
        <v>350</v>
      </c>
      <c r="H26" s="283" t="s">
        <v>268</v>
      </c>
      <c r="I26" s="284"/>
    </row>
    <row r="27" spans="1:10" x14ac:dyDescent="0.35">
      <c r="A27" s="280">
        <v>2</v>
      </c>
      <c r="B27" s="281" t="s">
        <v>351</v>
      </c>
      <c r="C27" s="282" t="s">
        <v>352</v>
      </c>
      <c r="D27" s="282">
        <v>43</v>
      </c>
      <c r="E27" s="282" t="s">
        <v>353</v>
      </c>
      <c r="F27" s="282" t="s">
        <v>275</v>
      </c>
      <c r="G27" s="282" t="s">
        <v>354</v>
      </c>
      <c r="H27" s="282" t="s">
        <v>294</v>
      </c>
      <c r="I27" s="284"/>
    </row>
    <row r="28" spans="1:10" x14ac:dyDescent="0.35">
      <c r="A28" s="280">
        <v>3</v>
      </c>
      <c r="B28" s="285" t="s">
        <v>355</v>
      </c>
      <c r="C28" s="286" t="s">
        <v>356</v>
      </c>
      <c r="D28" s="286">
        <v>43</v>
      </c>
      <c r="E28" s="286" t="s">
        <v>357</v>
      </c>
      <c r="F28" s="286" t="s">
        <v>292</v>
      </c>
      <c r="G28" s="286" t="s">
        <v>358</v>
      </c>
      <c r="H28" s="282" t="s">
        <v>325</v>
      </c>
      <c r="I28" s="284"/>
    </row>
    <row r="29" spans="1:10" x14ac:dyDescent="0.35">
      <c r="A29" s="280">
        <v>4</v>
      </c>
      <c r="B29" s="287" t="s">
        <v>359</v>
      </c>
      <c r="C29" s="282" t="s">
        <v>360</v>
      </c>
      <c r="D29" s="282">
        <v>37</v>
      </c>
      <c r="E29" s="282" t="s">
        <v>361</v>
      </c>
      <c r="F29" s="282" t="s">
        <v>292</v>
      </c>
      <c r="G29" s="282" t="s">
        <v>358</v>
      </c>
      <c r="H29" s="282" t="s">
        <v>325</v>
      </c>
      <c r="I29" s="284"/>
    </row>
    <row r="30" spans="1:10" x14ac:dyDescent="0.35">
      <c r="A30" s="280">
        <v>5</v>
      </c>
      <c r="B30" s="281" t="s">
        <v>362</v>
      </c>
      <c r="C30" s="286" t="s">
        <v>363</v>
      </c>
      <c r="D30" s="286">
        <v>45</v>
      </c>
      <c r="E30" s="286" t="s">
        <v>364</v>
      </c>
      <c r="F30" s="286" t="s">
        <v>323</v>
      </c>
      <c r="G30" s="286" t="s">
        <v>365</v>
      </c>
      <c r="H30" s="282" t="s">
        <v>268</v>
      </c>
      <c r="I30" s="284"/>
    </row>
    <row r="31" spans="1:10" x14ac:dyDescent="0.35">
      <c r="A31" s="280">
        <v>6</v>
      </c>
      <c r="B31" s="285" t="s">
        <v>366</v>
      </c>
      <c r="C31" s="282" t="s">
        <v>367</v>
      </c>
      <c r="D31" s="282">
        <v>41</v>
      </c>
      <c r="E31" s="282" t="s">
        <v>368</v>
      </c>
      <c r="F31" s="282" t="s">
        <v>323</v>
      </c>
      <c r="G31" s="282" t="s">
        <v>365</v>
      </c>
      <c r="H31" s="282" t="s">
        <v>268</v>
      </c>
      <c r="I31" s="284"/>
    </row>
    <row r="32" spans="1:10" x14ac:dyDescent="0.35">
      <c r="A32" s="280">
        <v>7</v>
      </c>
      <c r="B32" s="281" t="s">
        <v>369</v>
      </c>
      <c r="C32" s="286" t="s">
        <v>370</v>
      </c>
      <c r="D32" s="286">
        <v>44</v>
      </c>
      <c r="E32" s="286" t="s">
        <v>371</v>
      </c>
      <c r="F32" s="286" t="s">
        <v>266</v>
      </c>
      <c r="G32" s="286" t="s">
        <v>350</v>
      </c>
      <c r="H32" s="282" t="s">
        <v>268</v>
      </c>
      <c r="I32" s="284"/>
    </row>
    <row r="33" spans="1:9" x14ac:dyDescent="0.35">
      <c r="A33" s="280">
        <v>8</v>
      </c>
      <c r="B33" s="281" t="s">
        <v>372</v>
      </c>
      <c r="C33" s="286" t="s">
        <v>373</v>
      </c>
      <c r="D33" s="286">
        <v>42</v>
      </c>
      <c r="E33" s="286" t="s">
        <v>374</v>
      </c>
      <c r="F33" s="286" t="s">
        <v>266</v>
      </c>
      <c r="G33" s="286" t="s">
        <v>350</v>
      </c>
      <c r="H33" s="282" t="s">
        <v>268</v>
      </c>
      <c r="I33" s="284"/>
    </row>
    <row r="34" spans="1:9" x14ac:dyDescent="0.35">
      <c r="A34" s="280">
        <v>9</v>
      </c>
      <c r="B34" s="287" t="s">
        <v>375</v>
      </c>
      <c r="C34" s="282" t="s">
        <v>376</v>
      </c>
      <c r="D34" s="282">
        <v>44</v>
      </c>
      <c r="E34" s="282" t="s">
        <v>377</v>
      </c>
      <c r="F34" s="282" t="s">
        <v>314</v>
      </c>
      <c r="G34" s="282" t="s">
        <v>378</v>
      </c>
      <c r="H34" s="282" t="s">
        <v>294</v>
      </c>
      <c r="I34" s="284"/>
    </row>
    <row r="35" spans="1:9" x14ac:dyDescent="0.35">
      <c r="A35" s="280">
        <v>10</v>
      </c>
      <c r="B35" s="281" t="s">
        <v>379</v>
      </c>
      <c r="C35" s="282" t="s">
        <v>380</v>
      </c>
      <c r="D35" s="282">
        <v>45</v>
      </c>
      <c r="E35" s="282" t="s">
        <v>381</v>
      </c>
      <c r="F35" s="282" t="s">
        <v>314</v>
      </c>
      <c r="G35" s="282" t="s">
        <v>378</v>
      </c>
      <c r="H35" s="282" t="s">
        <v>294</v>
      </c>
      <c r="I35" s="284"/>
    </row>
    <row r="36" spans="1:9" x14ac:dyDescent="0.35">
      <c r="A36" s="280">
        <v>11</v>
      </c>
      <c r="B36" s="281" t="s">
        <v>382</v>
      </c>
      <c r="C36" s="282" t="s">
        <v>383</v>
      </c>
      <c r="D36" s="282">
        <v>40</v>
      </c>
      <c r="E36" s="282" t="s">
        <v>384</v>
      </c>
      <c r="F36" s="282" t="s">
        <v>275</v>
      </c>
      <c r="G36" s="282" t="s">
        <v>354</v>
      </c>
      <c r="H36" s="282" t="s">
        <v>294</v>
      </c>
      <c r="I36" s="284"/>
    </row>
    <row r="37" spans="1:9" x14ac:dyDescent="0.35">
      <c r="A37" s="280">
        <v>12</v>
      </c>
      <c r="B37" s="281" t="s">
        <v>385</v>
      </c>
      <c r="C37" s="282" t="s">
        <v>386</v>
      </c>
      <c r="D37" s="282">
        <v>41</v>
      </c>
      <c r="E37" s="282" t="s">
        <v>387</v>
      </c>
      <c r="F37" s="282" t="s">
        <v>275</v>
      </c>
      <c r="G37" s="282" t="s">
        <v>354</v>
      </c>
      <c r="H37" s="282" t="s">
        <v>294</v>
      </c>
      <c r="I37" s="284"/>
    </row>
    <row r="38" spans="1:9" x14ac:dyDescent="0.35">
      <c r="A38" s="280">
        <v>13</v>
      </c>
      <c r="B38" s="281" t="s">
        <v>388</v>
      </c>
      <c r="C38" s="282" t="s">
        <v>389</v>
      </c>
      <c r="D38" s="282">
        <v>38</v>
      </c>
      <c r="E38" s="282" t="s">
        <v>390</v>
      </c>
      <c r="F38" s="282" t="s">
        <v>275</v>
      </c>
      <c r="G38" s="282" t="s">
        <v>354</v>
      </c>
      <c r="H38" s="282" t="s">
        <v>294</v>
      </c>
      <c r="I38" s="284"/>
    </row>
    <row r="39" spans="1:9" x14ac:dyDescent="0.35">
      <c r="A39" s="280">
        <v>14</v>
      </c>
      <c r="B39" s="287" t="s">
        <v>391</v>
      </c>
      <c r="C39" s="282" t="s">
        <v>392</v>
      </c>
      <c r="D39" s="282">
        <v>39</v>
      </c>
      <c r="E39" s="282" t="s">
        <v>393</v>
      </c>
      <c r="F39" s="282" t="s">
        <v>275</v>
      </c>
      <c r="G39" s="282" t="s">
        <v>354</v>
      </c>
      <c r="H39" s="282" t="s">
        <v>294</v>
      </c>
      <c r="I39" s="284"/>
    </row>
    <row r="40" spans="1:9" x14ac:dyDescent="0.35">
      <c r="A40" s="288">
        <v>1</v>
      </c>
      <c r="B40" s="289" t="s">
        <v>394</v>
      </c>
      <c r="C40" s="290" t="s">
        <v>395</v>
      </c>
      <c r="D40" s="290">
        <v>43</v>
      </c>
      <c r="E40" s="290" t="s">
        <v>396</v>
      </c>
      <c r="F40" s="290" t="s">
        <v>266</v>
      </c>
      <c r="G40" s="290" t="s">
        <v>358</v>
      </c>
      <c r="H40" s="290" t="s">
        <v>268</v>
      </c>
      <c r="I40" s="291"/>
    </row>
    <row r="41" spans="1:9" x14ac:dyDescent="0.35">
      <c r="A41" s="288">
        <v>2</v>
      </c>
      <c r="B41" s="292" t="s">
        <v>397</v>
      </c>
      <c r="C41" s="290" t="s">
        <v>398</v>
      </c>
      <c r="D41" s="290">
        <v>46</v>
      </c>
      <c r="E41" s="290" t="s">
        <v>399</v>
      </c>
      <c r="F41" s="290" t="s">
        <v>275</v>
      </c>
      <c r="G41" s="290" t="s">
        <v>267</v>
      </c>
      <c r="H41" s="290" t="s">
        <v>268</v>
      </c>
      <c r="I41" s="291"/>
    </row>
    <row r="42" spans="1:9" x14ac:dyDescent="0.35">
      <c r="A42" s="288">
        <v>3</v>
      </c>
      <c r="B42" s="292" t="s">
        <v>400</v>
      </c>
      <c r="C42" s="290" t="s">
        <v>401</v>
      </c>
      <c r="D42" s="290">
        <v>39</v>
      </c>
      <c r="E42" s="290" t="s">
        <v>402</v>
      </c>
      <c r="F42" s="290" t="s">
        <v>292</v>
      </c>
      <c r="G42" s="290" t="s">
        <v>350</v>
      </c>
      <c r="H42" s="290" t="s">
        <v>268</v>
      </c>
      <c r="I42" s="291"/>
    </row>
    <row r="43" spans="1:9" x14ac:dyDescent="0.35">
      <c r="A43" s="288">
        <v>4</v>
      </c>
      <c r="B43" s="292" t="s">
        <v>403</v>
      </c>
      <c r="C43" s="293" t="s">
        <v>404</v>
      </c>
      <c r="D43" s="293">
        <v>50</v>
      </c>
      <c r="E43" s="293" t="s">
        <v>405</v>
      </c>
      <c r="F43" s="293" t="s">
        <v>314</v>
      </c>
      <c r="G43" s="293" t="s">
        <v>276</v>
      </c>
      <c r="H43" s="290" t="s">
        <v>268</v>
      </c>
      <c r="I43" s="291"/>
    </row>
    <row r="44" spans="1:9" x14ac:dyDescent="0.35">
      <c r="A44" s="288">
        <v>5</v>
      </c>
      <c r="B44" s="292" t="s">
        <v>406</v>
      </c>
      <c r="C44" s="293" t="s">
        <v>407</v>
      </c>
      <c r="D44" s="293">
        <v>41</v>
      </c>
      <c r="E44" s="293" t="s">
        <v>408</v>
      </c>
      <c r="F44" s="293" t="s">
        <v>323</v>
      </c>
      <c r="G44" s="293" t="s">
        <v>409</v>
      </c>
      <c r="H44" s="290" t="s">
        <v>268</v>
      </c>
      <c r="I44" s="291"/>
    </row>
    <row r="45" spans="1:9" x14ac:dyDescent="0.35">
      <c r="A45" s="288">
        <v>6</v>
      </c>
      <c r="B45" s="289" t="s">
        <v>410</v>
      </c>
      <c r="C45" s="290" t="s">
        <v>411</v>
      </c>
      <c r="D45" s="290">
        <v>41</v>
      </c>
      <c r="E45" s="290" t="s">
        <v>412</v>
      </c>
      <c r="F45" s="290" t="s">
        <v>332</v>
      </c>
      <c r="G45" s="290" t="s">
        <v>293</v>
      </c>
      <c r="H45" s="294" t="s">
        <v>413</v>
      </c>
      <c r="I45" s="291"/>
    </row>
    <row r="46" spans="1:9" x14ac:dyDescent="0.35">
      <c r="A46" s="288">
        <v>7</v>
      </c>
      <c r="B46" s="292" t="s">
        <v>414</v>
      </c>
      <c r="C46" s="290" t="s">
        <v>415</v>
      </c>
      <c r="D46" s="290">
        <v>43</v>
      </c>
      <c r="E46" s="290" t="s">
        <v>416</v>
      </c>
      <c r="F46" s="290" t="s">
        <v>332</v>
      </c>
      <c r="G46" s="290" t="s">
        <v>293</v>
      </c>
      <c r="H46" s="290" t="s">
        <v>413</v>
      </c>
      <c r="I46" s="291"/>
    </row>
    <row r="47" spans="1:9" x14ac:dyDescent="0.35">
      <c r="A47" s="288">
        <v>8</v>
      </c>
      <c r="B47" s="292" t="s">
        <v>417</v>
      </c>
      <c r="C47" s="293" t="s">
        <v>418</v>
      </c>
      <c r="D47" s="293">
        <v>45</v>
      </c>
      <c r="E47" s="293" t="s">
        <v>419</v>
      </c>
      <c r="F47" s="293" t="s">
        <v>344</v>
      </c>
      <c r="G47" s="293" t="s">
        <v>420</v>
      </c>
      <c r="H47" s="294" t="s">
        <v>413</v>
      </c>
      <c r="I47" s="291"/>
    </row>
    <row r="48" spans="1:9" x14ac:dyDescent="0.35">
      <c r="A48" s="288">
        <v>9</v>
      </c>
      <c r="B48" s="289" t="s">
        <v>421</v>
      </c>
      <c r="C48" s="293" t="s">
        <v>422</v>
      </c>
      <c r="D48" s="293">
        <v>44</v>
      </c>
      <c r="E48" s="293" t="s">
        <v>423</v>
      </c>
      <c r="F48" s="293" t="s">
        <v>424</v>
      </c>
      <c r="G48" s="293" t="s">
        <v>345</v>
      </c>
      <c r="H48" s="290" t="s">
        <v>294</v>
      </c>
      <c r="I48" s="291"/>
    </row>
    <row r="49" spans="1:9" x14ac:dyDescent="0.35">
      <c r="A49" s="288">
        <v>10</v>
      </c>
      <c r="B49" s="292" t="s">
        <v>425</v>
      </c>
      <c r="C49" s="293" t="s">
        <v>426</v>
      </c>
      <c r="D49" s="293">
        <v>44</v>
      </c>
      <c r="E49" s="293" t="s">
        <v>427</v>
      </c>
      <c r="F49" s="293" t="s">
        <v>428</v>
      </c>
      <c r="G49" s="293" t="s">
        <v>429</v>
      </c>
      <c r="H49" s="290" t="s">
        <v>325</v>
      </c>
      <c r="I49" s="291"/>
    </row>
    <row r="50" spans="1:9" x14ac:dyDescent="0.35">
      <c r="A50" s="288">
        <v>11</v>
      </c>
      <c r="B50" s="289" t="s">
        <v>430</v>
      </c>
      <c r="C50" s="293" t="s">
        <v>431</v>
      </c>
      <c r="D50" s="293">
        <v>46</v>
      </c>
      <c r="E50" s="293" t="s">
        <v>432</v>
      </c>
      <c r="F50" s="293" t="s">
        <v>433</v>
      </c>
      <c r="G50" s="293" t="s">
        <v>434</v>
      </c>
      <c r="H50" s="290" t="s">
        <v>325</v>
      </c>
      <c r="I50" s="291"/>
    </row>
    <row r="51" spans="1:9" x14ac:dyDescent="0.35">
      <c r="A51" s="288">
        <v>12</v>
      </c>
      <c r="B51" s="292" t="s">
        <v>435</v>
      </c>
      <c r="C51" s="293" t="s">
        <v>436</v>
      </c>
      <c r="D51" s="293">
        <v>49</v>
      </c>
      <c r="E51" s="293" t="s">
        <v>437</v>
      </c>
      <c r="F51" s="293" t="s">
        <v>438</v>
      </c>
      <c r="G51" s="293" t="s">
        <v>333</v>
      </c>
      <c r="H51" s="290" t="s">
        <v>294</v>
      </c>
      <c r="I51" s="291"/>
    </row>
    <row r="52" spans="1:9" x14ac:dyDescent="0.35">
      <c r="A52" s="288">
        <v>13</v>
      </c>
      <c r="B52" s="289" t="s">
        <v>439</v>
      </c>
      <c r="C52" s="290" t="s">
        <v>440</v>
      </c>
      <c r="D52" s="290">
        <v>39</v>
      </c>
      <c r="E52" s="290" t="s">
        <v>441</v>
      </c>
      <c r="F52" s="290" t="s">
        <v>442</v>
      </c>
      <c r="G52" s="290" t="s">
        <v>443</v>
      </c>
      <c r="H52" s="290" t="s">
        <v>294</v>
      </c>
      <c r="I52" s="291"/>
    </row>
    <row r="53" spans="1:9" x14ac:dyDescent="0.35">
      <c r="A53" s="288">
        <v>14</v>
      </c>
      <c r="B53" s="292" t="s">
        <v>444</v>
      </c>
      <c r="C53" s="290" t="s">
        <v>445</v>
      </c>
      <c r="D53" s="290">
        <v>48</v>
      </c>
      <c r="E53" s="290" t="s">
        <v>446</v>
      </c>
      <c r="F53" s="290" t="s">
        <v>447</v>
      </c>
      <c r="G53" s="290" t="s">
        <v>354</v>
      </c>
      <c r="H53" s="290" t="s">
        <v>294</v>
      </c>
      <c r="I53" s="291"/>
    </row>
    <row r="54" spans="1:9" x14ac:dyDescent="0.35">
      <c r="A54" s="288">
        <v>15</v>
      </c>
      <c r="B54" s="289" t="s">
        <v>448</v>
      </c>
      <c r="C54" s="290" t="s">
        <v>449</v>
      </c>
      <c r="D54" s="290">
        <v>42</v>
      </c>
      <c r="E54" s="290" t="s">
        <v>450</v>
      </c>
      <c r="F54" s="290" t="s">
        <v>447</v>
      </c>
      <c r="G54" s="290" t="s">
        <v>354</v>
      </c>
      <c r="H54" s="290" t="s">
        <v>294</v>
      </c>
      <c r="I54" s="291"/>
    </row>
  </sheetData>
  <mergeCells count="2">
    <mergeCell ref="A1:I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6"/>
  <sheetViews>
    <sheetView topLeftCell="G1" workbookViewId="0">
      <selection activeCell="S5" sqref="S5"/>
    </sheetView>
  </sheetViews>
  <sheetFormatPr defaultColWidth="8.7265625" defaultRowHeight="13" x14ac:dyDescent="0.3"/>
  <cols>
    <col min="1" max="1" width="8" style="17" customWidth="1"/>
    <col min="2" max="2" width="12" style="17" customWidth="1"/>
    <col min="3" max="3" width="34.7265625" style="17" customWidth="1"/>
    <col min="4" max="4" width="28.453125" style="17" customWidth="1"/>
    <col min="5" max="5" width="20.1796875" style="17" customWidth="1"/>
    <col min="6" max="13" width="11.54296875" style="17" customWidth="1"/>
    <col min="14" max="17" width="11" style="17" customWidth="1"/>
    <col min="18" max="18" width="13" style="17" customWidth="1"/>
    <col min="19" max="19" width="13.26953125" style="17" customWidth="1"/>
    <col min="20" max="20" width="15.26953125" style="17" customWidth="1"/>
    <col min="21" max="21" width="40" style="17" customWidth="1"/>
    <col min="22" max="16384" width="8.7265625" style="17"/>
  </cols>
  <sheetData>
    <row r="1" spans="1:21" s="25" customFormat="1" x14ac:dyDescent="0.35">
      <c r="A1" s="350" t="s">
        <v>451</v>
      </c>
      <c r="B1" s="350"/>
      <c r="C1" s="350"/>
      <c r="D1" s="350"/>
      <c r="E1" s="350"/>
      <c r="F1" s="350"/>
      <c r="G1" s="350"/>
      <c r="H1" s="350"/>
      <c r="I1" s="350"/>
      <c r="J1" s="350"/>
      <c r="K1" s="350"/>
      <c r="L1" s="350"/>
      <c r="M1" s="350"/>
      <c r="N1" s="350"/>
      <c r="O1" s="350"/>
      <c r="P1" s="350"/>
      <c r="Q1" s="350"/>
      <c r="R1" s="350"/>
      <c r="S1" s="350"/>
      <c r="T1" s="351"/>
    </row>
    <row r="2" spans="1:21" s="25" customFormat="1" x14ac:dyDescent="0.35">
      <c r="A2" s="350" t="s">
        <v>255</v>
      </c>
      <c r="B2" s="350"/>
      <c r="C2" s="350"/>
      <c r="D2" s="350"/>
      <c r="E2" s="350"/>
      <c r="F2" s="350"/>
      <c r="G2" s="350"/>
      <c r="H2" s="350"/>
      <c r="I2" s="350"/>
      <c r="J2" s="350"/>
      <c r="K2" s="350"/>
      <c r="L2" s="350"/>
      <c r="M2" s="350"/>
      <c r="N2" s="350"/>
      <c r="O2" s="350"/>
      <c r="P2" s="350"/>
      <c r="Q2" s="350"/>
      <c r="R2" s="350"/>
      <c r="S2" s="350"/>
      <c r="T2" s="351"/>
    </row>
    <row r="4" spans="1:21" s="18" customFormat="1" x14ac:dyDescent="0.3">
      <c r="A4" s="23" t="s">
        <v>452</v>
      </c>
      <c r="B4" s="102" t="s">
        <v>453</v>
      </c>
      <c r="C4" s="102" t="s">
        <v>454</v>
      </c>
      <c r="D4" s="135" t="s">
        <v>455</v>
      </c>
      <c r="E4" s="23" t="s">
        <v>456</v>
      </c>
      <c r="F4" s="23" t="s">
        <v>188</v>
      </c>
      <c r="G4" s="23" t="s">
        <v>209</v>
      </c>
      <c r="H4" s="23" t="s">
        <v>100</v>
      </c>
      <c r="I4" s="23" t="s">
        <v>151</v>
      </c>
      <c r="J4" s="23" t="s">
        <v>171</v>
      </c>
      <c r="K4" s="23" t="s">
        <v>43</v>
      </c>
      <c r="L4" s="23" t="s">
        <v>457</v>
      </c>
      <c r="M4" s="23" t="s">
        <v>114</v>
      </c>
      <c r="N4" s="23" t="s">
        <v>66</v>
      </c>
      <c r="O4" s="23" t="s">
        <v>72</v>
      </c>
      <c r="P4" s="23" t="s">
        <v>458</v>
      </c>
      <c r="Q4" s="23" t="s">
        <v>459</v>
      </c>
      <c r="R4" s="23" t="s">
        <v>230</v>
      </c>
      <c r="S4" s="97" t="s">
        <v>33</v>
      </c>
      <c r="T4" s="112" t="s">
        <v>34</v>
      </c>
      <c r="U4" s="97" t="s">
        <v>28</v>
      </c>
    </row>
    <row r="5" spans="1:21" s="18" customFormat="1" x14ac:dyDescent="0.3">
      <c r="A5" s="22" t="s">
        <v>395</v>
      </c>
      <c r="B5" s="99" t="s">
        <v>266</v>
      </c>
      <c r="C5" s="107" t="s">
        <v>358</v>
      </c>
      <c r="D5" s="136" t="s">
        <v>268</v>
      </c>
      <c r="E5" s="142" t="s">
        <v>394</v>
      </c>
      <c r="F5" s="205" t="s">
        <v>460</v>
      </c>
      <c r="G5" s="205" t="s">
        <v>461</v>
      </c>
      <c r="H5" s="205" t="s">
        <v>462</v>
      </c>
      <c r="I5" s="299" t="s">
        <v>463</v>
      </c>
      <c r="J5" s="201"/>
      <c r="K5" s="206" t="s">
        <v>464</v>
      </c>
      <c r="L5" s="206" t="s">
        <v>465</v>
      </c>
      <c r="M5" s="209" t="s">
        <v>466</v>
      </c>
      <c r="N5" s="201"/>
      <c r="O5" s="206" t="s">
        <v>467</v>
      </c>
      <c r="P5" s="201"/>
      <c r="Q5" s="201" t="s">
        <v>468</v>
      </c>
      <c r="R5" s="201"/>
      <c r="S5" s="377" t="s">
        <v>462</v>
      </c>
      <c r="T5" s="108" t="s">
        <v>469</v>
      </c>
      <c r="U5" s="96"/>
    </row>
    <row r="6" spans="1:21" s="18" customFormat="1" x14ac:dyDescent="0.3">
      <c r="A6" s="22" t="s">
        <v>398</v>
      </c>
      <c r="B6" s="99" t="s">
        <v>275</v>
      </c>
      <c r="C6" s="107" t="s">
        <v>267</v>
      </c>
      <c r="D6" s="136" t="s">
        <v>268</v>
      </c>
      <c r="E6" s="143" t="s">
        <v>397</v>
      </c>
      <c r="F6" s="205" t="s">
        <v>470</v>
      </c>
      <c r="G6" s="205" t="s">
        <v>471</v>
      </c>
      <c r="H6" s="205" t="s">
        <v>472</v>
      </c>
      <c r="I6" s="299" t="s">
        <v>469</v>
      </c>
      <c r="J6" s="206" t="s">
        <v>473</v>
      </c>
      <c r="K6" s="206" t="s">
        <v>474</v>
      </c>
      <c r="L6" s="206" t="s">
        <v>475</v>
      </c>
      <c r="M6" s="206" t="s">
        <v>476</v>
      </c>
      <c r="N6" s="201"/>
      <c r="O6" s="201"/>
      <c r="P6" s="201"/>
      <c r="Q6" s="201" t="s">
        <v>477</v>
      </c>
      <c r="R6" s="201"/>
      <c r="S6" s="99" t="s">
        <v>470</v>
      </c>
      <c r="T6" s="108" t="s">
        <v>463</v>
      </c>
      <c r="U6" s="96"/>
    </row>
    <row r="7" spans="1:21" s="18" customFormat="1" x14ac:dyDescent="0.3">
      <c r="A7" s="32" t="s">
        <v>401</v>
      </c>
      <c r="B7" s="99" t="s">
        <v>292</v>
      </c>
      <c r="C7" s="99" t="s">
        <v>350</v>
      </c>
      <c r="D7" s="236" t="s">
        <v>268</v>
      </c>
      <c r="E7" s="143" t="s">
        <v>400</v>
      </c>
      <c r="F7" s="206" t="s">
        <v>478</v>
      </c>
      <c r="G7" s="204" t="s">
        <v>479</v>
      </c>
      <c r="H7" s="204" t="s">
        <v>462</v>
      </c>
      <c r="I7" s="201"/>
      <c r="J7" s="201" t="s">
        <v>480</v>
      </c>
      <c r="K7" s="201" t="s">
        <v>481</v>
      </c>
      <c r="L7" s="205" t="s">
        <v>482</v>
      </c>
      <c r="M7" s="209" t="s">
        <v>483</v>
      </c>
      <c r="N7" s="201"/>
      <c r="O7" s="201"/>
      <c r="P7" s="201"/>
      <c r="Q7" s="201" t="s">
        <v>468</v>
      </c>
      <c r="R7" s="201" t="s">
        <v>484</v>
      </c>
      <c r="S7" s="99" t="s">
        <v>478</v>
      </c>
      <c r="T7" s="108" t="s">
        <v>485</v>
      </c>
      <c r="U7" s="237" t="s">
        <v>486</v>
      </c>
    </row>
    <row r="8" spans="1:21" s="18" customFormat="1" ht="26" x14ac:dyDescent="0.3">
      <c r="A8" s="32" t="s">
        <v>404</v>
      </c>
      <c r="B8" s="99" t="s">
        <v>314</v>
      </c>
      <c r="C8" s="99" t="s">
        <v>276</v>
      </c>
      <c r="D8" s="134" t="s">
        <v>268</v>
      </c>
      <c r="E8" s="143" t="s">
        <v>403</v>
      </c>
      <c r="F8" s="298" t="s">
        <v>487</v>
      </c>
      <c r="G8" s="205" t="s">
        <v>479</v>
      </c>
      <c r="H8" s="205" t="s">
        <v>488</v>
      </c>
      <c r="I8" s="201"/>
      <c r="J8" s="201" t="s">
        <v>489</v>
      </c>
      <c r="K8" s="206" t="s">
        <v>490</v>
      </c>
      <c r="L8" s="206" t="s">
        <v>491</v>
      </c>
      <c r="M8" s="206" t="s">
        <v>492</v>
      </c>
      <c r="N8" s="201"/>
      <c r="O8" s="206" t="s">
        <v>493</v>
      </c>
      <c r="P8" s="201"/>
      <c r="Q8" s="201" t="s">
        <v>477</v>
      </c>
      <c r="R8" s="201"/>
      <c r="S8" s="99" t="s">
        <v>479</v>
      </c>
      <c r="T8" s="108" t="s">
        <v>463</v>
      </c>
      <c r="U8" s="96"/>
    </row>
    <row r="9" spans="1:21" s="18" customFormat="1" x14ac:dyDescent="0.3">
      <c r="A9" s="22" t="s">
        <v>407</v>
      </c>
      <c r="B9" s="99" t="s">
        <v>323</v>
      </c>
      <c r="C9" s="99" t="s">
        <v>409</v>
      </c>
      <c r="D9" s="134" t="s">
        <v>268</v>
      </c>
      <c r="E9" s="143" t="s">
        <v>406</v>
      </c>
      <c r="F9" s="205" t="s">
        <v>494</v>
      </c>
      <c r="G9" s="298" t="s">
        <v>461</v>
      </c>
      <c r="H9" s="205" t="s">
        <v>495</v>
      </c>
      <c r="I9" s="201"/>
      <c r="J9" s="201" t="s">
        <v>480</v>
      </c>
      <c r="K9" s="206" t="s">
        <v>496</v>
      </c>
      <c r="L9" s="206" t="s">
        <v>497</v>
      </c>
      <c r="M9" s="201" t="s">
        <v>483</v>
      </c>
      <c r="N9" s="209" t="s">
        <v>498</v>
      </c>
      <c r="O9" s="201"/>
      <c r="P9" s="201"/>
      <c r="Q9" s="201" t="s">
        <v>468</v>
      </c>
      <c r="R9" s="201"/>
      <c r="S9" s="99" t="s">
        <v>494</v>
      </c>
      <c r="T9" s="108" t="s">
        <v>496</v>
      </c>
      <c r="U9" s="96"/>
    </row>
    <row r="10" spans="1:21" s="18" customFormat="1" ht="39" x14ac:dyDescent="0.3">
      <c r="A10" s="22" t="s">
        <v>411</v>
      </c>
      <c r="B10" s="99" t="s">
        <v>332</v>
      </c>
      <c r="C10" s="99" t="s">
        <v>293</v>
      </c>
      <c r="D10" s="134" t="s">
        <v>413</v>
      </c>
      <c r="E10" s="143" t="s">
        <v>410</v>
      </c>
      <c r="F10" s="205" t="s">
        <v>460</v>
      </c>
      <c r="G10" s="205" t="s">
        <v>499</v>
      </c>
      <c r="H10" s="201"/>
      <c r="I10" s="201"/>
      <c r="J10" s="201" t="s">
        <v>480</v>
      </c>
      <c r="K10" s="206" t="s">
        <v>500</v>
      </c>
      <c r="L10" s="206" t="s">
        <v>491</v>
      </c>
      <c r="M10" s="204" t="s">
        <v>466</v>
      </c>
      <c r="N10" s="210" t="s">
        <v>498</v>
      </c>
      <c r="O10" s="201" t="s">
        <v>501</v>
      </c>
      <c r="P10" s="201"/>
      <c r="Q10" s="201" t="s">
        <v>468</v>
      </c>
      <c r="R10" s="201"/>
      <c r="S10" s="306" t="s">
        <v>1145</v>
      </c>
      <c r="T10" s="108" t="s">
        <v>485</v>
      </c>
      <c r="U10" s="96"/>
    </row>
    <row r="11" spans="1:21" s="18" customFormat="1" ht="39" x14ac:dyDescent="0.3">
      <c r="A11" s="22" t="s">
        <v>415</v>
      </c>
      <c r="B11" s="99" t="s">
        <v>332</v>
      </c>
      <c r="C11" s="99" t="s">
        <v>293</v>
      </c>
      <c r="D11" s="134" t="s">
        <v>413</v>
      </c>
      <c r="E11" s="143" t="s">
        <v>414</v>
      </c>
      <c r="F11" s="205" t="s">
        <v>502</v>
      </c>
      <c r="G11" s="298" t="s">
        <v>499</v>
      </c>
      <c r="H11" s="201"/>
      <c r="I11" s="201"/>
      <c r="J11" s="201" t="s">
        <v>480</v>
      </c>
      <c r="K11" s="206" t="s">
        <v>490</v>
      </c>
      <c r="L11" s="205" t="s">
        <v>465</v>
      </c>
      <c r="M11" s="200" t="s">
        <v>466</v>
      </c>
      <c r="N11" s="206" t="s">
        <v>503</v>
      </c>
      <c r="O11" s="201" t="s">
        <v>501</v>
      </c>
      <c r="P11" s="201"/>
      <c r="Q11" s="201" t="s">
        <v>468</v>
      </c>
      <c r="R11" s="201"/>
      <c r="S11" s="306" t="s">
        <v>1146</v>
      </c>
      <c r="T11" s="108" t="s">
        <v>463</v>
      </c>
      <c r="U11" s="96"/>
    </row>
    <row r="12" spans="1:21" s="18" customFormat="1" ht="26" x14ac:dyDescent="0.35">
      <c r="A12" s="22" t="s">
        <v>418</v>
      </c>
      <c r="B12" s="99" t="s">
        <v>344</v>
      </c>
      <c r="C12" s="99" t="s">
        <v>420</v>
      </c>
      <c r="D12" s="134" t="s">
        <v>413</v>
      </c>
      <c r="E12" s="143" t="s">
        <v>417</v>
      </c>
      <c r="F12" s="205" t="s">
        <v>502</v>
      </c>
      <c r="G12" s="300" t="s">
        <v>471</v>
      </c>
      <c r="H12" s="201"/>
      <c r="I12" s="201"/>
      <c r="J12" s="201" t="s">
        <v>473</v>
      </c>
      <c r="K12" s="202" t="s">
        <v>496</v>
      </c>
      <c r="L12" s="297" t="s">
        <v>497</v>
      </c>
      <c r="M12" s="201" t="s">
        <v>476</v>
      </c>
      <c r="N12" s="201"/>
      <c r="O12" s="204" t="s">
        <v>493</v>
      </c>
      <c r="P12" s="201"/>
      <c r="Q12" s="201" t="s">
        <v>477</v>
      </c>
      <c r="R12" s="201" t="s">
        <v>484</v>
      </c>
      <c r="S12" s="99" t="s">
        <v>504</v>
      </c>
      <c r="T12" s="108" t="s">
        <v>485</v>
      </c>
      <c r="U12" t="s">
        <v>505</v>
      </c>
    </row>
    <row r="13" spans="1:21" s="18" customFormat="1" ht="39" x14ac:dyDescent="0.3">
      <c r="A13" s="22" t="s">
        <v>422</v>
      </c>
      <c r="B13" s="99" t="s">
        <v>424</v>
      </c>
      <c r="C13" s="99" t="s">
        <v>345</v>
      </c>
      <c r="D13" s="134" t="s">
        <v>294</v>
      </c>
      <c r="E13" s="142" t="s">
        <v>421</v>
      </c>
      <c r="F13" s="209" t="s">
        <v>494</v>
      </c>
      <c r="G13" s="201"/>
      <c r="H13" s="202" t="s">
        <v>495</v>
      </c>
      <c r="I13" s="201"/>
      <c r="J13" s="201" t="s">
        <v>473</v>
      </c>
      <c r="K13" s="206" t="s">
        <v>506</v>
      </c>
      <c r="L13" s="205" t="s">
        <v>507</v>
      </c>
      <c r="M13" s="204" t="s">
        <v>476</v>
      </c>
      <c r="N13" s="205" t="s">
        <v>508</v>
      </c>
      <c r="O13" s="202" t="s">
        <v>467</v>
      </c>
      <c r="P13" s="201"/>
      <c r="Q13" s="201" t="s">
        <v>477</v>
      </c>
      <c r="R13" s="201"/>
      <c r="S13" s="306" t="s">
        <v>1147</v>
      </c>
      <c r="T13" s="108" t="s">
        <v>509</v>
      </c>
      <c r="U13" s="96"/>
    </row>
    <row r="14" spans="1:21" s="18" customFormat="1" ht="39" x14ac:dyDescent="0.3">
      <c r="A14" s="22" t="s">
        <v>426</v>
      </c>
      <c r="B14" s="99" t="s">
        <v>428</v>
      </c>
      <c r="C14" s="107" t="s">
        <v>429</v>
      </c>
      <c r="D14" s="136" t="s">
        <v>325</v>
      </c>
      <c r="E14" s="143" t="s">
        <v>425</v>
      </c>
      <c r="F14" s="207" t="s">
        <v>510</v>
      </c>
      <c r="G14" s="201"/>
      <c r="H14" s="204" t="s">
        <v>488</v>
      </c>
      <c r="I14" s="205" t="s">
        <v>509</v>
      </c>
      <c r="J14" s="201" t="s">
        <v>473</v>
      </c>
      <c r="K14" s="206" t="s">
        <v>506</v>
      </c>
      <c r="L14" s="222" t="s">
        <v>511</v>
      </c>
      <c r="M14" s="201" t="s">
        <v>483</v>
      </c>
      <c r="N14" s="201"/>
      <c r="O14" s="201" t="s">
        <v>467</v>
      </c>
      <c r="P14" s="201"/>
      <c r="Q14" s="201" t="s">
        <v>477</v>
      </c>
      <c r="R14" s="201"/>
      <c r="S14" s="306" t="s">
        <v>1148</v>
      </c>
      <c r="T14" s="108" t="s">
        <v>495</v>
      </c>
      <c r="U14" s="96"/>
    </row>
    <row r="15" spans="1:21" s="18" customFormat="1" ht="26" x14ac:dyDescent="0.3">
      <c r="A15" s="22" t="s">
        <v>431</v>
      </c>
      <c r="B15" s="99" t="s">
        <v>433</v>
      </c>
      <c r="C15" s="99" t="s">
        <v>434</v>
      </c>
      <c r="D15" s="134" t="s">
        <v>325</v>
      </c>
      <c r="E15" s="142" t="s">
        <v>430</v>
      </c>
      <c r="F15" s="207" t="s">
        <v>512</v>
      </c>
      <c r="G15" s="201"/>
      <c r="H15" s="204" t="s">
        <v>472</v>
      </c>
      <c r="I15" s="205" t="s">
        <v>485</v>
      </c>
      <c r="J15" s="201"/>
      <c r="K15" s="201" t="s">
        <v>481</v>
      </c>
      <c r="L15" s="222" t="s">
        <v>513</v>
      </c>
      <c r="M15" s="201" t="s">
        <v>492</v>
      </c>
      <c r="N15" s="202" t="s">
        <v>498</v>
      </c>
      <c r="O15" s="201" t="s">
        <v>493</v>
      </c>
      <c r="P15" s="201"/>
      <c r="Q15" s="201" t="s">
        <v>477</v>
      </c>
      <c r="R15" s="201"/>
      <c r="S15" s="99" t="s">
        <v>512</v>
      </c>
      <c r="T15" s="108" t="s">
        <v>514</v>
      </c>
      <c r="U15" s="96"/>
    </row>
    <row r="16" spans="1:21" s="18" customFormat="1" ht="39" x14ac:dyDescent="0.3">
      <c r="A16" s="22" t="s">
        <v>436</v>
      </c>
      <c r="B16" s="99" t="s">
        <v>438</v>
      </c>
      <c r="C16" s="99" t="s">
        <v>333</v>
      </c>
      <c r="D16" s="134" t="s">
        <v>294</v>
      </c>
      <c r="E16" s="143" t="s">
        <v>435</v>
      </c>
      <c r="F16" s="301" t="s">
        <v>478</v>
      </c>
      <c r="G16" s="201"/>
      <c r="H16" s="201"/>
      <c r="I16" s="299" t="s">
        <v>469</v>
      </c>
      <c r="J16" s="201" t="s">
        <v>489</v>
      </c>
      <c r="K16" s="206" t="s">
        <v>474</v>
      </c>
      <c r="L16" s="205" t="s">
        <v>511</v>
      </c>
      <c r="M16" s="204" t="s">
        <v>492</v>
      </c>
      <c r="N16" s="208" t="s">
        <v>508</v>
      </c>
      <c r="O16" s="201" t="s">
        <v>493</v>
      </c>
      <c r="P16" s="201"/>
      <c r="Q16" s="201" t="s">
        <v>477</v>
      </c>
      <c r="R16" s="201"/>
      <c r="S16" s="306" t="s">
        <v>1149</v>
      </c>
      <c r="T16" s="108" t="s">
        <v>463</v>
      </c>
      <c r="U16" s="96"/>
    </row>
    <row r="17" spans="1:21" s="18" customFormat="1" ht="39" x14ac:dyDescent="0.3">
      <c r="A17" s="22" t="s">
        <v>440</v>
      </c>
      <c r="B17" s="99" t="s">
        <v>442</v>
      </c>
      <c r="C17" s="99" t="s">
        <v>443</v>
      </c>
      <c r="D17" s="134" t="s">
        <v>294</v>
      </c>
      <c r="E17" s="142" t="s">
        <v>439</v>
      </c>
      <c r="F17" s="209" t="s">
        <v>512</v>
      </c>
      <c r="G17" s="201"/>
      <c r="H17" s="201"/>
      <c r="I17" s="299" t="s">
        <v>485</v>
      </c>
      <c r="J17" s="201"/>
      <c r="K17" s="201" t="s">
        <v>500</v>
      </c>
      <c r="L17" s="205" t="s">
        <v>513</v>
      </c>
      <c r="M17" s="208" t="s">
        <v>483</v>
      </c>
      <c r="N17" s="204" t="s">
        <v>508</v>
      </c>
      <c r="O17" s="201" t="s">
        <v>501</v>
      </c>
      <c r="P17" s="201"/>
      <c r="Q17" s="201" t="s">
        <v>468</v>
      </c>
      <c r="R17" s="201" t="s">
        <v>484</v>
      </c>
      <c r="S17" s="306" t="s">
        <v>1150</v>
      </c>
      <c r="T17" s="108" t="s">
        <v>485</v>
      </c>
      <c r="U17" s="96"/>
    </row>
    <row r="18" spans="1:21" s="18" customFormat="1" ht="26" x14ac:dyDescent="0.35">
      <c r="A18" s="22" t="s">
        <v>445</v>
      </c>
      <c r="B18" s="99" t="s">
        <v>447</v>
      </c>
      <c r="C18" s="107" t="s">
        <v>354</v>
      </c>
      <c r="D18" s="136" t="s">
        <v>294</v>
      </c>
      <c r="E18" s="143" t="s">
        <v>444</v>
      </c>
      <c r="F18" s="297" t="s">
        <v>487</v>
      </c>
      <c r="G18" s="201"/>
      <c r="H18" s="201"/>
      <c r="I18" s="201"/>
      <c r="J18" s="202" t="s">
        <v>473</v>
      </c>
      <c r="K18" s="206" t="s">
        <v>464</v>
      </c>
      <c r="L18" s="298" t="s">
        <v>507</v>
      </c>
      <c r="M18" s="204" t="s">
        <v>492</v>
      </c>
      <c r="N18" s="208" t="s">
        <v>498</v>
      </c>
      <c r="O18" s="201" t="s">
        <v>493</v>
      </c>
      <c r="P18" s="201"/>
      <c r="Q18" s="201" t="s">
        <v>477</v>
      </c>
      <c r="R18" s="201" t="s">
        <v>484</v>
      </c>
      <c r="S18" s="99" t="s">
        <v>515</v>
      </c>
      <c r="T18" s="108" t="s">
        <v>469</v>
      </c>
      <c r="U18" t="s">
        <v>516</v>
      </c>
    </row>
    <row r="19" spans="1:21" s="18" customFormat="1" ht="39" x14ac:dyDescent="0.3">
      <c r="A19" s="22" t="s">
        <v>449</v>
      </c>
      <c r="B19" s="99" t="s">
        <v>447</v>
      </c>
      <c r="C19" s="99" t="s">
        <v>354</v>
      </c>
      <c r="D19" s="134" t="s">
        <v>294</v>
      </c>
      <c r="E19" s="142" t="s">
        <v>448</v>
      </c>
      <c r="F19" s="302" t="s">
        <v>510</v>
      </c>
      <c r="G19" s="201"/>
      <c r="H19" s="201"/>
      <c r="I19" s="201"/>
      <c r="J19" s="201" t="s">
        <v>480</v>
      </c>
      <c r="K19" s="201" t="s">
        <v>490</v>
      </c>
      <c r="L19" s="206" t="s">
        <v>517</v>
      </c>
      <c r="M19" s="212" t="s">
        <v>466</v>
      </c>
      <c r="N19" s="204" t="s">
        <v>503</v>
      </c>
      <c r="O19" s="201" t="s">
        <v>501</v>
      </c>
      <c r="P19" s="201"/>
      <c r="Q19" s="201" t="s">
        <v>468</v>
      </c>
      <c r="R19" s="201" t="s">
        <v>484</v>
      </c>
      <c r="S19" s="306" t="s">
        <v>1151</v>
      </c>
      <c r="T19" s="108" t="s">
        <v>514</v>
      </c>
      <c r="U19" s="96"/>
    </row>
    <row r="20" spans="1:21" s="31" customFormat="1" x14ac:dyDescent="0.3">
      <c r="A20" s="345" t="s">
        <v>39</v>
      </c>
      <c r="B20" s="346"/>
      <c r="C20" s="347"/>
      <c r="D20" s="137"/>
      <c r="E20" s="33">
        <f t="shared" ref="E20:O20" si="0">COUNTA(E5:E19)</f>
        <v>15</v>
      </c>
      <c r="F20" s="23">
        <f t="shared" si="0"/>
        <v>15</v>
      </c>
      <c r="G20" s="23">
        <f t="shared" si="0"/>
        <v>8</v>
      </c>
      <c r="H20" s="23">
        <f t="shared" si="0"/>
        <v>8</v>
      </c>
      <c r="I20" s="23">
        <f t="shared" si="0"/>
        <v>6</v>
      </c>
      <c r="J20" s="23">
        <f t="shared" si="0"/>
        <v>12</v>
      </c>
      <c r="K20" s="23">
        <f t="shared" si="0"/>
        <v>15</v>
      </c>
      <c r="L20" s="23">
        <f t="shared" si="0"/>
        <v>15</v>
      </c>
      <c r="M20" s="23">
        <f t="shared" si="0"/>
        <v>15</v>
      </c>
      <c r="N20" s="23">
        <f t="shared" si="0"/>
        <v>9</v>
      </c>
      <c r="O20" s="23">
        <f t="shared" si="0"/>
        <v>12</v>
      </c>
      <c r="P20" s="23">
        <f>'Tổng hợp'!E37</f>
        <v>16</v>
      </c>
      <c r="Q20" s="23">
        <f>COUNTA(Q5:Q19)</f>
        <v>15</v>
      </c>
      <c r="R20" s="23">
        <f>COUNTA(R5:R19)</f>
        <v>5</v>
      </c>
      <c r="S20" s="97">
        <f>'Tổng hợp'!I112</f>
        <v>0</v>
      </c>
      <c r="T20" s="108">
        <f>COUNTA(T5:T19)</f>
        <v>15</v>
      </c>
      <c r="U20" s="98"/>
    </row>
    <row r="21" spans="1:21" s="31" customFormat="1" x14ac:dyDescent="0.3">
      <c r="A21" s="345" t="s">
        <v>518</v>
      </c>
      <c r="B21" s="346"/>
      <c r="C21" s="347"/>
      <c r="D21" s="137"/>
      <c r="E21" s="23"/>
      <c r="F21" s="23">
        <v>10</v>
      </c>
      <c r="G21" s="23">
        <v>8</v>
      </c>
      <c r="H21" s="23">
        <v>7</v>
      </c>
      <c r="I21" s="23">
        <v>2</v>
      </c>
      <c r="J21" s="23">
        <v>0</v>
      </c>
      <c r="K21" s="23">
        <v>0</v>
      </c>
      <c r="L21" s="23">
        <v>6</v>
      </c>
      <c r="M21" s="23">
        <v>6</v>
      </c>
      <c r="N21" s="23">
        <v>5</v>
      </c>
      <c r="O21" s="23">
        <v>1</v>
      </c>
      <c r="P21" s="23">
        <v>0</v>
      </c>
      <c r="Q21" s="23">
        <v>0</v>
      </c>
      <c r="R21" s="23">
        <v>0</v>
      </c>
      <c r="S21" s="97">
        <v>0</v>
      </c>
      <c r="T21" s="108">
        <v>0</v>
      </c>
      <c r="U21" s="98"/>
    </row>
    <row r="22" spans="1:21" s="31" customFormat="1" x14ac:dyDescent="0.3">
      <c r="A22" s="348" t="s">
        <v>519</v>
      </c>
      <c r="B22" s="349"/>
      <c r="C22" s="348"/>
      <c r="D22" s="132"/>
      <c r="E22" s="33"/>
      <c r="F22" s="23">
        <v>15</v>
      </c>
      <c r="G22" s="23">
        <v>6</v>
      </c>
      <c r="H22" s="23">
        <v>4</v>
      </c>
      <c r="I22" s="23">
        <v>2</v>
      </c>
      <c r="J22" s="23">
        <v>1</v>
      </c>
      <c r="K22" s="23">
        <v>10</v>
      </c>
      <c r="L22" s="23">
        <v>15</v>
      </c>
      <c r="M22" s="23">
        <v>4</v>
      </c>
      <c r="N22" s="23">
        <v>4</v>
      </c>
      <c r="O22" s="23">
        <v>2</v>
      </c>
      <c r="P22" s="23">
        <v>0</v>
      </c>
      <c r="Q22" s="23">
        <v>0</v>
      </c>
      <c r="R22" s="23">
        <v>0</v>
      </c>
      <c r="S22" s="97">
        <v>0</v>
      </c>
      <c r="T22" s="108">
        <v>0</v>
      </c>
      <c r="U22" s="98"/>
    </row>
    <row r="23" spans="1:21" x14ac:dyDescent="0.3">
      <c r="B23" s="109"/>
      <c r="C23" s="110" t="s">
        <v>520</v>
      </c>
      <c r="D23" s="133"/>
    </row>
    <row r="24" spans="1:21" x14ac:dyDescent="0.3">
      <c r="B24" s="102"/>
      <c r="C24" s="111"/>
      <c r="D24" s="140"/>
      <c r="E24" s="191" t="s">
        <v>521</v>
      </c>
    </row>
    <row r="25" spans="1:21" x14ac:dyDescent="0.3">
      <c r="B25" s="101"/>
      <c r="C25" s="23" t="s">
        <v>522</v>
      </c>
      <c r="D25" s="133"/>
      <c r="E25" s="192" t="s">
        <v>523</v>
      </c>
    </row>
    <row r="26" spans="1:21" x14ac:dyDescent="0.3">
      <c r="B26" s="101"/>
      <c r="C26" s="24" t="s">
        <v>524</v>
      </c>
      <c r="D26" s="141"/>
      <c r="E26" s="193" t="s">
        <v>525</v>
      </c>
    </row>
  </sheetData>
  <mergeCells count="5">
    <mergeCell ref="A21:C21"/>
    <mergeCell ref="A22:C22"/>
    <mergeCell ref="A20:C20"/>
    <mergeCell ref="A1:T1"/>
    <mergeCell ref="A2:T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6"/>
  <sheetViews>
    <sheetView workbookViewId="0">
      <selection sqref="A1:T1"/>
    </sheetView>
  </sheetViews>
  <sheetFormatPr defaultColWidth="8.7265625" defaultRowHeight="14.5" x14ac:dyDescent="0.35"/>
  <cols>
    <col min="1" max="1" width="8" style="17" customWidth="1"/>
    <col min="2" max="2" width="12" style="17" customWidth="1"/>
    <col min="3" max="3" width="35.54296875" style="17" customWidth="1"/>
    <col min="4" max="4" width="28.1796875" style="17" customWidth="1"/>
    <col min="5" max="6" width="20" style="17" customWidth="1"/>
    <col min="7" max="12" width="20" customWidth="1"/>
    <col min="13" max="14" width="20" style="17" customWidth="1"/>
    <col min="15" max="15" width="30" customWidth="1"/>
    <col min="16" max="19" width="20" customWidth="1"/>
    <col min="20" max="20" width="22.7265625" style="17" customWidth="1"/>
    <col min="21" max="21" width="13.7265625" style="17" customWidth="1"/>
    <col min="22" max="16384" width="8.7265625" style="17"/>
  </cols>
  <sheetData>
    <row r="1" spans="1:21" ht="22.5" x14ac:dyDescent="0.3">
      <c r="A1" s="352" t="s">
        <v>526</v>
      </c>
      <c r="B1" s="352"/>
      <c r="C1" s="352"/>
      <c r="D1" s="352"/>
      <c r="E1" s="352"/>
      <c r="F1" s="352"/>
      <c r="G1" s="352"/>
      <c r="H1" s="352"/>
      <c r="I1" s="352"/>
      <c r="J1" s="352"/>
      <c r="K1" s="352"/>
      <c r="L1" s="352"/>
      <c r="M1" s="352"/>
      <c r="N1" s="352"/>
      <c r="O1" s="352"/>
      <c r="P1" s="352"/>
      <c r="Q1" s="352"/>
      <c r="R1" s="352"/>
      <c r="S1" s="352"/>
      <c r="T1" s="353"/>
    </row>
    <row r="2" spans="1:21" ht="20" x14ac:dyDescent="0.3">
      <c r="A2" s="354" t="s">
        <v>255</v>
      </c>
      <c r="B2" s="354"/>
      <c r="C2" s="354"/>
      <c r="D2" s="354"/>
      <c r="E2" s="354"/>
      <c r="F2" s="354"/>
      <c r="G2" s="354"/>
      <c r="H2" s="354"/>
      <c r="I2" s="354"/>
      <c r="J2" s="354"/>
      <c r="K2" s="354"/>
      <c r="L2" s="354"/>
      <c r="M2" s="354"/>
      <c r="N2" s="354"/>
      <c r="O2" s="354"/>
      <c r="P2" s="354"/>
      <c r="Q2" s="354"/>
      <c r="R2" s="354"/>
      <c r="S2" s="354"/>
      <c r="T2" s="353"/>
    </row>
    <row r="4" spans="1:21" s="18" customFormat="1" x14ac:dyDescent="0.35">
      <c r="A4" s="23" t="s">
        <v>452</v>
      </c>
      <c r="B4" s="102" t="s">
        <v>453</v>
      </c>
      <c r="C4" s="102" t="s">
        <v>454</v>
      </c>
      <c r="D4" s="135" t="s">
        <v>455</v>
      </c>
      <c r="E4" s="23" t="s">
        <v>456</v>
      </c>
      <c r="F4" s="23" t="s">
        <v>188</v>
      </c>
      <c r="G4" s="23" t="s">
        <v>209</v>
      </c>
      <c r="H4" s="23" t="s">
        <v>100</v>
      </c>
      <c r="I4" s="23" t="s">
        <v>151</v>
      </c>
      <c r="J4" s="23" t="s">
        <v>171</v>
      </c>
      <c r="K4" s="23" t="s">
        <v>43</v>
      </c>
      <c r="L4" s="23" t="s">
        <v>457</v>
      </c>
      <c r="M4" s="23" t="s">
        <v>114</v>
      </c>
      <c r="N4" s="23" t="s">
        <v>66</v>
      </c>
      <c r="O4" s="23" t="s">
        <v>72</v>
      </c>
      <c r="P4" s="23" t="s">
        <v>458</v>
      </c>
      <c r="Q4" s="23" t="s">
        <v>459</v>
      </c>
      <c r="R4" s="23" t="s">
        <v>230</v>
      </c>
      <c r="S4" s="23" t="s">
        <v>33</v>
      </c>
      <c r="T4" s="117" t="s">
        <v>34</v>
      </c>
      <c r="U4" s="97" t="s">
        <v>28</v>
      </c>
    </row>
    <row r="5" spans="1:21" s="18" customFormat="1" ht="26" x14ac:dyDescent="0.35">
      <c r="A5" s="113" t="s">
        <v>348</v>
      </c>
      <c r="B5" s="100" t="s">
        <v>266</v>
      </c>
      <c r="C5" s="101" t="s">
        <v>350</v>
      </c>
      <c r="D5" s="304" t="s">
        <v>268</v>
      </c>
      <c r="E5" s="143" t="s">
        <v>347</v>
      </c>
      <c r="F5" s="198" t="s">
        <v>527</v>
      </c>
      <c r="G5" s="203" t="s">
        <v>528</v>
      </c>
      <c r="H5" s="204" t="s">
        <v>529</v>
      </c>
      <c r="I5" s="201"/>
      <c r="J5" s="201" t="s">
        <v>530</v>
      </c>
      <c r="K5" s="258" t="s">
        <v>531</v>
      </c>
      <c r="L5" s="200" t="s">
        <v>532</v>
      </c>
      <c r="M5" s="204" t="s">
        <v>533</v>
      </c>
      <c r="N5" s="201"/>
      <c r="O5" s="201"/>
      <c r="P5" s="201"/>
      <c r="Q5" s="201" t="s">
        <v>477</v>
      </c>
      <c r="R5" s="201" t="s">
        <v>484</v>
      </c>
      <c r="S5" s="99" t="s">
        <v>534</v>
      </c>
      <c r="T5" s="116" t="s">
        <v>535</v>
      </c>
      <c r="U5" s="96"/>
    </row>
    <row r="6" spans="1:21" s="18" customFormat="1" ht="26" x14ac:dyDescent="0.35">
      <c r="A6" s="24" t="s">
        <v>352</v>
      </c>
      <c r="B6" s="100" t="s">
        <v>275</v>
      </c>
      <c r="C6" s="101" t="s">
        <v>354</v>
      </c>
      <c r="D6" s="304" t="s">
        <v>294</v>
      </c>
      <c r="E6" s="143" t="s">
        <v>351</v>
      </c>
      <c r="F6" s="199" t="s">
        <v>470</v>
      </c>
      <c r="G6" s="199"/>
      <c r="H6" s="201"/>
      <c r="I6" s="201"/>
      <c r="J6" s="201" t="s">
        <v>480</v>
      </c>
      <c r="K6" s="201" t="s">
        <v>536</v>
      </c>
      <c r="L6" s="204" t="s">
        <v>507</v>
      </c>
      <c r="M6" s="204" t="s">
        <v>466</v>
      </c>
      <c r="N6" s="204" t="s">
        <v>508</v>
      </c>
      <c r="O6" s="201" t="s">
        <v>537</v>
      </c>
      <c r="P6" s="201"/>
      <c r="Q6" s="201" t="s">
        <v>468</v>
      </c>
      <c r="R6" s="201" t="s">
        <v>484</v>
      </c>
      <c r="S6" s="99" t="s">
        <v>538</v>
      </c>
      <c r="T6" s="303" t="s">
        <v>539</v>
      </c>
      <c r="U6" s="96"/>
    </row>
    <row r="7" spans="1:21" s="18" customFormat="1" ht="15.5" x14ac:dyDescent="0.35">
      <c r="A7" s="22" t="s">
        <v>356</v>
      </c>
      <c r="B7" s="100" t="s">
        <v>292</v>
      </c>
      <c r="C7" s="101" t="s">
        <v>358</v>
      </c>
      <c r="D7" s="305" t="s">
        <v>325</v>
      </c>
      <c r="E7" s="144" t="s">
        <v>355</v>
      </c>
      <c r="F7" s="203" t="s">
        <v>478</v>
      </c>
      <c r="G7" s="199" t="s">
        <v>540</v>
      </c>
      <c r="H7" s="204" t="s">
        <v>462</v>
      </c>
      <c r="I7" s="204" t="s">
        <v>469</v>
      </c>
      <c r="J7" s="201"/>
      <c r="K7" s="258" t="s">
        <v>531</v>
      </c>
      <c r="L7" s="200" t="s">
        <v>507</v>
      </c>
      <c r="M7" s="201" t="s">
        <v>483</v>
      </c>
      <c r="N7" s="201"/>
      <c r="O7" s="201" t="s">
        <v>493</v>
      </c>
      <c r="P7" s="201"/>
      <c r="Q7" s="201" t="s">
        <v>477</v>
      </c>
      <c r="R7" s="201"/>
      <c r="S7" s="99" t="s">
        <v>469</v>
      </c>
      <c r="T7" s="116" t="s">
        <v>541</v>
      </c>
      <c r="U7" s="96"/>
    </row>
    <row r="8" spans="1:21" s="18" customFormat="1" ht="15.5" x14ac:dyDescent="0.35">
      <c r="A8" s="22" t="s">
        <v>360</v>
      </c>
      <c r="B8" s="100" t="s">
        <v>292</v>
      </c>
      <c r="C8" s="101" t="s">
        <v>358</v>
      </c>
      <c r="D8" s="305" t="s">
        <v>325</v>
      </c>
      <c r="E8" s="142" t="s">
        <v>359</v>
      </c>
      <c r="F8" s="203" t="s">
        <v>542</v>
      </c>
      <c r="G8" s="199" t="s">
        <v>499</v>
      </c>
      <c r="H8" s="204" t="s">
        <v>543</v>
      </c>
      <c r="I8" s="204" t="s">
        <v>469</v>
      </c>
      <c r="J8" s="201"/>
      <c r="K8" s="201" t="s">
        <v>544</v>
      </c>
      <c r="L8" s="201" t="s">
        <v>545</v>
      </c>
      <c r="M8" s="200" t="s">
        <v>483</v>
      </c>
      <c r="N8" s="201"/>
      <c r="O8" s="201" t="s">
        <v>493</v>
      </c>
      <c r="P8" s="201"/>
      <c r="Q8" s="201" t="s">
        <v>546</v>
      </c>
      <c r="R8" s="201"/>
      <c r="S8" s="99" t="s">
        <v>543</v>
      </c>
      <c r="T8" s="116" t="s">
        <v>547</v>
      </c>
      <c r="U8" s="96"/>
    </row>
    <row r="9" spans="1:21" s="18" customFormat="1" ht="15.5" x14ac:dyDescent="0.35">
      <c r="A9" s="24" t="s">
        <v>363</v>
      </c>
      <c r="B9" s="100" t="s">
        <v>323</v>
      </c>
      <c r="C9" s="101" t="s">
        <v>365</v>
      </c>
      <c r="D9" s="305" t="s">
        <v>268</v>
      </c>
      <c r="E9" s="143" t="s">
        <v>362</v>
      </c>
      <c r="F9" s="203" t="s">
        <v>527</v>
      </c>
      <c r="G9" s="203" t="s">
        <v>540</v>
      </c>
      <c r="H9" s="204" t="s">
        <v>543</v>
      </c>
      <c r="I9" s="201"/>
      <c r="J9" s="201" t="s">
        <v>480</v>
      </c>
      <c r="K9" s="201" t="s">
        <v>536</v>
      </c>
      <c r="L9" s="201" t="s">
        <v>465</v>
      </c>
      <c r="M9" s="201" t="s">
        <v>483</v>
      </c>
      <c r="N9" s="201"/>
      <c r="O9" s="201" t="s">
        <v>493</v>
      </c>
      <c r="P9" s="201"/>
      <c r="Q9" s="201" t="s">
        <v>477</v>
      </c>
      <c r="R9" s="201"/>
      <c r="S9" s="99" t="s">
        <v>527</v>
      </c>
      <c r="T9" s="116" t="s">
        <v>514</v>
      </c>
      <c r="U9" s="96"/>
    </row>
    <row r="10" spans="1:21" s="18" customFormat="1" ht="15.5" x14ac:dyDescent="0.35">
      <c r="A10" s="22" t="s">
        <v>367</v>
      </c>
      <c r="B10" s="100" t="s">
        <v>323</v>
      </c>
      <c r="C10" s="101" t="s">
        <v>365</v>
      </c>
      <c r="D10" s="305" t="s">
        <v>268</v>
      </c>
      <c r="E10" s="144" t="s">
        <v>366</v>
      </c>
      <c r="F10" s="203" t="s">
        <v>470</v>
      </c>
      <c r="G10" s="203" t="s">
        <v>541</v>
      </c>
      <c r="H10" s="204" t="s">
        <v>495</v>
      </c>
      <c r="I10" s="201"/>
      <c r="J10" s="201" t="s">
        <v>530</v>
      </c>
      <c r="K10" s="201" t="s">
        <v>464</v>
      </c>
      <c r="L10" s="201" t="s">
        <v>532</v>
      </c>
      <c r="M10" s="199" t="s">
        <v>483</v>
      </c>
      <c r="N10" s="201"/>
      <c r="O10" s="201" t="s">
        <v>537</v>
      </c>
      <c r="P10" s="201"/>
      <c r="Q10" s="201" t="s">
        <v>546</v>
      </c>
      <c r="R10" s="201"/>
      <c r="S10" s="99" t="s">
        <v>495</v>
      </c>
      <c r="T10" s="116" t="s">
        <v>541</v>
      </c>
      <c r="U10" s="96"/>
    </row>
    <row r="11" spans="1:21" s="18" customFormat="1" ht="26" x14ac:dyDescent="0.35">
      <c r="A11" s="24" t="s">
        <v>370</v>
      </c>
      <c r="B11" s="100" t="s">
        <v>266</v>
      </c>
      <c r="C11" s="101" t="s">
        <v>350</v>
      </c>
      <c r="D11" s="305" t="s">
        <v>268</v>
      </c>
      <c r="E11" s="143" t="s">
        <v>369</v>
      </c>
      <c r="F11" s="203" t="s">
        <v>548</v>
      </c>
      <c r="G11" s="203" t="s">
        <v>549</v>
      </c>
      <c r="H11" s="204" t="s">
        <v>550</v>
      </c>
      <c r="I11" s="201"/>
      <c r="J11" s="201" t="s">
        <v>551</v>
      </c>
      <c r="K11" s="201" t="s">
        <v>506</v>
      </c>
      <c r="L11" s="200" t="s">
        <v>513</v>
      </c>
      <c r="M11" s="199" t="s">
        <v>466</v>
      </c>
      <c r="N11" s="201"/>
      <c r="O11" s="201"/>
      <c r="P11" s="201"/>
      <c r="Q11" s="201" t="s">
        <v>546</v>
      </c>
      <c r="R11" s="201" t="s">
        <v>552</v>
      </c>
      <c r="S11" s="99" t="s">
        <v>553</v>
      </c>
      <c r="T11" s="116" t="s">
        <v>546</v>
      </c>
      <c r="U11" s="96"/>
    </row>
    <row r="12" spans="1:21" s="18" customFormat="1" ht="15.5" x14ac:dyDescent="0.35">
      <c r="A12" s="22" t="s">
        <v>373</v>
      </c>
      <c r="B12" s="100" t="s">
        <v>266</v>
      </c>
      <c r="C12" s="101" t="s">
        <v>350</v>
      </c>
      <c r="D12" s="305" t="s">
        <v>268</v>
      </c>
      <c r="E12" s="143" t="s">
        <v>372</v>
      </c>
      <c r="F12" s="203" t="s">
        <v>554</v>
      </c>
      <c r="G12" s="203" t="s">
        <v>499</v>
      </c>
      <c r="H12" s="204" t="s">
        <v>529</v>
      </c>
      <c r="I12" s="201"/>
      <c r="J12" s="201" t="s">
        <v>530</v>
      </c>
      <c r="K12" s="201" t="s">
        <v>464</v>
      </c>
      <c r="L12" s="199" t="s">
        <v>555</v>
      </c>
      <c r="M12" s="199" t="s">
        <v>483</v>
      </c>
      <c r="N12" s="201"/>
      <c r="O12" s="201"/>
      <c r="P12" s="201"/>
      <c r="Q12" s="201" t="s">
        <v>546</v>
      </c>
      <c r="R12" s="201" t="s">
        <v>552</v>
      </c>
      <c r="S12" s="99" t="s">
        <v>529</v>
      </c>
      <c r="T12" s="116" t="s">
        <v>535</v>
      </c>
      <c r="U12" s="96"/>
    </row>
    <row r="13" spans="1:21" s="18" customFormat="1" ht="15.5" x14ac:dyDescent="0.35">
      <c r="A13" s="24" t="s">
        <v>376</v>
      </c>
      <c r="B13" s="100" t="s">
        <v>314</v>
      </c>
      <c r="C13" s="101" t="s">
        <v>378</v>
      </c>
      <c r="D13" s="305" t="s">
        <v>294</v>
      </c>
      <c r="E13" s="142" t="s">
        <v>375</v>
      </c>
      <c r="F13" s="199" t="s">
        <v>470</v>
      </c>
      <c r="G13" s="199" t="s">
        <v>528</v>
      </c>
      <c r="H13" s="201"/>
      <c r="I13" s="200" t="s">
        <v>547</v>
      </c>
      <c r="J13" s="201" t="s">
        <v>480</v>
      </c>
      <c r="K13" s="258" t="s">
        <v>531</v>
      </c>
      <c r="L13" s="203" t="s">
        <v>556</v>
      </c>
      <c r="M13" s="204" t="s">
        <v>483</v>
      </c>
      <c r="N13" s="204" t="s">
        <v>508</v>
      </c>
      <c r="O13" s="201"/>
      <c r="P13" s="201"/>
      <c r="Q13" s="201" t="s">
        <v>468</v>
      </c>
      <c r="R13" s="201"/>
      <c r="S13" s="99" t="s">
        <v>528</v>
      </c>
      <c r="T13" s="116" t="s">
        <v>535</v>
      </c>
      <c r="U13" s="96"/>
    </row>
    <row r="14" spans="1:21" s="18" customFormat="1" ht="26" x14ac:dyDescent="0.35">
      <c r="A14" s="22" t="s">
        <v>380</v>
      </c>
      <c r="B14" s="100" t="s">
        <v>314</v>
      </c>
      <c r="C14" s="101" t="s">
        <v>378</v>
      </c>
      <c r="D14" s="304" t="s">
        <v>294</v>
      </c>
      <c r="E14" s="143" t="s">
        <v>379</v>
      </c>
      <c r="F14" s="198" t="s">
        <v>542</v>
      </c>
      <c r="G14" s="199" t="s">
        <v>549</v>
      </c>
      <c r="H14" s="199"/>
      <c r="I14" s="201" t="s">
        <v>557</v>
      </c>
      <c r="J14" s="201" t="s">
        <v>551</v>
      </c>
      <c r="K14" s="201" t="s">
        <v>544</v>
      </c>
      <c r="L14" s="204" t="s">
        <v>555</v>
      </c>
      <c r="M14" s="204" t="s">
        <v>466</v>
      </c>
      <c r="N14" s="204" t="s">
        <v>558</v>
      </c>
      <c r="O14" s="201"/>
      <c r="P14" s="201"/>
      <c r="Q14" s="201" t="s">
        <v>546</v>
      </c>
      <c r="R14" s="201"/>
      <c r="S14" s="99" t="s">
        <v>559</v>
      </c>
      <c r="T14" s="116" t="s">
        <v>557</v>
      </c>
      <c r="U14" s="96"/>
    </row>
    <row r="15" spans="1:21" s="18" customFormat="1" ht="26" x14ac:dyDescent="0.35">
      <c r="A15" s="24" t="s">
        <v>383</v>
      </c>
      <c r="B15" s="100" t="s">
        <v>275</v>
      </c>
      <c r="C15" s="101" t="s">
        <v>354</v>
      </c>
      <c r="D15" s="305" t="s">
        <v>294</v>
      </c>
      <c r="E15" s="143" t="s">
        <v>382</v>
      </c>
      <c r="F15" s="199" t="s">
        <v>548</v>
      </c>
      <c r="G15" s="199"/>
      <c r="H15" s="199"/>
      <c r="I15" s="201"/>
      <c r="J15" s="201" t="s">
        <v>480</v>
      </c>
      <c r="K15" s="201" t="s">
        <v>544</v>
      </c>
      <c r="L15" s="204" t="s">
        <v>545</v>
      </c>
      <c r="M15" s="204" t="s">
        <v>466</v>
      </c>
      <c r="N15" s="204" t="s">
        <v>508</v>
      </c>
      <c r="O15" s="201" t="s">
        <v>537</v>
      </c>
      <c r="P15" s="201"/>
      <c r="Q15" s="201" t="s">
        <v>468</v>
      </c>
      <c r="R15" s="201" t="s">
        <v>484</v>
      </c>
      <c r="S15" s="99" t="s">
        <v>560</v>
      </c>
      <c r="T15" s="116" t="s">
        <v>535</v>
      </c>
      <c r="U15" s="96"/>
    </row>
    <row r="16" spans="1:21" s="18" customFormat="1" ht="26" x14ac:dyDescent="0.35">
      <c r="A16" s="22" t="s">
        <v>386</v>
      </c>
      <c r="B16" s="100" t="s">
        <v>275</v>
      </c>
      <c r="C16" s="101" t="s">
        <v>354</v>
      </c>
      <c r="D16" s="305" t="s">
        <v>294</v>
      </c>
      <c r="E16" s="143" t="s">
        <v>385</v>
      </c>
      <c r="F16" s="201" t="s">
        <v>460</v>
      </c>
      <c r="G16" s="201"/>
      <c r="H16" s="201"/>
      <c r="I16" s="201"/>
      <c r="J16" s="201" t="s">
        <v>551</v>
      </c>
      <c r="K16" s="201" t="s">
        <v>506</v>
      </c>
      <c r="L16" s="203" t="s">
        <v>556</v>
      </c>
      <c r="M16" s="204" t="s">
        <v>466</v>
      </c>
      <c r="N16" s="203" t="s">
        <v>558</v>
      </c>
      <c r="O16" s="201" t="s">
        <v>537</v>
      </c>
      <c r="P16" s="201"/>
      <c r="Q16" s="201" t="s">
        <v>546</v>
      </c>
      <c r="R16" s="201" t="s">
        <v>552</v>
      </c>
      <c r="S16" s="99" t="s">
        <v>561</v>
      </c>
      <c r="T16" s="116" t="s">
        <v>535</v>
      </c>
      <c r="U16" s="96"/>
    </row>
    <row r="17" spans="1:21" s="18" customFormat="1" ht="26" x14ac:dyDescent="0.35">
      <c r="A17" s="22" t="s">
        <v>389</v>
      </c>
      <c r="B17" s="100" t="s">
        <v>275</v>
      </c>
      <c r="C17" s="101" t="s">
        <v>354</v>
      </c>
      <c r="D17" s="305" t="s">
        <v>294</v>
      </c>
      <c r="E17" s="143" t="s">
        <v>388</v>
      </c>
      <c r="F17" s="204" t="s">
        <v>487</v>
      </c>
      <c r="G17" s="201"/>
      <c r="H17" s="199"/>
      <c r="I17" s="201"/>
      <c r="J17" s="201" t="s">
        <v>480</v>
      </c>
      <c r="K17" s="201" t="s">
        <v>544</v>
      </c>
      <c r="L17" s="204" t="s">
        <v>465</v>
      </c>
      <c r="M17" s="198" t="s">
        <v>466</v>
      </c>
      <c r="N17" s="203" t="s">
        <v>558</v>
      </c>
      <c r="O17" s="201" t="s">
        <v>537</v>
      </c>
      <c r="P17" s="201"/>
      <c r="Q17" s="201" t="s">
        <v>546</v>
      </c>
      <c r="R17" s="201" t="s">
        <v>552</v>
      </c>
      <c r="S17" s="99" t="s">
        <v>562</v>
      </c>
      <c r="T17" s="116" t="s">
        <v>514</v>
      </c>
      <c r="U17" s="96"/>
    </row>
    <row r="18" spans="1:21" s="18" customFormat="1" ht="26" x14ac:dyDescent="0.35">
      <c r="A18" s="22" t="s">
        <v>392</v>
      </c>
      <c r="B18" s="100" t="s">
        <v>275</v>
      </c>
      <c r="C18" s="101" t="s">
        <v>354</v>
      </c>
      <c r="D18" s="304" t="s">
        <v>294</v>
      </c>
      <c r="E18" s="142" t="s">
        <v>391</v>
      </c>
      <c r="F18" s="201" t="s">
        <v>554</v>
      </c>
      <c r="G18" s="201"/>
      <c r="H18" s="201"/>
      <c r="I18" s="201"/>
      <c r="J18" s="201" t="s">
        <v>551</v>
      </c>
      <c r="K18" s="201" t="s">
        <v>506</v>
      </c>
      <c r="L18" s="204" t="s">
        <v>513</v>
      </c>
      <c r="M18" s="203" t="s">
        <v>483</v>
      </c>
      <c r="N18" s="203" t="s">
        <v>558</v>
      </c>
      <c r="O18" s="201" t="s">
        <v>537</v>
      </c>
      <c r="P18" s="201"/>
      <c r="Q18" s="201" t="s">
        <v>546</v>
      </c>
      <c r="R18" s="201" t="s">
        <v>552</v>
      </c>
      <c r="S18" s="99" t="s">
        <v>563</v>
      </c>
      <c r="T18" s="116" t="s">
        <v>514</v>
      </c>
      <c r="U18" s="96"/>
    </row>
    <row r="19" spans="1:21" s="30" customFormat="1" x14ac:dyDescent="0.35">
      <c r="A19" s="348" t="s">
        <v>39</v>
      </c>
      <c r="B19" s="349"/>
      <c r="C19" s="348"/>
      <c r="D19" s="134"/>
      <c r="E19" s="38">
        <f t="shared" ref="E19:O19" si="0">COUNTA(E5:E18)</f>
        <v>14</v>
      </c>
      <c r="F19" s="38">
        <f t="shared" si="0"/>
        <v>14</v>
      </c>
      <c r="G19" s="38">
        <f t="shared" si="0"/>
        <v>9</v>
      </c>
      <c r="H19" s="38">
        <f t="shared" si="0"/>
        <v>7</v>
      </c>
      <c r="I19" s="38">
        <f t="shared" si="0"/>
        <v>4</v>
      </c>
      <c r="J19" s="38">
        <f t="shared" si="0"/>
        <v>12</v>
      </c>
      <c r="K19" s="38">
        <f t="shared" si="0"/>
        <v>14</v>
      </c>
      <c r="L19" s="38">
        <f t="shared" si="0"/>
        <v>14</v>
      </c>
      <c r="M19" s="38">
        <f t="shared" si="0"/>
        <v>14</v>
      </c>
      <c r="N19" s="38">
        <f t="shared" si="0"/>
        <v>7</v>
      </c>
      <c r="O19" s="23">
        <f t="shared" si="0"/>
        <v>9</v>
      </c>
      <c r="P19" s="23">
        <f>'Tổng hợp'!K37</f>
        <v>14</v>
      </c>
      <c r="Q19" s="23">
        <f>COUNTA(Q5:Q18)</f>
        <v>14</v>
      </c>
      <c r="R19" s="23">
        <f>COUNTA(R5:R18)</f>
        <v>8</v>
      </c>
      <c r="S19" s="23">
        <f>'Tổng hợp'!N112</f>
        <v>22</v>
      </c>
      <c r="T19" s="116">
        <f>COUNTA(T5:T18)</f>
        <v>14</v>
      </c>
      <c r="U19" s="97"/>
    </row>
    <row r="20" spans="1:21" s="30" customFormat="1" x14ac:dyDescent="0.35">
      <c r="B20" s="103"/>
      <c r="C20"/>
      <c r="D20" s="137"/>
      <c r="E20"/>
      <c r="F20"/>
      <c r="G20"/>
      <c r="H20"/>
      <c r="I20"/>
      <c r="J20"/>
      <c r="K20"/>
      <c r="L20"/>
      <c r="M20"/>
      <c r="N20"/>
      <c r="O20"/>
      <c r="P20"/>
      <c r="Q20"/>
      <c r="R20"/>
      <c r="S20"/>
      <c r="T20"/>
    </row>
    <row r="21" spans="1:21" ht="18" x14ac:dyDescent="0.35">
      <c r="B21" s="104"/>
      <c r="C21" s="29"/>
      <c r="D21" s="137"/>
      <c r="E21" t="s">
        <v>520</v>
      </c>
      <c r="F21"/>
      <c r="M21"/>
      <c r="N21"/>
      <c r="T21"/>
    </row>
    <row r="22" spans="1:21" ht="18" x14ac:dyDescent="0.35">
      <c r="B22" s="105"/>
      <c r="C22" s="190" t="s">
        <v>521</v>
      </c>
      <c r="D22" s="132"/>
      <c r="E22"/>
      <c r="F22"/>
      <c r="M22"/>
      <c r="N22"/>
      <c r="T22"/>
    </row>
    <row r="23" spans="1:21" ht="17.5" x14ac:dyDescent="0.35">
      <c r="B23" s="104"/>
      <c r="C23" s="171" t="s">
        <v>564</v>
      </c>
      <c r="D23" s="133"/>
      <c r="E23" t="s">
        <v>522</v>
      </c>
      <c r="F23"/>
      <c r="M23"/>
      <c r="N23"/>
      <c r="T23"/>
    </row>
    <row r="24" spans="1:21" ht="18" x14ac:dyDescent="0.35">
      <c r="B24" s="106"/>
      <c r="C24" s="29" t="s">
        <v>565</v>
      </c>
      <c r="D24" s="140"/>
      <c r="E24" t="s">
        <v>524</v>
      </c>
      <c r="F24"/>
      <c r="M24"/>
      <c r="N24"/>
      <c r="T24"/>
    </row>
    <row r="25" spans="1:21" x14ac:dyDescent="0.35">
      <c r="B25"/>
      <c r="C25"/>
      <c r="D25" s="133"/>
      <c r="E25"/>
      <c r="F25"/>
      <c r="M25"/>
      <c r="N25"/>
    </row>
    <row r="26" spans="1:21" x14ac:dyDescent="0.35">
      <c r="D26" s="141"/>
    </row>
  </sheetData>
  <mergeCells count="3">
    <mergeCell ref="A19:C19"/>
    <mergeCell ref="A1:T1"/>
    <mergeCell ref="A2:T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2"/>
  <sheetViews>
    <sheetView tabSelected="1" workbookViewId="0">
      <selection activeCell="S18" sqref="S18"/>
    </sheetView>
  </sheetViews>
  <sheetFormatPr defaultColWidth="8.7265625" defaultRowHeight="15.5" x14ac:dyDescent="0.35"/>
  <cols>
    <col min="1" max="1" width="8" style="147" customWidth="1"/>
    <col min="2" max="2" width="12" style="147" customWidth="1"/>
    <col min="3" max="3" width="39.81640625" style="147" customWidth="1"/>
    <col min="4" max="4" width="29.453125" style="147" customWidth="1"/>
    <col min="5" max="5" width="25.81640625" style="147" customWidth="1"/>
    <col min="6" max="15" width="20" style="147" customWidth="1"/>
    <col min="16" max="16" width="30" style="147" customWidth="1"/>
    <col min="17" max="18" width="20" style="147" customWidth="1"/>
    <col min="19" max="19" width="24.81640625" style="147" customWidth="1"/>
    <col min="20" max="20" width="20" style="147" customWidth="1"/>
    <col min="21" max="21" width="12.81640625" style="147" customWidth="1"/>
    <col min="22" max="16384" width="8.7265625" style="147"/>
  </cols>
  <sheetData>
    <row r="1" spans="1:21" x14ac:dyDescent="0.35">
      <c r="A1" s="356" t="s">
        <v>566</v>
      </c>
      <c r="B1" s="356"/>
      <c r="C1" s="356"/>
      <c r="D1" s="356"/>
      <c r="E1" s="356"/>
      <c r="F1" s="356"/>
      <c r="G1" s="356"/>
      <c r="H1" s="356"/>
      <c r="I1" s="356"/>
      <c r="J1" s="356"/>
      <c r="K1" s="356"/>
      <c r="L1" s="356"/>
      <c r="M1" s="356"/>
      <c r="N1" s="356"/>
      <c r="O1" s="356"/>
      <c r="P1" s="356"/>
      <c r="Q1" s="356"/>
      <c r="R1" s="356"/>
      <c r="S1" s="356"/>
    </row>
    <row r="2" spans="1:21" x14ac:dyDescent="0.35">
      <c r="A2" s="356" t="s">
        <v>255</v>
      </c>
      <c r="B2" s="356"/>
      <c r="C2" s="356"/>
      <c r="D2" s="356"/>
      <c r="E2" s="356"/>
      <c r="F2" s="356"/>
      <c r="G2" s="356"/>
      <c r="H2" s="356"/>
      <c r="I2" s="356"/>
      <c r="J2" s="356"/>
      <c r="K2" s="356"/>
      <c r="L2" s="356"/>
      <c r="M2" s="356"/>
      <c r="N2" s="356"/>
      <c r="O2" s="356"/>
      <c r="P2" s="356"/>
      <c r="Q2" s="356"/>
      <c r="R2" s="356"/>
      <c r="S2" s="356"/>
    </row>
    <row r="4" spans="1:21" s="150" customFormat="1" ht="30" x14ac:dyDescent="0.35">
      <c r="A4" s="148" t="s">
        <v>452</v>
      </c>
      <c r="B4" s="149" t="s">
        <v>453</v>
      </c>
      <c r="C4" s="148" t="s">
        <v>454</v>
      </c>
      <c r="D4" s="149" t="s">
        <v>455</v>
      </c>
      <c r="E4" s="148" t="s">
        <v>456</v>
      </c>
      <c r="F4" s="148" t="s">
        <v>188</v>
      </c>
      <c r="G4" s="148" t="s">
        <v>209</v>
      </c>
      <c r="H4" s="148" t="s">
        <v>100</v>
      </c>
      <c r="I4" s="148" t="s">
        <v>151</v>
      </c>
      <c r="J4" s="148" t="s">
        <v>171</v>
      </c>
      <c r="K4" s="148" t="s">
        <v>43</v>
      </c>
      <c r="L4" s="148" t="s">
        <v>457</v>
      </c>
      <c r="M4" s="148" t="s">
        <v>114</v>
      </c>
      <c r="N4" s="148" t="s">
        <v>66</v>
      </c>
      <c r="O4" s="148" t="s">
        <v>72</v>
      </c>
      <c r="P4" s="148" t="s">
        <v>458</v>
      </c>
      <c r="Q4" s="148" t="s">
        <v>459</v>
      </c>
      <c r="R4" s="148" t="s">
        <v>230</v>
      </c>
      <c r="S4" s="148" t="s">
        <v>33</v>
      </c>
      <c r="T4" s="148" t="s">
        <v>34</v>
      </c>
      <c r="U4" s="148" t="s">
        <v>28</v>
      </c>
    </row>
    <row r="5" spans="1:21" s="150" customFormat="1" x14ac:dyDescent="0.35">
      <c r="A5" s="151" t="s">
        <v>264</v>
      </c>
      <c r="B5" s="146" t="s">
        <v>266</v>
      </c>
      <c r="C5" s="146" t="s">
        <v>267</v>
      </c>
      <c r="D5" s="261" t="s">
        <v>268</v>
      </c>
      <c r="E5" s="152" t="s">
        <v>263</v>
      </c>
      <c r="F5" s="198" t="s">
        <v>502</v>
      </c>
      <c r="G5" s="203" t="s">
        <v>528</v>
      </c>
      <c r="H5" s="203" t="s">
        <v>543</v>
      </c>
      <c r="I5" s="203" t="s">
        <v>547</v>
      </c>
      <c r="J5" s="199" t="s">
        <v>489</v>
      </c>
      <c r="K5" s="199" t="s">
        <v>500</v>
      </c>
      <c r="L5" s="198" t="s">
        <v>511</v>
      </c>
      <c r="M5" s="198" t="s">
        <v>533</v>
      </c>
      <c r="N5" s="199"/>
      <c r="O5" s="199"/>
      <c r="P5" s="199"/>
      <c r="Q5" s="199" t="s">
        <v>477</v>
      </c>
      <c r="R5" s="199"/>
      <c r="S5" s="146" t="s">
        <v>547</v>
      </c>
      <c r="T5" s="146" t="s">
        <v>514</v>
      </c>
      <c r="U5" s="151"/>
    </row>
    <row r="6" spans="1:21" s="150" customFormat="1" x14ac:dyDescent="0.35">
      <c r="A6" s="151" t="s">
        <v>270</v>
      </c>
      <c r="B6" s="146" t="s">
        <v>266</v>
      </c>
      <c r="C6" s="146" t="s">
        <v>267</v>
      </c>
      <c r="D6" s="261" t="s">
        <v>268</v>
      </c>
      <c r="E6" s="152" t="s">
        <v>269</v>
      </c>
      <c r="F6" s="203" t="s">
        <v>554</v>
      </c>
      <c r="G6" s="198" t="s">
        <v>541</v>
      </c>
      <c r="H6" s="203" t="s">
        <v>550</v>
      </c>
      <c r="I6" s="203" t="s">
        <v>463</v>
      </c>
      <c r="J6" s="199" t="s">
        <v>530</v>
      </c>
      <c r="K6" s="199" t="s">
        <v>490</v>
      </c>
      <c r="L6" s="198" t="s">
        <v>482</v>
      </c>
      <c r="M6" s="198" t="s">
        <v>492</v>
      </c>
      <c r="N6" s="199"/>
      <c r="O6" s="199"/>
      <c r="P6" s="199"/>
      <c r="Q6" s="199" t="s">
        <v>468</v>
      </c>
      <c r="R6" s="199"/>
      <c r="S6" s="146" t="s">
        <v>463</v>
      </c>
      <c r="T6" s="214" t="s">
        <v>535</v>
      </c>
      <c r="U6" s="151"/>
    </row>
    <row r="7" spans="1:21" s="150" customFormat="1" ht="31" x14ac:dyDescent="0.35">
      <c r="A7" s="151" t="s">
        <v>273</v>
      </c>
      <c r="B7" s="146" t="s">
        <v>275</v>
      </c>
      <c r="C7" s="146" t="s">
        <v>276</v>
      </c>
      <c r="D7" s="146" t="s">
        <v>268</v>
      </c>
      <c r="E7" s="152" t="s">
        <v>272</v>
      </c>
      <c r="F7" s="203" t="s">
        <v>494</v>
      </c>
      <c r="G7" s="203" t="s">
        <v>461</v>
      </c>
      <c r="H7" s="203" t="s">
        <v>529</v>
      </c>
      <c r="I7" s="199"/>
      <c r="J7" s="199" t="s">
        <v>489</v>
      </c>
      <c r="K7" s="199" t="s">
        <v>500</v>
      </c>
      <c r="L7" s="198" t="s">
        <v>556</v>
      </c>
      <c r="M7" s="199" t="s">
        <v>476</v>
      </c>
      <c r="N7" s="199"/>
      <c r="O7" s="199" t="s">
        <v>501</v>
      </c>
      <c r="P7" s="199"/>
      <c r="Q7" s="199" t="s">
        <v>477</v>
      </c>
      <c r="R7" s="199"/>
      <c r="S7" s="146" t="s">
        <v>567</v>
      </c>
      <c r="T7" s="146" t="s">
        <v>514</v>
      </c>
      <c r="U7" s="151"/>
    </row>
    <row r="8" spans="1:21" s="150" customFormat="1" ht="31" x14ac:dyDescent="0.35">
      <c r="A8" s="151" t="s">
        <v>278</v>
      </c>
      <c r="B8" s="146" t="s">
        <v>275</v>
      </c>
      <c r="C8" s="146" t="s">
        <v>276</v>
      </c>
      <c r="D8" s="146" t="s">
        <v>268</v>
      </c>
      <c r="E8" s="152" t="s">
        <v>277</v>
      </c>
      <c r="F8" s="203" t="s">
        <v>568</v>
      </c>
      <c r="G8" s="203" t="s">
        <v>540</v>
      </c>
      <c r="H8" s="203" t="s">
        <v>472</v>
      </c>
      <c r="I8" s="199"/>
      <c r="J8" s="199" t="s">
        <v>530</v>
      </c>
      <c r="K8" s="199" t="s">
        <v>496</v>
      </c>
      <c r="L8" s="198" t="s">
        <v>532</v>
      </c>
      <c r="M8" s="199" t="s">
        <v>476</v>
      </c>
      <c r="N8" s="199"/>
      <c r="O8" s="199" t="s">
        <v>501</v>
      </c>
      <c r="P8" s="199"/>
      <c r="Q8" s="199" t="s">
        <v>477</v>
      </c>
      <c r="R8" s="199"/>
      <c r="S8" s="146" t="s">
        <v>540</v>
      </c>
      <c r="T8" s="214" t="s">
        <v>539</v>
      </c>
      <c r="U8" s="151"/>
    </row>
    <row r="9" spans="1:21" s="150" customFormat="1" x14ac:dyDescent="0.35">
      <c r="A9" s="151" t="s">
        <v>281</v>
      </c>
      <c r="B9" s="146" t="s">
        <v>275</v>
      </c>
      <c r="C9" s="146" t="s">
        <v>276</v>
      </c>
      <c r="D9" s="146" t="s">
        <v>268</v>
      </c>
      <c r="E9" s="152" t="s">
        <v>280</v>
      </c>
      <c r="F9" s="203" t="s">
        <v>527</v>
      </c>
      <c r="G9" s="203" t="s">
        <v>569</v>
      </c>
      <c r="H9" s="203" t="s">
        <v>488</v>
      </c>
      <c r="I9" s="199"/>
      <c r="J9" s="199" t="s">
        <v>530</v>
      </c>
      <c r="K9" s="199" t="s">
        <v>536</v>
      </c>
      <c r="L9" s="198" t="s">
        <v>545</v>
      </c>
      <c r="M9" s="199" t="s">
        <v>533</v>
      </c>
      <c r="N9" s="199"/>
      <c r="O9" s="199" t="s">
        <v>467</v>
      </c>
      <c r="P9" s="199"/>
      <c r="Q9" s="199" t="s">
        <v>468</v>
      </c>
      <c r="R9" s="199"/>
      <c r="S9" s="146" t="s">
        <v>488</v>
      </c>
      <c r="T9" s="214" t="s">
        <v>535</v>
      </c>
      <c r="U9" s="151"/>
    </row>
    <row r="10" spans="1:21" s="150" customFormat="1" ht="31" x14ac:dyDescent="0.35">
      <c r="A10" s="151" t="s">
        <v>284</v>
      </c>
      <c r="B10" s="146" t="s">
        <v>275</v>
      </c>
      <c r="C10" s="146" t="s">
        <v>276</v>
      </c>
      <c r="D10" s="146" t="s">
        <v>268</v>
      </c>
      <c r="E10" s="152" t="s">
        <v>283</v>
      </c>
      <c r="F10" s="203" t="s">
        <v>542</v>
      </c>
      <c r="G10" s="203" t="s">
        <v>479</v>
      </c>
      <c r="H10" s="203" t="s">
        <v>529</v>
      </c>
      <c r="I10" s="199"/>
      <c r="J10" s="199" t="s">
        <v>473</v>
      </c>
      <c r="K10" s="199" t="s">
        <v>481</v>
      </c>
      <c r="L10" s="199" t="s">
        <v>532</v>
      </c>
      <c r="M10" s="199" t="s">
        <v>533</v>
      </c>
      <c r="N10" s="199"/>
      <c r="O10" s="199" t="s">
        <v>467</v>
      </c>
      <c r="P10" s="199"/>
      <c r="Q10" s="199" t="s">
        <v>468</v>
      </c>
      <c r="R10" s="199"/>
      <c r="S10" s="146" t="s">
        <v>570</v>
      </c>
      <c r="T10" s="146" t="s">
        <v>535</v>
      </c>
      <c r="U10" s="151"/>
    </row>
    <row r="11" spans="1:21" s="150" customFormat="1" ht="31" x14ac:dyDescent="0.35">
      <c r="A11" s="151" t="s">
        <v>287</v>
      </c>
      <c r="B11" s="146" t="s">
        <v>275</v>
      </c>
      <c r="C11" s="146" t="s">
        <v>276</v>
      </c>
      <c r="D11" s="146" t="s">
        <v>268</v>
      </c>
      <c r="E11" s="152" t="s">
        <v>286</v>
      </c>
      <c r="F11" s="203" t="s">
        <v>548</v>
      </c>
      <c r="G11" s="203" t="s">
        <v>528</v>
      </c>
      <c r="H11" s="203" t="s">
        <v>550</v>
      </c>
      <c r="I11" s="199"/>
      <c r="J11" s="199" t="s">
        <v>530</v>
      </c>
      <c r="K11" s="199" t="s">
        <v>481</v>
      </c>
      <c r="L11" s="198" t="s">
        <v>511</v>
      </c>
      <c r="M11" s="199" t="s">
        <v>476</v>
      </c>
      <c r="N11" s="199"/>
      <c r="O11" s="199" t="s">
        <v>467</v>
      </c>
      <c r="P11" s="199"/>
      <c r="Q11" s="199" t="s">
        <v>546</v>
      </c>
      <c r="R11" s="199"/>
      <c r="S11" s="146" t="s">
        <v>571</v>
      </c>
      <c r="T11" s="146" t="s">
        <v>514</v>
      </c>
      <c r="U11" s="151"/>
    </row>
    <row r="12" spans="1:21" s="150" customFormat="1" ht="31" x14ac:dyDescent="0.35">
      <c r="A12" s="151" t="s">
        <v>290</v>
      </c>
      <c r="B12" s="146" t="s">
        <v>292</v>
      </c>
      <c r="C12" s="146" t="s">
        <v>293</v>
      </c>
      <c r="D12" s="146" t="s">
        <v>294</v>
      </c>
      <c r="E12" s="152" t="s">
        <v>289</v>
      </c>
      <c r="F12" s="199" t="s">
        <v>572</v>
      </c>
      <c r="G12" s="198" t="s">
        <v>541</v>
      </c>
      <c r="H12" s="199"/>
      <c r="I12" s="199"/>
      <c r="J12" s="199" t="s">
        <v>489</v>
      </c>
      <c r="K12" s="199" t="s">
        <v>536</v>
      </c>
      <c r="L12" s="203" t="s">
        <v>555</v>
      </c>
      <c r="M12" s="203" t="s">
        <v>492</v>
      </c>
      <c r="N12" s="203" t="s">
        <v>558</v>
      </c>
      <c r="O12" s="199" t="s">
        <v>537</v>
      </c>
      <c r="P12" s="199"/>
      <c r="Q12" s="199" t="s">
        <v>477</v>
      </c>
      <c r="R12" s="199"/>
      <c r="S12" s="146" t="s">
        <v>573</v>
      </c>
      <c r="T12" s="146" t="s">
        <v>514</v>
      </c>
      <c r="U12" s="151"/>
    </row>
    <row r="13" spans="1:21" s="150" customFormat="1" ht="31" x14ac:dyDescent="0.35">
      <c r="A13" s="151" t="s">
        <v>296</v>
      </c>
      <c r="B13" s="146" t="s">
        <v>292</v>
      </c>
      <c r="C13" s="146" t="s">
        <v>293</v>
      </c>
      <c r="D13" s="146" t="s">
        <v>294</v>
      </c>
      <c r="E13" s="152" t="s">
        <v>295</v>
      </c>
      <c r="F13" s="198" t="s">
        <v>554</v>
      </c>
      <c r="G13" s="199" t="s">
        <v>461</v>
      </c>
      <c r="H13" s="199"/>
      <c r="I13" s="199"/>
      <c r="J13" s="199" t="s">
        <v>489</v>
      </c>
      <c r="K13" s="199" t="s">
        <v>496</v>
      </c>
      <c r="L13" s="203" t="s">
        <v>497</v>
      </c>
      <c r="M13" s="203" t="s">
        <v>533</v>
      </c>
      <c r="N13" s="203" t="s">
        <v>558</v>
      </c>
      <c r="O13" s="199" t="s">
        <v>537</v>
      </c>
      <c r="P13" s="199"/>
      <c r="Q13" s="199" t="s">
        <v>546</v>
      </c>
      <c r="R13" s="199"/>
      <c r="S13" s="146" t="s">
        <v>574</v>
      </c>
      <c r="T13" s="146" t="s">
        <v>558</v>
      </c>
      <c r="U13" s="151"/>
    </row>
    <row r="14" spans="1:21" s="150" customFormat="1" ht="31" x14ac:dyDescent="0.35">
      <c r="A14" s="151" t="s">
        <v>299</v>
      </c>
      <c r="B14" s="146" t="s">
        <v>292</v>
      </c>
      <c r="C14" s="146" t="s">
        <v>293</v>
      </c>
      <c r="D14" s="146" t="s">
        <v>294</v>
      </c>
      <c r="E14" s="152" t="s">
        <v>298</v>
      </c>
      <c r="F14" s="198" t="s">
        <v>572</v>
      </c>
      <c r="G14" s="199" t="s">
        <v>549</v>
      </c>
      <c r="H14" s="199"/>
      <c r="I14" s="199"/>
      <c r="J14" s="199" t="s">
        <v>551</v>
      </c>
      <c r="K14" s="199" t="s">
        <v>536</v>
      </c>
      <c r="L14" s="203" t="s">
        <v>497</v>
      </c>
      <c r="M14" s="203" t="s">
        <v>476</v>
      </c>
      <c r="N14" s="203" t="s">
        <v>498</v>
      </c>
      <c r="O14" s="199" t="s">
        <v>501</v>
      </c>
      <c r="P14" s="199"/>
      <c r="Q14" s="199" t="s">
        <v>546</v>
      </c>
      <c r="R14" s="199"/>
      <c r="S14" s="146" t="s">
        <v>575</v>
      </c>
      <c r="T14" s="146" t="s">
        <v>547</v>
      </c>
      <c r="U14" s="151"/>
    </row>
    <row r="15" spans="1:21" s="150" customFormat="1" ht="31" x14ac:dyDescent="0.35">
      <c r="A15" s="151" t="s">
        <v>302</v>
      </c>
      <c r="B15" s="146" t="s">
        <v>292</v>
      </c>
      <c r="C15" s="146" t="s">
        <v>293</v>
      </c>
      <c r="D15" s="146" t="s">
        <v>294</v>
      </c>
      <c r="E15" s="152" t="s">
        <v>301</v>
      </c>
      <c r="F15" s="199" t="s">
        <v>572</v>
      </c>
      <c r="G15" s="198" t="s">
        <v>540</v>
      </c>
      <c r="H15" s="199"/>
      <c r="I15" s="199"/>
      <c r="J15" s="199" t="s">
        <v>530</v>
      </c>
      <c r="K15" s="199" t="s">
        <v>544</v>
      </c>
      <c r="L15" s="203" t="s">
        <v>555</v>
      </c>
      <c r="M15" s="203" t="s">
        <v>476</v>
      </c>
      <c r="N15" s="203" t="s">
        <v>503</v>
      </c>
      <c r="O15" s="199" t="s">
        <v>467</v>
      </c>
      <c r="P15" s="199"/>
      <c r="Q15" s="199" t="s">
        <v>546</v>
      </c>
      <c r="R15" s="199"/>
      <c r="S15" s="146" t="s">
        <v>576</v>
      </c>
      <c r="T15" s="195" t="s">
        <v>468</v>
      </c>
      <c r="U15" s="151"/>
    </row>
    <row r="16" spans="1:21" s="150" customFormat="1" x14ac:dyDescent="0.35">
      <c r="A16" s="151" t="s">
        <v>305</v>
      </c>
      <c r="B16" s="146" t="s">
        <v>292</v>
      </c>
      <c r="C16" s="146" t="s">
        <v>293</v>
      </c>
      <c r="D16" s="221" t="s">
        <v>294</v>
      </c>
      <c r="E16" s="152" t="s">
        <v>304</v>
      </c>
      <c r="F16" s="199" t="s">
        <v>542</v>
      </c>
      <c r="G16" s="203" t="s">
        <v>569</v>
      </c>
      <c r="H16" s="199"/>
      <c r="I16" s="199"/>
      <c r="J16" s="199" t="s">
        <v>551</v>
      </c>
      <c r="K16" s="199" t="s">
        <v>544</v>
      </c>
      <c r="L16" s="198" t="s">
        <v>491</v>
      </c>
      <c r="M16" s="203" t="s">
        <v>476</v>
      </c>
      <c r="N16" s="203" t="s">
        <v>503</v>
      </c>
      <c r="O16" s="199" t="s">
        <v>501</v>
      </c>
      <c r="P16" s="199"/>
      <c r="Q16" s="199" t="s">
        <v>468</v>
      </c>
      <c r="R16" s="199"/>
      <c r="S16" s="146" t="s">
        <v>569</v>
      </c>
      <c r="T16" s="146" t="s">
        <v>535</v>
      </c>
      <c r="U16" s="151"/>
    </row>
    <row r="17" spans="1:21" s="150" customFormat="1" ht="31" x14ac:dyDescent="0.35">
      <c r="A17" s="151" t="s">
        <v>308</v>
      </c>
      <c r="B17" s="146" t="s">
        <v>292</v>
      </c>
      <c r="C17" s="146" t="s">
        <v>293</v>
      </c>
      <c r="D17" s="261" t="s">
        <v>294</v>
      </c>
      <c r="E17" s="254" t="s">
        <v>307</v>
      </c>
      <c r="F17" s="199" t="s">
        <v>512</v>
      </c>
      <c r="G17" s="203" t="s">
        <v>549</v>
      </c>
      <c r="H17" s="199"/>
      <c r="I17" s="199"/>
      <c r="J17" s="199" t="s">
        <v>473</v>
      </c>
      <c r="K17" s="255" t="s">
        <v>531</v>
      </c>
      <c r="L17" s="203" t="s">
        <v>482</v>
      </c>
      <c r="M17" s="199" t="s">
        <v>492</v>
      </c>
      <c r="N17" s="203" t="s">
        <v>498</v>
      </c>
      <c r="O17" s="199" t="s">
        <v>467</v>
      </c>
      <c r="P17" s="199"/>
      <c r="Q17" s="199" t="s">
        <v>546</v>
      </c>
      <c r="R17" s="199"/>
      <c r="S17" s="195" t="s">
        <v>1152</v>
      </c>
      <c r="T17" s="146" t="s">
        <v>514</v>
      </c>
      <c r="U17" s="151"/>
    </row>
    <row r="18" spans="1:21" s="150" customFormat="1" x14ac:dyDescent="0.35">
      <c r="A18" s="151" t="s">
        <v>312</v>
      </c>
      <c r="B18" s="146" t="s">
        <v>314</v>
      </c>
      <c r="C18" s="146" t="s">
        <v>315</v>
      </c>
      <c r="D18" s="146" t="s">
        <v>316</v>
      </c>
      <c r="E18" s="152" t="s">
        <v>311</v>
      </c>
      <c r="F18" s="203" t="s">
        <v>568</v>
      </c>
      <c r="G18" s="203" t="s">
        <v>471</v>
      </c>
      <c r="H18" s="199"/>
      <c r="I18" s="203" t="s">
        <v>547</v>
      </c>
      <c r="J18" s="199" t="s">
        <v>489</v>
      </c>
      <c r="K18" s="199" t="s">
        <v>500</v>
      </c>
      <c r="L18" s="199" t="s">
        <v>491</v>
      </c>
      <c r="M18" s="199" t="s">
        <v>476</v>
      </c>
      <c r="N18" s="199"/>
      <c r="O18" s="199"/>
      <c r="P18" s="199"/>
      <c r="Q18" s="199" t="s">
        <v>477</v>
      </c>
      <c r="R18" s="199" t="s">
        <v>484</v>
      </c>
      <c r="S18" s="146" t="s">
        <v>568</v>
      </c>
      <c r="T18" s="146" t="s">
        <v>547</v>
      </c>
      <c r="U18" s="151"/>
    </row>
    <row r="19" spans="1:21" s="150" customFormat="1" ht="31" x14ac:dyDescent="0.35">
      <c r="A19" s="151" t="s">
        <v>318</v>
      </c>
      <c r="B19" s="146" t="s">
        <v>314</v>
      </c>
      <c r="C19" s="146" t="s">
        <v>315</v>
      </c>
      <c r="D19" s="262" t="s">
        <v>316</v>
      </c>
      <c r="E19" s="152" t="s">
        <v>317</v>
      </c>
      <c r="F19" s="203" t="s">
        <v>572</v>
      </c>
      <c r="G19" s="260" t="s">
        <v>541</v>
      </c>
      <c r="H19" s="199"/>
      <c r="I19" s="203" t="s">
        <v>463</v>
      </c>
      <c r="J19" s="199" t="s">
        <v>551</v>
      </c>
      <c r="K19" s="257" t="s">
        <v>531</v>
      </c>
      <c r="L19" s="199" t="s">
        <v>532</v>
      </c>
      <c r="M19" s="259" t="s">
        <v>492</v>
      </c>
      <c r="N19" s="199"/>
      <c r="O19" s="199"/>
      <c r="P19" s="199"/>
      <c r="Q19" s="199" t="s">
        <v>477</v>
      </c>
      <c r="R19" s="199" t="s">
        <v>552</v>
      </c>
      <c r="S19" s="146" t="s">
        <v>577</v>
      </c>
      <c r="T19" s="146" t="s">
        <v>514</v>
      </c>
      <c r="U19" s="151"/>
    </row>
    <row r="20" spans="1:21" s="150" customFormat="1" ht="31" x14ac:dyDescent="0.35">
      <c r="A20" s="151" t="s">
        <v>321</v>
      </c>
      <c r="B20" s="146" t="s">
        <v>323</v>
      </c>
      <c r="C20" s="146" t="s">
        <v>324</v>
      </c>
      <c r="D20" s="151" t="s">
        <v>325</v>
      </c>
      <c r="E20" s="152" t="s">
        <v>320</v>
      </c>
      <c r="F20" s="203" t="s">
        <v>548</v>
      </c>
      <c r="G20" s="199"/>
      <c r="H20" s="203" t="s">
        <v>472</v>
      </c>
      <c r="I20" s="203" t="s">
        <v>557</v>
      </c>
      <c r="J20" s="199" t="s">
        <v>551</v>
      </c>
      <c r="K20" s="257" t="s">
        <v>531</v>
      </c>
      <c r="L20" s="199" t="s">
        <v>491</v>
      </c>
      <c r="M20" s="199" t="s">
        <v>476</v>
      </c>
      <c r="N20" s="199"/>
      <c r="O20" s="199"/>
      <c r="P20" s="199"/>
      <c r="Q20" s="199" t="s">
        <v>477</v>
      </c>
      <c r="R20" s="199" t="s">
        <v>484</v>
      </c>
      <c r="S20" s="146" t="s">
        <v>578</v>
      </c>
      <c r="T20" s="146" t="s">
        <v>488</v>
      </c>
      <c r="U20" s="151"/>
    </row>
    <row r="21" spans="1:21" s="150" customFormat="1" x14ac:dyDescent="0.35">
      <c r="A21" s="151" t="s">
        <v>327</v>
      </c>
      <c r="B21" s="146" t="s">
        <v>323</v>
      </c>
      <c r="C21" s="146" t="s">
        <v>324</v>
      </c>
      <c r="D21" s="220" t="s">
        <v>325</v>
      </c>
      <c r="E21" s="152" t="s">
        <v>326</v>
      </c>
      <c r="F21" s="203" t="s">
        <v>527</v>
      </c>
      <c r="G21" s="199"/>
      <c r="H21" s="203" t="s">
        <v>543</v>
      </c>
      <c r="I21" s="198" t="s">
        <v>557</v>
      </c>
      <c r="J21" s="199" t="s">
        <v>551</v>
      </c>
      <c r="K21" s="199" t="s">
        <v>481</v>
      </c>
      <c r="L21" s="211" t="s">
        <v>545</v>
      </c>
      <c r="M21" s="199" t="s">
        <v>492</v>
      </c>
      <c r="N21" s="199"/>
      <c r="O21" s="199"/>
      <c r="P21" s="199"/>
      <c r="Q21" s="199" t="s">
        <v>546</v>
      </c>
      <c r="R21" s="199" t="s">
        <v>552</v>
      </c>
      <c r="S21" s="146" t="s">
        <v>557</v>
      </c>
      <c r="T21" s="214" t="s">
        <v>514</v>
      </c>
      <c r="U21" s="151"/>
    </row>
    <row r="22" spans="1:21" s="150" customFormat="1" ht="31" x14ac:dyDescent="0.35">
      <c r="A22" s="151" t="s">
        <v>330</v>
      </c>
      <c r="B22" s="146" t="s">
        <v>332</v>
      </c>
      <c r="C22" s="146" t="s">
        <v>333</v>
      </c>
      <c r="D22" s="151" t="s">
        <v>334</v>
      </c>
      <c r="E22" s="152" t="s">
        <v>329</v>
      </c>
      <c r="F22" s="199" t="s">
        <v>554</v>
      </c>
      <c r="G22" s="199"/>
      <c r="H22" s="199"/>
      <c r="I22" s="203" t="s">
        <v>509</v>
      </c>
      <c r="J22" s="199" t="s">
        <v>489</v>
      </c>
      <c r="K22" s="199" t="s">
        <v>496</v>
      </c>
      <c r="L22" s="203" t="s">
        <v>556</v>
      </c>
      <c r="M22" s="199" t="s">
        <v>533</v>
      </c>
      <c r="N22" s="203" t="s">
        <v>558</v>
      </c>
      <c r="O22" s="199" t="s">
        <v>537</v>
      </c>
      <c r="P22" s="199"/>
      <c r="Q22" s="199" t="s">
        <v>477</v>
      </c>
      <c r="R22" s="199"/>
      <c r="S22" s="146" t="s">
        <v>579</v>
      </c>
      <c r="T22" s="214" t="s">
        <v>514</v>
      </c>
      <c r="U22" s="151"/>
    </row>
    <row r="23" spans="1:21" s="150" customFormat="1" ht="31" x14ac:dyDescent="0.35">
      <c r="A23" s="151" t="s">
        <v>336</v>
      </c>
      <c r="B23" s="146" t="s">
        <v>332</v>
      </c>
      <c r="C23" s="146" t="s">
        <v>333</v>
      </c>
      <c r="D23" s="151" t="s">
        <v>334</v>
      </c>
      <c r="E23" s="152" t="s">
        <v>335</v>
      </c>
      <c r="F23" s="199" t="s">
        <v>510</v>
      </c>
      <c r="G23" s="199"/>
      <c r="H23" s="199"/>
      <c r="I23" s="203" t="s">
        <v>509</v>
      </c>
      <c r="J23" s="199" t="s">
        <v>530</v>
      </c>
      <c r="K23" s="199" t="s">
        <v>474</v>
      </c>
      <c r="L23" s="203" t="s">
        <v>580</v>
      </c>
      <c r="M23" s="199" t="s">
        <v>533</v>
      </c>
      <c r="N23" s="203" t="s">
        <v>503</v>
      </c>
      <c r="O23" s="199" t="s">
        <v>467</v>
      </c>
      <c r="P23" s="199"/>
      <c r="Q23" s="199" t="s">
        <v>546</v>
      </c>
      <c r="R23" s="199"/>
      <c r="S23" s="146" t="s">
        <v>581</v>
      </c>
      <c r="T23" s="146" t="s">
        <v>540</v>
      </c>
      <c r="U23" s="151"/>
    </row>
    <row r="24" spans="1:21" s="150" customFormat="1" ht="31" x14ac:dyDescent="0.35">
      <c r="A24" s="151" t="s">
        <v>339</v>
      </c>
      <c r="B24" s="146" t="s">
        <v>332</v>
      </c>
      <c r="C24" s="146" t="s">
        <v>333</v>
      </c>
      <c r="D24" s="151" t="s">
        <v>334</v>
      </c>
      <c r="E24" s="152" t="s">
        <v>338</v>
      </c>
      <c r="F24" s="211" t="s">
        <v>502</v>
      </c>
      <c r="G24" s="199"/>
      <c r="H24" s="199"/>
      <c r="I24" s="198" t="s">
        <v>485</v>
      </c>
      <c r="J24" s="199" t="s">
        <v>473</v>
      </c>
      <c r="K24" s="256" t="s">
        <v>582</v>
      </c>
      <c r="L24" s="203" t="s">
        <v>545</v>
      </c>
      <c r="M24" s="199" t="s">
        <v>533</v>
      </c>
      <c r="N24" s="203" t="s">
        <v>503</v>
      </c>
      <c r="O24" s="199" t="s">
        <v>501</v>
      </c>
      <c r="P24" s="199"/>
      <c r="Q24" s="199" t="s">
        <v>546</v>
      </c>
      <c r="R24" s="199"/>
      <c r="S24" s="146" t="s">
        <v>583</v>
      </c>
      <c r="T24" s="214" t="s">
        <v>514</v>
      </c>
      <c r="U24" s="151"/>
    </row>
    <row r="25" spans="1:21" s="150" customFormat="1" ht="31" x14ac:dyDescent="0.35">
      <c r="A25" s="151" t="s">
        <v>342</v>
      </c>
      <c r="B25" s="146" t="s">
        <v>344</v>
      </c>
      <c r="C25" s="146" t="s">
        <v>345</v>
      </c>
      <c r="D25" s="151" t="s">
        <v>346</v>
      </c>
      <c r="E25" s="152" t="s">
        <v>341</v>
      </c>
      <c r="F25" s="199" t="s">
        <v>542</v>
      </c>
      <c r="G25" s="199"/>
      <c r="H25" s="203" t="s">
        <v>550</v>
      </c>
      <c r="I25" s="199"/>
      <c r="J25" s="199" t="s">
        <v>489</v>
      </c>
      <c r="K25" s="199" t="s">
        <v>474</v>
      </c>
      <c r="L25" s="203" t="s">
        <v>556</v>
      </c>
      <c r="M25" s="199" t="s">
        <v>492</v>
      </c>
      <c r="N25" s="203" t="s">
        <v>503</v>
      </c>
      <c r="O25" s="199" t="s">
        <v>467</v>
      </c>
      <c r="P25" s="199"/>
      <c r="Q25" s="199" t="s">
        <v>477</v>
      </c>
      <c r="R25" s="199"/>
      <c r="S25" s="146" t="s">
        <v>584</v>
      </c>
      <c r="T25" s="146" t="s">
        <v>514</v>
      </c>
      <c r="U25" s="151"/>
    </row>
    <row r="26" spans="1:21" s="150" customFormat="1" x14ac:dyDescent="0.35">
      <c r="A26" s="355" t="s">
        <v>39</v>
      </c>
      <c r="B26" s="355"/>
      <c r="C26" s="355"/>
      <c r="D26" s="151"/>
      <c r="E26" s="148">
        <f t="shared" ref="E26:T26" si="0">COUNTA(E5:E25)</f>
        <v>21</v>
      </c>
      <c r="F26" s="148">
        <f t="shared" si="0"/>
        <v>21</v>
      </c>
      <c r="G26" s="148">
        <f t="shared" si="0"/>
        <v>15</v>
      </c>
      <c r="H26" s="148">
        <f t="shared" si="0"/>
        <v>10</v>
      </c>
      <c r="I26" s="148">
        <f t="shared" si="0"/>
        <v>9</v>
      </c>
      <c r="J26" s="148">
        <f t="shared" si="0"/>
        <v>21</v>
      </c>
      <c r="K26" s="148">
        <f t="shared" si="0"/>
        <v>21</v>
      </c>
      <c r="L26" s="148">
        <f t="shared" si="0"/>
        <v>21</v>
      </c>
      <c r="M26" s="148">
        <f t="shared" si="0"/>
        <v>21</v>
      </c>
      <c r="N26" s="148">
        <f t="shared" si="0"/>
        <v>10</v>
      </c>
      <c r="O26" s="148">
        <f t="shared" si="0"/>
        <v>15</v>
      </c>
      <c r="P26" s="148">
        <f t="shared" si="0"/>
        <v>0</v>
      </c>
      <c r="Q26" s="148">
        <f t="shared" si="0"/>
        <v>21</v>
      </c>
      <c r="R26" s="148">
        <f t="shared" si="0"/>
        <v>4</v>
      </c>
      <c r="S26" s="148">
        <f t="shared" si="0"/>
        <v>21</v>
      </c>
      <c r="T26" s="148">
        <f t="shared" si="0"/>
        <v>21</v>
      </c>
      <c r="U26" s="151"/>
    </row>
    <row r="27" spans="1:21" s="150" customFormat="1" x14ac:dyDescent="0.35">
      <c r="A27" s="153"/>
      <c r="B27" s="153"/>
      <c r="C27" s="153"/>
      <c r="D27" s="154"/>
      <c r="E27" s="145"/>
      <c r="F27" s="153"/>
      <c r="G27" s="153"/>
      <c r="H27" s="153"/>
      <c r="I27" s="153"/>
      <c r="J27" s="153"/>
      <c r="K27" s="153"/>
      <c r="L27" s="153"/>
      <c r="M27" s="153"/>
      <c r="N27" s="153"/>
      <c r="O27" s="153"/>
      <c r="P27" s="153"/>
      <c r="Q27" s="153"/>
      <c r="R27" s="153"/>
      <c r="S27" s="153"/>
      <c r="T27" s="153"/>
      <c r="U27" s="155"/>
    </row>
    <row r="28" spans="1:21" x14ac:dyDescent="0.35">
      <c r="B28" s="156"/>
      <c r="C28" s="157" t="s">
        <v>520</v>
      </c>
    </row>
    <row r="29" spans="1:21" x14ac:dyDescent="0.35">
      <c r="B29" s="189" t="s">
        <v>521</v>
      </c>
      <c r="C29" s="158"/>
    </row>
    <row r="30" spans="1:21" x14ac:dyDescent="0.35">
      <c r="B30" s="170" t="s">
        <v>564</v>
      </c>
      <c r="C30" s="157" t="s">
        <v>522</v>
      </c>
    </row>
    <row r="31" spans="1:21" x14ac:dyDescent="0.35">
      <c r="B31" s="156" t="s">
        <v>585</v>
      </c>
      <c r="C31" s="156" t="s">
        <v>524</v>
      </c>
    </row>
    <row r="32" spans="1:21" s="150" customFormat="1" ht="1.5" customHeight="1" x14ac:dyDescent="0.35">
      <c r="D32" s="147"/>
    </row>
  </sheetData>
  <mergeCells count="3">
    <mergeCell ref="A26:C26"/>
    <mergeCell ref="A1:S1"/>
    <mergeCell ref="A2:S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
  <sheetViews>
    <sheetView workbookViewId="0"/>
  </sheetViews>
  <sheetFormatPr defaultColWidth="8.81640625" defaultRowHeight="15.5" x14ac:dyDescent="0.35"/>
  <cols>
    <col min="1" max="1" width="4.1796875" style="1" customWidth="1"/>
    <col min="2" max="2" width="14.81640625" style="2" customWidth="1"/>
    <col min="3" max="5" width="12.7265625" style="1" customWidth="1"/>
    <col min="6" max="6" width="17.1796875" style="1" customWidth="1"/>
    <col min="7" max="7" width="15.453125" style="1" customWidth="1"/>
    <col min="8" max="8" width="13.1796875" style="1" customWidth="1"/>
    <col min="9" max="9" width="14" style="1" customWidth="1"/>
    <col min="10" max="10" width="19.81640625" style="1" customWidth="1"/>
    <col min="11" max="16384" width="8.81640625" style="1"/>
  </cols>
  <sheetData>
    <row r="1" spans="1:10" x14ac:dyDescent="0.35">
      <c r="A1"/>
      <c r="B1"/>
      <c r="C1"/>
      <c r="D1"/>
      <c r="E1"/>
      <c r="F1"/>
      <c r="G1"/>
      <c r="H1"/>
      <c r="I1"/>
      <c r="J1"/>
    </row>
    <row r="2" spans="1:10" ht="17.5" x14ac:dyDescent="0.35">
      <c r="A2"/>
      <c r="B2" s="357" t="s">
        <v>586</v>
      </c>
      <c r="C2" s="357"/>
      <c r="D2" s="357"/>
      <c r="E2" s="357"/>
      <c r="F2" s="357"/>
      <c r="G2" s="357"/>
      <c r="H2" s="357"/>
      <c r="I2" s="357"/>
      <c r="J2" s="357"/>
    </row>
    <row r="3" spans="1:10" ht="17.5" x14ac:dyDescent="0.35">
      <c r="A3"/>
      <c r="B3" s="357" t="s">
        <v>1</v>
      </c>
      <c r="C3" s="357"/>
      <c r="D3" s="357"/>
      <c r="E3" s="357"/>
      <c r="F3" s="357"/>
      <c r="G3" s="357"/>
      <c r="H3" s="357"/>
      <c r="I3" s="357"/>
      <c r="J3" s="357"/>
    </row>
    <row r="4" spans="1:10" x14ac:dyDescent="0.35">
      <c r="A4"/>
      <c r="B4"/>
      <c r="C4"/>
      <c r="D4"/>
      <c r="E4"/>
      <c r="F4"/>
      <c r="G4"/>
      <c r="H4"/>
      <c r="I4"/>
      <c r="J4"/>
    </row>
    <row r="5" spans="1:10" x14ac:dyDescent="0.35">
      <c r="A5"/>
      <c r="B5" s="3" t="s">
        <v>587</v>
      </c>
      <c r="C5" s="3" t="s">
        <v>209</v>
      </c>
      <c r="D5" s="3" t="s">
        <v>588</v>
      </c>
      <c r="E5" s="3" t="s">
        <v>151</v>
      </c>
      <c r="F5" s="3" t="s">
        <v>230</v>
      </c>
      <c r="G5" s="3" t="s">
        <v>171</v>
      </c>
      <c r="H5" s="3" t="s">
        <v>66</v>
      </c>
      <c r="I5" s="3" t="s">
        <v>72</v>
      </c>
      <c r="J5" s="53" t="s">
        <v>28</v>
      </c>
    </row>
    <row r="6" spans="1:10" x14ac:dyDescent="0.35">
      <c r="A6"/>
      <c r="B6" s="3" t="s">
        <v>6</v>
      </c>
      <c r="C6" s="4">
        <v>8</v>
      </c>
      <c r="D6" s="4">
        <v>8</v>
      </c>
      <c r="E6" s="4">
        <v>6</v>
      </c>
      <c r="F6" s="4">
        <v>5</v>
      </c>
      <c r="G6" s="4">
        <v>12</v>
      </c>
      <c r="H6" s="4">
        <v>9</v>
      </c>
      <c r="I6" s="4">
        <v>12</v>
      </c>
      <c r="J6" s="3">
        <f>SUM(C6:I6)</f>
        <v>60</v>
      </c>
    </row>
    <row r="7" spans="1:10" x14ac:dyDescent="0.35">
      <c r="A7"/>
      <c r="B7" s="3" t="s">
        <v>7</v>
      </c>
      <c r="C7" s="4">
        <v>9</v>
      </c>
      <c r="D7" s="4">
        <v>7</v>
      </c>
      <c r="E7" s="4">
        <v>4</v>
      </c>
      <c r="F7" s="4">
        <v>8</v>
      </c>
      <c r="G7" s="4">
        <v>12</v>
      </c>
      <c r="H7" s="4">
        <v>7</v>
      </c>
      <c r="I7" s="4">
        <v>9</v>
      </c>
      <c r="J7" s="3">
        <f>SUM(C7:I7)</f>
        <v>56</v>
      </c>
    </row>
    <row r="8" spans="1:10" x14ac:dyDescent="0.35">
      <c r="A8"/>
      <c r="B8" s="19" t="s">
        <v>8</v>
      </c>
      <c r="C8" s="27">
        <v>15</v>
      </c>
      <c r="D8" s="27">
        <v>10</v>
      </c>
      <c r="E8" s="27">
        <v>9</v>
      </c>
      <c r="F8" s="27">
        <v>4</v>
      </c>
      <c r="G8" s="27">
        <v>21</v>
      </c>
      <c r="H8" s="27">
        <v>10</v>
      </c>
      <c r="I8" s="27">
        <v>15</v>
      </c>
      <c r="J8" s="19">
        <f>SUM(C8:I8)</f>
        <v>84</v>
      </c>
    </row>
    <row r="9" spans="1:10" x14ac:dyDescent="0.35">
      <c r="A9"/>
      <c r="B9" s="3" t="s">
        <v>39</v>
      </c>
      <c r="C9" s="3">
        <f t="shared" ref="C9:I9" si="0">SUM(C6:C8)</f>
        <v>32</v>
      </c>
      <c r="D9" s="3">
        <f t="shared" si="0"/>
        <v>25</v>
      </c>
      <c r="E9" s="3">
        <f t="shared" si="0"/>
        <v>19</v>
      </c>
      <c r="F9" s="3">
        <f t="shared" si="0"/>
        <v>17</v>
      </c>
      <c r="G9" s="3">
        <f t="shared" si="0"/>
        <v>45</v>
      </c>
      <c r="H9" s="3">
        <f t="shared" si="0"/>
        <v>26</v>
      </c>
      <c r="I9" s="3">
        <f t="shared" si="0"/>
        <v>36</v>
      </c>
      <c r="J9" s="3">
        <f>SUM(C9:I9)</f>
        <v>200</v>
      </c>
    </row>
  </sheetData>
  <mergeCells count="2">
    <mergeCell ref="B2:J2"/>
    <mergeCell ref="B3: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
  <sheetViews>
    <sheetView workbookViewId="0"/>
  </sheetViews>
  <sheetFormatPr defaultColWidth="8.81640625" defaultRowHeight="15.5" x14ac:dyDescent="0.35"/>
  <cols>
    <col min="1" max="1" width="4.1796875" style="1" customWidth="1"/>
    <col min="2" max="2" width="14.81640625" style="2" customWidth="1"/>
    <col min="3" max="4" width="12.453125" style="2" customWidth="1"/>
    <col min="5" max="6" width="12.453125" style="1" customWidth="1"/>
    <col min="7" max="7" width="14" style="1" customWidth="1"/>
    <col min="8" max="8" width="16.453125" style="1" hidden="1" customWidth="1"/>
    <col min="9" max="9" width="12.453125" style="1" hidden="1" customWidth="1"/>
    <col min="10" max="11" width="12.453125" style="1" customWidth="1"/>
    <col min="12" max="12" width="13.1796875" style="1" customWidth="1"/>
    <col min="13" max="13" width="15.453125" style="1" customWidth="1"/>
    <col min="14" max="16384" width="8.81640625" style="1"/>
  </cols>
  <sheetData>
    <row r="1" spans="1:13" x14ac:dyDescent="0.35">
      <c r="A1"/>
      <c r="B1"/>
      <c r="C1"/>
      <c r="D1"/>
      <c r="E1"/>
      <c r="F1"/>
      <c r="G1"/>
      <c r="H1"/>
      <c r="I1"/>
      <c r="J1"/>
      <c r="K1"/>
      <c r="L1"/>
      <c r="M1"/>
    </row>
    <row r="2" spans="1:13" ht="17.5" x14ac:dyDescent="0.35">
      <c r="A2"/>
      <c r="B2" s="357" t="s">
        <v>589</v>
      </c>
      <c r="C2" s="357"/>
      <c r="D2" s="357"/>
      <c r="E2" s="357"/>
      <c r="F2" s="357"/>
      <c r="G2" s="357"/>
      <c r="H2" s="357"/>
      <c r="I2" s="357"/>
      <c r="J2" s="357"/>
      <c r="K2" s="357"/>
      <c r="L2" s="357"/>
      <c r="M2" s="357"/>
    </row>
    <row r="3" spans="1:13" ht="17.5" x14ac:dyDescent="0.35">
      <c r="A3"/>
      <c r="B3" s="357" t="s">
        <v>1</v>
      </c>
      <c r="C3" s="357"/>
      <c r="D3" s="357"/>
      <c r="E3" s="357"/>
      <c r="F3" s="357"/>
      <c r="G3" s="357"/>
      <c r="H3" s="357"/>
      <c r="I3" s="357"/>
      <c r="J3" s="357"/>
      <c r="K3" s="357"/>
      <c r="L3" s="357"/>
      <c r="M3" s="357"/>
    </row>
    <row r="4" spans="1:13" x14ac:dyDescent="0.35">
      <c r="A4"/>
      <c r="B4"/>
      <c r="C4"/>
      <c r="D4"/>
      <c r="E4"/>
      <c r="F4"/>
      <c r="G4"/>
      <c r="H4"/>
      <c r="I4"/>
      <c r="J4"/>
      <c r="K4"/>
      <c r="L4"/>
      <c r="M4"/>
    </row>
    <row r="5" spans="1:13" x14ac:dyDescent="0.35">
      <c r="A5"/>
      <c r="B5" s="3" t="s">
        <v>587</v>
      </c>
      <c r="C5" s="3" t="s">
        <v>590</v>
      </c>
      <c r="D5" s="3" t="s">
        <v>122</v>
      </c>
      <c r="E5" s="3" t="s">
        <v>209</v>
      </c>
      <c r="F5" s="3" t="s">
        <v>588</v>
      </c>
      <c r="G5" s="3" t="s">
        <v>151</v>
      </c>
      <c r="H5" s="3" t="s">
        <v>230</v>
      </c>
      <c r="I5" s="3" t="s">
        <v>171</v>
      </c>
      <c r="J5" s="3" t="s">
        <v>114</v>
      </c>
      <c r="K5" s="3" t="s">
        <v>66</v>
      </c>
      <c r="L5" s="3" t="s">
        <v>591</v>
      </c>
      <c r="M5" s="53" t="s">
        <v>28</v>
      </c>
    </row>
    <row r="6" spans="1:13" x14ac:dyDescent="0.35">
      <c r="A6"/>
      <c r="B6" s="3" t="s">
        <v>6</v>
      </c>
      <c r="C6" s="4">
        <f>SUM('Tổng hợp'!G81:G94)</f>
        <v>10</v>
      </c>
      <c r="D6" s="4">
        <f>SUM('Tổng hợp'!G52:G65)</f>
        <v>6</v>
      </c>
      <c r="E6" s="4">
        <f>SUM('Tổng hợp'!G96:G107)</f>
        <v>8</v>
      </c>
      <c r="F6" s="4">
        <f>SUM('Tổng hợp'!G38:G44)</f>
        <v>7</v>
      </c>
      <c r="G6" s="4">
        <f>SUM('Tổng hợp'!G68:G73)</f>
        <v>2</v>
      </c>
      <c r="H6" s="4">
        <f>SUM('Tổng hợp'!G109:G110)</f>
        <v>0</v>
      </c>
      <c r="I6" s="4">
        <f>SUM('Tổng hợp'!G75:G79)</f>
        <v>0</v>
      </c>
      <c r="J6" s="4">
        <f>SUM('Tổng hợp'!G46:G50)</f>
        <v>6</v>
      </c>
      <c r="K6" s="4">
        <f>SUM('Tổng hợp'!G17:G20)</f>
        <v>5</v>
      </c>
      <c r="L6" s="4">
        <f>SUM('Tổng hợp'!G22:G25)</f>
        <v>1</v>
      </c>
      <c r="M6" s="53">
        <f>SUM(C6:L6)</f>
        <v>45</v>
      </c>
    </row>
    <row r="7" spans="1:13" x14ac:dyDescent="0.35">
      <c r="A7"/>
      <c r="B7" s="3" t="s">
        <v>7</v>
      </c>
      <c r="C7" s="4">
        <f>SUM('Tổng hợp'!M81:M94)</f>
        <v>7</v>
      </c>
      <c r="D7" s="4">
        <f>SUM('Tổng hợp'!M52:M65)</f>
        <v>7</v>
      </c>
      <c r="E7" s="4">
        <f>SUM('Tổng hợp'!M96:M107)</f>
        <v>5</v>
      </c>
      <c r="F7" s="4">
        <f>SUM('Tổng hợp'!M38:M44)</f>
        <v>7</v>
      </c>
      <c r="G7" s="4">
        <f>SUM('Tổng hợp'!M68:M73)</f>
        <v>2</v>
      </c>
      <c r="H7" s="4">
        <f>SUM('Tổng hợp'!M109:M110)</f>
        <v>0</v>
      </c>
      <c r="I7" s="4">
        <f>SUM('Tổng hợp'!M75:M79)</f>
        <v>0</v>
      </c>
      <c r="J7" s="4">
        <f>SUM('Tổng hợp'!M46:M50)</f>
        <v>7</v>
      </c>
      <c r="K7" s="4">
        <f>SUM('Tổng hợp'!M17:M20)</f>
        <v>7</v>
      </c>
      <c r="L7" s="4">
        <f>SUM('Tổng hợp'!M22:M25)</f>
        <v>0</v>
      </c>
      <c r="M7" s="53">
        <f>SUM(C7:L7)</f>
        <v>42</v>
      </c>
    </row>
    <row r="8" spans="1:13" x14ac:dyDescent="0.35">
      <c r="A8"/>
      <c r="B8" s="3" t="s">
        <v>8</v>
      </c>
      <c r="C8" s="4">
        <f>SUM('Tổng hợp'!R81:R94)</f>
        <v>11</v>
      </c>
      <c r="D8" s="226">
        <f>SUM('Tổng hợp'!R52:R65)</f>
        <v>11</v>
      </c>
      <c r="E8" s="226">
        <f>SUM('Tổng hợp'!R96:R107)</f>
        <v>8</v>
      </c>
      <c r="F8" s="4">
        <f>SUM('Tổng hợp'!R38:R44)</f>
        <v>10</v>
      </c>
      <c r="G8" s="4">
        <f>SUM('Tổng hợp'!R68:R73)</f>
        <v>7</v>
      </c>
      <c r="H8" s="4">
        <f>SUM('Tổng hợp'!R109:R110)</f>
        <v>0</v>
      </c>
      <c r="I8" s="4">
        <f>SUM('Tổng hợp'!R75:R79)</f>
        <v>0</v>
      </c>
      <c r="J8" s="4">
        <f>SUM('Tổng hợp'!R46:R50)</f>
        <v>6</v>
      </c>
      <c r="K8" s="4">
        <f>SUM('Tổng hợp'!R17:R20)</f>
        <v>10</v>
      </c>
      <c r="L8" s="4">
        <f>SUM('Tổng hợp'!R22:R25)</f>
        <v>0</v>
      </c>
      <c r="M8" s="53">
        <f>SUM(C8:L8)</f>
        <v>63</v>
      </c>
    </row>
    <row r="9" spans="1:13" x14ac:dyDescent="0.35">
      <c r="A9"/>
      <c r="B9" s="3" t="s">
        <v>39</v>
      </c>
      <c r="C9" s="3">
        <f t="shared" ref="C9:L9" si="0">SUM(C6:C8)</f>
        <v>28</v>
      </c>
      <c r="D9" s="229">
        <f t="shared" si="0"/>
        <v>24</v>
      </c>
      <c r="E9" s="229">
        <f t="shared" si="0"/>
        <v>21</v>
      </c>
      <c r="F9" s="3">
        <f t="shared" si="0"/>
        <v>24</v>
      </c>
      <c r="G9" s="3">
        <f t="shared" si="0"/>
        <v>11</v>
      </c>
      <c r="H9" s="3">
        <f t="shared" si="0"/>
        <v>0</v>
      </c>
      <c r="I9" s="3">
        <f t="shared" si="0"/>
        <v>0</v>
      </c>
      <c r="J9" s="3">
        <f t="shared" si="0"/>
        <v>19</v>
      </c>
      <c r="K9" s="3">
        <f t="shared" si="0"/>
        <v>22</v>
      </c>
      <c r="L9" s="3">
        <f t="shared" si="0"/>
        <v>1</v>
      </c>
      <c r="M9" s="53">
        <f>SUM(M6:M8)</f>
        <v>150</v>
      </c>
    </row>
  </sheetData>
  <mergeCells count="2">
    <mergeCell ref="B2:M2"/>
    <mergeCell ref="B3:M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
  <sheetViews>
    <sheetView workbookViewId="0"/>
  </sheetViews>
  <sheetFormatPr defaultColWidth="8.81640625" defaultRowHeight="15.5" x14ac:dyDescent="0.35"/>
  <cols>
    <col min="1" max="1" width="19.453125" style="2" customWidth="1"/>
    <col min="2" max="2" width="8.81640625" style="1"/>
    <col min="3" max="3" width="11.54296875" style="1" customWidth="1"/>
    <col min="4" max="4" width="11.453125" style="1" customWidth="1"/>
    <col min="5" max="5" width="13.1796875" style="2" customWidth="1"/>
    <col min="6" max="6" width="10.81640625" style="2" customWidth="1"/>
    <col min="7" max="7" width="10.453125" style="1" customWidth="1"/>
    <col min="8" max="8" width="12.453125" style="1" customWidth="1"/>
    <col min="9" max="9" width="11.7265625" style="1" customWidth="1"/>
    <col min="10" max="10" width="15.453125" style="1" customWidth="1"/>
    <col min="11" max="11" width="11" style="1" customWidth="1"/>
    <col min="12" max="16384" width="8.81640625" style="1"/>
  </cols>
  <sheetData>
    <row r="1" spans="1:11" x14ac:dyDescent="0.35">
      <c r="A1"/>
      <c r="B1"/>
      <c r="C1"/>
      <c r="D1"/>
      <c r="E1"/>
      <c r="F1"/>
      <c r="G1"/>
      <c r="H1"/>
      <c r="I1"/>
      <c r="J1"/>
      <c r="K1"/>
    </row>
    <row r="2" spans="1:11" ht="17.5" x14ac:dyDescent="0.35">
      <c r="A2" s="357" t="s">
        <v>592</v>
      </c>
      <c r="B2" s="357"/>
      <c r="C2" s="357"/>
      <c r="D2" s="357"/>
      <c r="E2" s="357"/>
      <c r="F2" s="357"/>
      <c r="G2" s="357"/>
      <c r="H2" s="357"/>
      <c r="I2" s="357"/>
      <c r="J2" s="357"/>
      <c r="K2" s="357"/>
    </row>
    <row r="3" spans="1:11" ht="17.5" x14ac:dyDescent="0.35">
      <c r="A3" s="357" t="s">
        <v>1</v>
      </c>
      <c r="B3" s="357"/>
      <c r="C3" s="357"/>
      <c r="D3" s="357"/>
      <c r="E3" s="357"/>
      <c r="F3" s="357"/>
      <c r="G3" s="357"/>
      <c r="H3" s="357"/>
      <c r="I3" s="357"/>
      <c r="J3" s="357"/>
      <c r="K3" s="357"/>
    </row>
    <row r="4" spans="1:11" x14ac:dyDescent="0.35">
      <c r="A4"/>
      <c r="B4"/>
      <c r="C4"/>
      <c r="D4"/>
      <c r="E4"/>
      <c r="F4"/>
      <c r="G4"/>
      <c r="H4"/>
      <c r="I4"/>
      <c r="J4"/>
      <c r="K4"/>
    </row>
    <row r="5" spans="1:11" x14ac:dyDescent="0.35">
      <c r="A5" s="3" t="s">
        <v>593</v>
      </c>
      <c r="B5" s="3" t="s">
        <v>209</v>
      </c>
      <c r="C5" s="3" t="s">
        <v>588</v>
      </c>
      <c r="D5" s="3" t="s">
        <v>151</v>
      </c>
      <c r="E5" s="3" t="s">
        <v>43</v>
      </c>
      <c r="F5" s="3" t="s">
        <v>114</v>
      </c>
      <c r="G5" s="3" t="s">
        <v>66</v>
      </c>
      <c r="H5" s="3" t="s">
        <v>72</v>
      </c>
      <c r="I5" s="3" t="s">
        <v>171</v>
      </c>
      <c r="J5" s="3" t="s">
        <v>230</v>
      </c>
      <c r="K5" s="53" t="s">
        <v>28</v>
      </c>
    </row>
    <row r="6" spans="1:11" x14ac:dyDescent="0.35">
      <c r="A6" s="4" t="s">
        <v>594</v>
      </c>
      <c r="B6" s="4">
        <v>259</v>
      </c>
      <c r="C6" s="4">
        <v>146</v>
      </c>
      <c r="D6" s="4">
        <v>88</v>
      </c>
      <c r="E6" s="4">
        <v>411</v>
      </c>
      <c r="F6" s="4">
        <v>173</v>
      </c>
      <c r="G6" s="229">
        <v>138</v>
      </c>
      <c r="H6" s="4">
        <v>89</v>
      </c>
      <c r="I6" s="4">
        <v>13</v>
      </c>
      <c r="J6" s="4">
        <v>2</v>
      </c>
      <c r="K6" s="53"/>
    </row>
    <row r="7" spans="1:11" x14ac:dyDescent="0.35">
      <c r="A7" s="4" t="s">
        <v>595</v>
      </c>
      <c r="B7" s="4">
        <v>45</v>
      </c>
      <c r="C7" s="4">
        <v>45</v>
      </c>
      <c r="D7" s="4">
        <v>45</v>
      </c>
      <c r="E7" s="4">
        <v>45</v>
      </c>
      <c r="F7" s="4">
        <v>45</v>
      </c>
      <c r="G7" s="229">
        <v>46</v>
      </c>
      <c r="H7" s="4">
        <v>45</v>
      </c>
      <c r="I7" s="4">
        <v>45</v>
      </c>
      <c r="J7" s="4">
        <v>45</v>
      </c>
      <c r="K7" s="53"/>
    </row>
    <row r="8" spans="1:11" x14ac:dyDescent="0.35">
      <c r="A8" s="3" t="s">
        <v>596</v>
      </c>
      <c r="B8" s="3">
        <f>SUM('Tổng hợp'!H96:H107)</f>
        <v>6</v>
      </c>
      <c r="C8" s="3">
        <f>SUM('Tổng hợp'!H38:H44)</f>
        <v>4</v>
      </c>
      <c r="D8" s="3">
        <f>SUM('Tổng hợp'!H68:H73)</f>
        <v>2</v>
      </c>
      <c r="E8" s="3">
        <f>SUM('Tổng hợp'!H6:H15)</f>
        <v>10</v>
      </c>
      <c r="F8" s="3">
        <f>SUM('Tổng hợp'!H46:H50)</f>
        <v>4</v>
      </c>
      <c r="G8" s="3">
        <v>3</v>
      </c>
      <c r="H8" s="3">
        <f>SUM('Tổng hợp'!H22:H25)</f>
        <v>2</v>
      </c>
      <c r="I8" s="3">
        <f>SUM('Tổng hợp'!H75:H79)</f>
        <v>1</v>
      </c>
      <c r="J8" s="3">
        <f>SUM('Tổng hợp'!H109:H110)</f>
        <v>0</v>
      </c>
      <c r="K8" s="7"/>
    </row>
    <row r="9" spans="1:11" x14ac:dyDescent="0.35">
      <c r="A9" s="4" t="s">
        <v>597</v>
      </c>
      <c r="B9" s="54">
        <f t="shared" ref="B9:J9" si="0">B6/B7</f>
        <v>5.7555555555555555</v>
      </c>
      <c r="C9" s="54">
        <f t="shared" si="0"/>
        <v>3.2444444444444445</v>
      </c>
      <c r="D9" s="54">
        <f t="shared" si="0"/>
        <v>1.9555555555555555</v>
      </c>
      <c r="E9" s="54">
        <f t="shared" si="0"/>
        <v>9.1333333333333329</v>
      </c>
      <c r="F9" s="54">
        <f t="shared" si="0"/>
        <v>3.8444444444444446</v>
      </c>
      <c r="G9" s="230">
        <f t="shared" si="0"/>
        <v>3</v>
      </c>
      <c r="H9" s="54">
        <f t="shared" si="0"/>
        <v>1.9777777777777779</v>
      </c>
      <c r="I9" s="54">
        <f t="shared" si="0"/>
        <v>0.28888888888888886</v>
      </c>
      <c r="J9" s="54">
        <f t="shared" si="0"/>
        <v>4.4444444444444446E-2</v>
      </c>
      <c r="K9" s="5"/>
    </row>
  </sheetData>
  <mergeCells count="2">
    <mergeCell ref="A2:K2"/>
    <mergeCell ref="A3:K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1"/>
  <sheetViews>
    <sheetView workbookViewId="0"/>
  </sheetViews>
  <sheetFormatPr defaultColWidth="8.54296875" defaultRowHeight="15.5" x14ac:dyDescent="0.35"/>
  <cols>
    <col min="1" max="1" width="2.54296875" style="1" customWidth="1"/>
    <col min="2" max="2" width="23.81640625" style="2" customWidth="1"/>
    <col min="3" max="3" width="13" style="2" customWidth="1"/>
    <col min="4" max="4" width="10.54296875" style="1" customWidth="1"/>
    <col min="5" max="5" width="8.81640625" style="1" customWidth="1"/>
    <col min="6" max="6" width="13" style="1" customWidth="1"/>
    <col min="7" max="7" width="10.54296875" style="1" customWidth="1"/>
    <col min="8" max="8" width="8.81640625" style="1" customWidth="1"/>
    <col min="9" max="9" width="13.1796875" style="1" customWidth="1"/>
    <col min="10" max="10" width="10.54296875" style="1" customWidth="1"/>
    <col min="11" max="11" width="8.54296875" style="1"/>
    <col min="12" max="12" width="13.81640625" style="1" customWidth="1"/>
    <col min="13" max="13" width="9.7265625" style="1" customWidth="1"/>
    <col min="14" max="14" width="8.1796875" style="1" customWidth="1"/>
    <col min="15" max="15" width="15.453125" style="1" customWidth="1"/>
    <col min="16" max="16" width="17" style="1" customWidth="1"/>
    <col min="17" max="17" width="13.7265625" style="1" customWidth="1"/>
    <col min="18" max="16384" width="8.54296875" style="1"/>
  </cols>
  <sheetData>
    <row r="1" spans="1:17" x14ac:dyDescent="0.35">
      <c r="A1"/>
      <c r="B1"/>
      <c r="C1"/>
      <c r="D1"/>
      <c r="E1"/>
      <c r="F1"/>
      <c r="G1"/>
      <c r="H1"/>
      <c r="I1"/>
      <c r="J1"/>
      <c r="K1"/>
      <c r="L1"/>
      <c r="M1"/>
      <c r="N1"/>
      <c r="O1"/>
      <c r="P1"/>
      <c r="Q1"/>
    </row>
    <row r="2" spans="1:17" ht="17.5" x14ac:dyDescent="0.35">
      <c r="A2"/>
      <c r="B2" s="357" t="s">
        <v>598</v>
      </c>
      <c r="C2" s="357"/>
      <c r="D2" s="357"/>
      <c r="E2" s="357"/>
      <c r="F2" s="357"/>
      <c r="G2" s="357"/>
      <c r="H2" s="357"/>
      <c r="I2" s="357"/>
      <c r="J2" s="357"/>
      <c r="K2" s="357"/>
      <c r="L2" s="357"/>
      <c r="M2" s="357"/>
      <c r="N2" s="357"/>
      <c r="O2" s="357"/>
      <c r="P2" s="357"/>
      <c r="Q2" s="357"/>
    </row>
    <row r="3" spans="1:17" ht="17.5" x14ac:dyDescent="0.35">
      <c r="A3"/>
      <c r="B3" s="357" t="s">
        <v>1</v>
      </c>
      <c r="C3" s="357"/>
      <c r="D3" s="357"/>
      <c r="E3" s="357"/>
      <c r="F3" s="357"/>
      <c r="G3" s="357"/>
      <c r="H3" s="357"/>
      <c r="I3" s="357"/>
      <c r="J3" s="357"/>
      <c r="K3" s="357"/>
      <c r="L3" s="357"/>
      <c r="M3" s="357"/>
      <c r="N3" s="357"/>
      <c r="O3" s="357"/>
      <c r="P3" s="357"/>
      <c r="Q3" s="357"/>
    </row>
    <row r="4" spans="1:17" x14ac:dyDescent="0.35">
      <c r="A4"/>
      <c r="B4"/>
      <c r="C4"/>
      <c r="D4"/>
      <c r="E4"/>
      <c r="F4"/>
      <c r="G4"/>
      <c r="H4"/>
      <c r="I4"/>
      <c r="J4"/>
      <c r="K4"/>
      <c r="L4"/>
      <c r="M4"/>
      <c r="N4"/>
      <c r="O4"/>
      <c r="P4"/>
      <c r="Q4"/>
    </row>
    <row r="5" spans="1:17" x14ac:dyDescent="0.35">
      <c r="A5"/>
      <c r="B5" s="358" t="s">
        <v>587</v>
      </c>
      <c r="C5" s="358" t="s">
        <v>599</v>
      </c>
      <c r="D5" s="358"/>
      <c r="E5" s="358"/>
      <c r="F5" s="358" t="s">
        <v>600</v>
      </c>
      <c r="G5" s="358"/>
      <c r="H5" s="358"/>
      <c r="I5" s="358" t="s">
        <v>601</v>
      </c>
      <c r="J5" s="358"/>
      <c r="K5" s="358"/>
      <c r="L5" s="358" t="s">
        <v>602</v>
      </c>
      <c r="M5" s="358"/>
      <c r="N5" s="358"/>
      <c r="O5" s="360" t="s">
        <v>603</v>
      </c>
      <c r="P5" s="359" t="s">
        <v>233</v>
      </c>
      <c r="Q5" s="5"/>
    </row>
    <row r="6" spans="1:17" x14ac:dyDescent="0.35">
      <c r="A6"/>
      <c r="B6" s="358"/>
      <c r="C6" s="3" t="s">
        <v>604</v>
      </c>
      <c r="D6" s="3" t="s">
        <v>596</v>
      </c>
      <c r="E6" s="3" t="s">
        <v>258</v>
      </c>
      <c r="F6" s="3" t="s">
        <v>604</v>
      </c>
      <c r="G6" s="3" t="s">
        <v>596</v>
      </c>
      <c r="H6" s="3" t="s">
        <v>258</v>
      </c>
      <c r="I6" s="3" t="s">
        <v>604</v>
      </c>
      <c r="J6" s="3" t="s">
        <v>596</v>
      </c>
      <c r="K6" s="3" t="s">
        <v>258</v>
      </c>
      <c r="L6" s="3" t="s">
        <v>604</v>
      </c>
      <c r="M6" s="3" t="s">
        <v>596</v>
      </c>
      <c r="N6" s="3" t="s">
        <v>258</v>
      </c>
      <c r="O6" s="361"/>
      <c r="P6" s="359"/>
      <c r="Q6" s="3" t="s">
        <v>28</v>
      </c>
    </row>
    <row r="7" spans="1:17" x14ac:dyDescent="0.35">
      <c r="A7"/>
      <c r="B7" s="3" t="s">
        <v>8</v>
      </c>
      <c r="C7" s="4">
        <v>548</v>
      </c>
      <c r="D7" s="19">
        <v>12</v>
      </c>
      <c r="E7" s="16">
        <f>C7/D7</f>
        <v>45.666666666666664</v>
      </c>
      <c r="F7" s="14">
        <v>139</v>
      </c>
      <c r="G7" s="14">
        <v>3</v>
      </c>
      <c r="H7" s="16">
        <f>F7/G7</f>
        <v>46.333333333333336</v>
      </c>
      <c r="I7" s="14">
        <v>89</v>
      </c>
      <c r="J7" s="14">
        <v>2</v>
      </c>
      <c r="K7" s="60">
        <f>I7/J7</f>
        <v>44.5</v>
      </c>
      <c r="L7" s="14">
        <v>134</v>
      </c>
      <c r="M7" s="14">
        <v>3</v>
      </c>
      <c r="N7" s="16">
        <f>L7/M7</f>
        <v>44.666666666666664</v>
      </c>
      <c r="O7" s="55">
        <f t="shared" ref="O7:P9" si="0">C7+F7+I7+L7</f>
        <v>910</v>
      </c>
      <c r="P7" s="56">
        <f t="shared" si="0"/>
        <v>20</v>
      </c>
      <c r="Q7" s="14" t="s">
        <v>605</v>
      </c>
    </row>
    <row r="8" spans="1:17" x14ac:dyDescent="0.35">
      <c r="A8"/>
      <c r="B8" s="3" t="s">
        <v>7</v>
      </c>
      <c r="C8" s="4">
        <v>327</v>
      </c>
      <c r="D8" s="4">
        <v>8</v>
      </c>
      <c r="E8" s="16">
        <f>C8/D8</f>
        <v>40.875</v>
      </c>
      <c r="F8" s="14">
        <v>96</v>
      </c>
      <c r="G8" s="14">
        <v>2</v>
      </c>
      <c r="H8" s="16">
        <f>F8/G8</f>
        <v>48</v>
      </c>
      <c r="I8" s="14">
        <v>51</v>
      </c>
      <c r="J8" s="14">
        <v>2</v>
      </c>
      <c r="K8" s="60">
        <f>I8/J8</f>
        <v>25.5</v>
      </c>
      <c r="L8" s="14">
        <v>92</v>
      </c>
      <c r="M8" s="14">
        <v>2</v>
      </c>
      <c r="N8" s="16">
        <f>L8/M8</f>
        <v>46</v>
      </c>
      <c r="O8" s="55">
        <f t="shared" si="0"/>
        <v>566</v>
      </c>
      <c r="P8" s="56">
        <f t="shared" si="0"/>
        <v>14</v>
      </c>
      <c r="Q8" s="14" t="s">
        <v>606</v>
      </c>
    </row>
    <row r="9" spans="1:17" x14ac:dyDescent="0.35">
      <c r="A9"/>
      <c r="B9" s="3" t="s">
        <v>6</v>
      </c>
      <c r="C9" s="4">
        <v>357</v>
      </c>
      <c r="D9" s="4">
        <v>8</v>
      </c>
      <c r="E9" s="16">
        <f>C9/D9</f>
        <v>44.625</v>
      </c>
      <c r="F9" s="14">
        <v>104</v>
      </c>
      <c r="G9" s="14">
        <v>3</v>
      </c>
      <c r="H9" s="16">
        <f>F9/G9</f>
        <v>34.666666666666664</v>
      </c>
      <c r="I9" s="14">
        <v>74</v>
      </c>
      <c r="J9" s="14">
        <v>2</v>
      </c>
      <c r="K9" s="60">
        <f>I9/J9</f>
        <v>37</v>
      </c>
      <c r="L9" s="14">
        <v>122</v>
      </c>
      <c r="M9" s="14">
        <v>3</v>
      </c>
      <c r="N9" s="16">
        <f>L9/M9</f>
        <v>40.666666666666664</v>
      </c>
      <c r="O9" s="55">
        <f t="shared" si="0"/>
        <v>657</v>
      </c>
      <c r="P9" s="56">
        <f t="shared" si="0"/>
        <v>16</v>
      </c>
      <c r="Q9" s="14" t="s">
        <v>607</v>
      </c>
    </row>
    <row r="10" spans="1:17" x14ac:dyDescent="0.35">
      <c r="A10"/>
      <c r="B10" s="3" t="s">
        <v>39</v>
      </c>
      <c r="C10" s="15">
        <f t="shared" ref="C10:N10" si="1">SUM(C7:C9)</f>
        <v>1232</v>
      </c>
      <c r="D10" s="61">
        <f t="shared" si="1"/>
        <v>28</v>
      </c>
      <c r="E10" s="15">
        <f t="shared" si="1"/>
        <v>131.16666666666666</v>
      </c>
      <c r="F10" s="15">
        <f t="shared" si="1"/>
        <v>339</v>
      </c>
      <c r="G10" s="61">
        <f t="shared" si="1"/>
        <v>8</v>
      </c>
      <c r="H10" s="15">
        <f t="shared" si="1"/>
        <v>129</v>
      </c>
      <c r="I10" s="15">
        <f t="shared" si="1"/>
        <v>214</v>
      </c>
      <c r="J10" s="61">
        <f t="shared" si="1"/>
        <v>6</v>
      </c>
      <c r="K10" s="15">
        <f t="shared" si="1"/>
        <v>107</v>
      </c>
      <c r="L10" s="15">
        <f t="shared" si="1"/>
        <v>348</v>
      </c>
      <c r="M10" s="217">
        <f t="shared" si="1"/>
        <v>8</v>
      </c>
      <c r="N10" s="15">
        <f t="shared" si="1"/>
        <v>131.33333333333331</v>
      </c>
      <c r="O10" s="57">
        <f>SUM(O7:O9)</f>
        <v>2133</v>
      </c>
      <c r="P10" s="58">
        <f>SUM(P7:P9)</f>
        <v>50</v>
      </c>
      <c r="Q10" s="4"/>
    </row>
    <row r="11" spans="1:17" x14ac:dyDescent="0.35">
      <c r="O11" s="218">
        <f>M10+J10+G10+D10</f>
        <v>50</v>
      </c>
    </row>
  </sheetData>
  <mergeCells count="9">
    <mergeCell ref="B2:Q2"/>
    <mergeCell ref="B3:Q3"/>
    <mergeCell ref="B5:B6"/>
    <mergeCell ref="P5:P6"/>
    <mergeCell ref="C5:E5"/>
    <mergeCell ref="F5:H5"/>
    <mergeCell ref="I5:K5"/>
    <mergeCell ref="L5:N5"/>
    <mergeCell ref="O5:O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Y33"/>
  <sheetViews>
    <sheetView workbookViewId="0"/>
  </sheetViews>
  <sheetFormatPr defaultColWidth="9.1796875" defaultRowHeight="15.5" x14ac:dyDescent="0.35"/>
  <cols>
    <col min="1" max="1" width="9.1796875" style="62"/>
    <col min="2" max="2" width="29.81640625" style="62" customWidth="1"/>
    <col min="3" max="14" width="10.54296875" style="62" customWidth="1"/>
    <col min="15" max="15" width="9.1796875" style="62"/>
    <col min="16" max="16" width="29.54296875" style="62" customWidth="1"/>
    <col min="17" max="19" width="16.453125" style="62" customWidth="1"/>
    <col min="20" max="16384" width="9.1796875" style="62"/>
  </cols>
  <sheetData>
    <row r="1" spans="1:103" ht="25" x14ac:dyDescent="0.35">
      <c r="A1"/>
      <c r="B1" s="362" t="s">
        <v>608</v>
      </c>
      <c r="C1" s="362"/>
      <c r="D1" s="362"/>
      <c r="E1" s="362"/>
      <c r="F1" s="362"/>
      <c r="G1" s="362"/>
      <c r="H1" s="362"/>
      <c r="I1" s="362"/>
      <c r="J1" s="362"/>
      <c r="K1" s="362"/>
      <c r="L1" s="362"/>
      <c r="M1" s="362"/>
      <c r="N1" s="362"/>
      <c r="O1"/>
      <c r="P1"/>
      <c r="Q1"/>
      <c r="R1"/>
      <c r="S1"/>
    </row>
    <row r="2" spans="1:103" x14ac:dyDescent="0.35">
      <c r="A2"/>
      <c r="B2"/>
      <c r="C2"/>
      <c r="D2"/>
      <c r="E2"/>
      <c r="F2"/>
      <c r="G2"/>
      <c r="H2"/>
      <c r="I2"/>
      <c r="J2"/>
      <c r="K2"/>
      <c r="L2"/>
      <c r="M2"/>
      <c r="N2"/>
      <c r="O2"/>
      <c r="P2"/>
      <c r="Q2"/>
      <c r="R2"/>
      <c r="S2"/>
    </row>
    <row r="3" spans="1:103" s="67" customFormat="1" x14ac:dyDescent="0.35">
      <c r="A3"/>
      <c r="B3" s="363" t="s">
        <v>609</v>
      </c>
      <c r="C3" s="364" t="s">
        <v>8</v>
      </c>
      <c r="D3" s="364"/>
      <c r="E3" s="364"/>
      <c r="F3" s="364"/>
      <c r="G3" s="365" t="s">
        <v>610</v>
      </c>
      <c r="H3" s="365"/>
      <c r="I3" s="365"/>
      <c r="J3" s="365"/>
      <c r="K3" s="366" t="s">
        <v>6</v>
      </c>
      <c r="L3" s="366"/>
      <c r="M3" s="366"/>
      <c r="N3" s="366"/>
      <c r="O3"/>
      <c r="P3" s="65" t="s">
        <v>611</v>
      </c>
      <c r="Q3" s="65" t="s">
        <v>612</v>
      </c>
      <c r="R3" s="65" t="s">
        <v>613</v>
      </c>
      <c r="S3" s="65" t="s">
        <v>614</v>
      </c>
      <c r="T3" s="62"/>
      <c r="U3" s="62"/>
      <c r="V3" s="62"/>
    </row>
    <row r="4" spans="1:103" s="70" customFormat="1" x14ac:dyDescent="0.35">
      <c r="A4"/>
      <c r="B4" s="363"/>
      <c r="C4" s="64" t="s">
        <v>5</v>
      </c>
      <c r="D4" s="68" t="s">
        <v>615</v>
      </c>
      <c r="E4" s="64" t="s">
        <v>616</v>
      </c>
      <c r="F4" s="64" t="s">
        <v>617</v>
      </c>
      <c r="G4" s="65" t="s">
        <v>5</v>
      </c>
      <c r="H4" s="69" t="s">
        <v>615</v>
      </c>
      <c r="I4" s="65" t="s">
        <v>616</v>
      </c>
      <c r="J4" s="65" t="s">
        <v>617</v>
      </c>
      <c r="K4" s="66" t="s">
        <v>5</v>
      </c>
      <c r="L4" s="66" t="s">
        <v>615</v>
      </c>
      <c r="M4" s="66" t="s">
        <v>616</v>
      </c>
      <c r="N4" s="66" t="s">
        <v>617</v>
      </c>
      <c r="O4"/>
      <c r="P4" s="65" t="s">
        <v>618</v>
      </c>
      <c r="Q4" s="71">
        <v>3</v>
      </c>
      <c r="R4" s="71">
        <v>1</v>
      </c>
      <c r="S4" s="71">
        <f>Q4-R4</f>
        <v>2</v>
      </c>
      <c r="T4" s="62"/>
      <c r="U4" s="62"/>
      <c r="V4" s="62"/>
    </row>
    <row r="5" spans="1:103" x14ac:dyDescent="0.35">
      <c r="A5"/>
      <c r="B5" s="63" t="s">
        <v>619</v>
      </c>
      <c r="C5" s="72">
        <v>3</v>
      </c>
      <c r="D5" s="72"/>
      <c r="E5" s="72">
        <v>3</v>
      </c>
      <c r="F5" s="72">
        <v>3</v>
      </c>
      <c r="G5" s="71">
        <v>3</v>
      </c>
      <c r="H5" s="71"/>
      <c r="I5" s="71">
        <v>3</v>
      </c>
      <c r="J5" s="71">
        <v>3</v>
      </c>
      <c r="K5" s="73">
        <v>3</v>
      </c>
      <c r="L5" s="73">
        <v>2</v>
      </c>
      <c r="M5" s="73">
        <v>3</v>
      </c>
      <c r="N5" s="73">
        <v>3</v>
      </c>
      <c r="O5"/>
      <c r="P5" s="65"/>
      <c r="Q5" s="71"/>
      <c r="R5" s="71"/>
      <c r="S5" s="71"/>
    </row>
    <row r="6" spans="1:103" x14ac:dyDescent="0.35">
      <c r="A6"/>
      <c r="B6" s="63" t="s">
        <v>620</v>
      </c>
      <c r="C6" s="72">
        <v>3</v>
      </c>
      <c r="D6" s="72"/>
      <c r="E6" s="72">
        <v>3</v>
      </c>
      <c r="F6" s="72">
        <v>3</v>
      </c>
      <c r="G6" s="71">
        <v>3</v>
      </c>
      <c r="H6" s="71"/>
      <c r="I6" s="71">
        <v>3</v>
      </c>
      <c r="J6" s="71">
        <v>3</v>
      </c>
      <c r="K6" s="73">
        <v>3</v>
      </c>
      <c r="L6" s="73">
        <v>2</v>
      </c>
      <c r="M6" s="73">
        <v>3</v>
      </c>
      <c r="N6" s="73">
        <v>3</v>
      </c>
      <c r="O6"/>
      <c r="P6" s="65"/>
      <c r="Q6" s="71"/>
      <c r="R6" s="71"/>
      <c r="S6" s="71"/>
    </row>
    <row r="7" spans="1:103" x14ac:dyDescent="0.35">
      <c r="A7"/>
      <c r="B7" s="63" t="s">
        <v>621</v>
      </c>
      <c r="C7" s="72">
        <v>3</v>
      </c>
      <c r="D7" s="72"/>
      <c r="E7" s="72">
        <v>3</v>
      </c>
      <c r="F7" s="72">
        <v>3</v>
      </c>
      <c r="G7" s="71">
        <v>3</v>
      </c>
      <c r="H7" s="71"/>
      <c r="I7" s="71">
        <v>3</v>
      </c>
      <c r="J7" s="71">
        <v>3</v>
      </c>
      <c r="K7" s="73">
        <v>3</v>
      </c>
      <c r="L7" s="73"/>
      <c r="M7" s="73">
        <v>3</v>
      </c>
      <c r="N7" s="73">
        <v>3</v>
      </c>
      <c r="O7"/>
      <c r="P7" s="65" t="s">
        <v>39</v>
      </c>
      <c r="Q7" s="65">
        <f>SUM(Q4:Q6)</f>
        <v>3</v>
      </c>
      <c r="R7" s="65">
        <f>SUM(R4:R6)</f>
        <v>1</v>
      </c>
      <c r="S7" s="65">
        <f>SUM(S4:S6)</f>
        <v>2</v>
      </c>
    </row>
    <row r="8" spans="1:103" x14ac:dyDescent="0.35">
      <c r="A8"/>
      <c r="B8" s="74" t="s">
        <v>622</v>
      </c>
      <c r="C8" s="75">
        <v>1.5</v>
      </c>
      <c r="D8" s="75"/>
      <c r="E8" s="75">
        <v>2</v>
      </c>
      <c r="F8" s="75">
        <v>1</v>
      </c>
      <c r="G8" s="76">
        <v>1.5</v>
      </c>
      <c r="H8" s="76"/>
      <c r="I8" s="76">
        <v>1</v>
      </c>
      <c r="J8" s="76">
        <v>2</v>
      </c>
      <c r="K8" s="77">
        <v>1.5</v>
      </c>
      <c r="L8" s="77"/>
      <c r="M8" s="77">
        <v>2</v>
      </c>
      <c r="N8" s="77">
        <v>1</v>
      </c>
      <c r="O8"/>
      <c r="P8"/>
      <c r="Q8"/>
      <c r="R8"/>
      <c r="S8"/>
    </row>
    <row r="9" spans="1:103" x14ac:dyDescent="0.35">
      <c r="A9"/>
      <c r="B9" s="63" t="s">
        <v>458</v>
      </c>
      <c r="C9" s="72">
        <v>2</v>
      </c>
      <c r="D9" s="72"/>
      <c r="E9" s="72">
        <v>2</v>
      </c>
      <c r="F9" s="72">
        <v>2</v>
      </c>
      <c r="G9" s="71">
        <v>2</v>
      </c>
      <c r="H9" s="71"/>
      <c r="I9" s="71">
        <v>2</v>
      </c>
      <c r="J9" s="71">
        <v>2</v>
      </c>
      <c r="K9" s="73">
        <v>2</v>
      </c>
      <c r="L9" s="73"/>
      <c r="M9" s="73">
        <v>2</v>
      </c>
      <c r="N9" s="73">
        <v>2</v>
      </c>
      <c r="O9"/>
      <c r="P9" s="62" t="s">
        <v>623</v>
      </c>
      <c r="Q9"/>
      <c r="R9"/>
      <c r="S9"/>
    </row>
    <row r="10" spans="1:103" x14ac:dyDescent="0.35">
      <c r="A10"/>
      <c r="B10" s="63" t="s">
        <v>624</v>
      </c>
      <c r="C10" s="72">
        <v>1</v>
      </c>
      <c r="D10" s="72"/>
      <c r="E10" s="72">
        <v>1</v>
      </c>
      <c r="F10" s="72">
        <v>1</v>
      </c>
      <c r="G10" s="71">
        <v>1</v>
      </c>
      <c r="H10" s="71"/>
      <c r="I10" s="71">
        <v>1</v>
      </c>
      <c r="J10" s="71">
        <v>1</v>
      </c>
      <c r="K10" s="73">
        <v>1</v>
      </c>
      <c r="L10" s="73"/>
      <c r="M10" s="73">
        <v>1</v>
      </c>
      <c r="N10" s="73">
        <v>1</v>
      </c>
      <c r="O10" s="78"/>
      <c r="P10"/>
      <c r="Q10"/>
      <c r="R10"/>
      <c r="S10"/>
    </row>
    <row r="11" spans="1:103" s="80" customFormat="1" hidden="1" x14ac:dyDescent="0.35">
      <c r="A11"/>
      <c r="B11" s="79" t="s">
        <v>625</v>
      </c>
      <c r="C11" s="72"/>
      <c r="D11" s="72"/>
      <c r="E11" s="72"/>
      <c r="F11" s="72"/>
      <c r="G11" s="71"/>
      <c r="H11" s="71"/>
      <c r="I11" s="71"/>
      <c r="J11" s="71"/>
      <c r="K11" s="73"/>
      <c r="L11" s="73"/>
      <c r="M11" s="73"/>
      <c r="N11" s="73"/>
      <c r="O11" s="78"/>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row>
    <row r="12" spans="1:103" hidden="1" x14ac:dyDescent="0.35">
      <c r="A12"/>
      <c r="B12" s="63" t="s">
        <v>626</v>
      </c>
      <c r="C12" s="72"/>
      <c r="D12" s="72"/>
      <c r="E12" s="72"/>
      <c r="F12" s="72"/>
      <c r="G12" s="71"/>
      <c r="H12" s="71"/>
      <c r="I12" s="71"/>
      <c r="J12" s="71"/>
      <c r="K12" s="73"/>
      <c r="L12" s="73"/>
      <c r="M12" s="73"/>
      <c r="N12" s="73"/>
      <c r="O12" s="78"/>
      <c r="P12"/>
      <c r="Q12"/>
      <c r="R12"/>
      <c r="S12"/>
    </row>
    <row r="13" spans="1:103" s="80" customFormat="1" hidden="1" x14ac:dyDescent="0.35">
      <c r="A13"/>
      <c r="B13" s="79" t="s">
        <v>627</v>
      </c>
      <c r="C13" s="72"/>
      <c r="D13" s="72"/>
      <c r="E13" s="72"/>
      <c r="F13" s="72"/>
      <c r="G13" s="71"/>
      <c r="H13" s="71"/>
      <c r="I13" s="71"/>
      <c r="J13" s="71"/>
      <c r="K13" s="73"/>
      <c r="L13" s="73"/>
      <c r="M13" s="73"/>
      <c r="N13" s="73"/>
      <c r="O13" s="78"/>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row>
    <row r="14" spans="1:103" s="80" customFormat="1" hidden="1" x14ac:dyDescent="0.35">
      <c r="A14"/>
      <c r="B14" s="79" t="s">
        <v>628</v>
      </c>
      <c r="C14" s="72"/>
      <c r="D14" s="72"/>
      <c r="E14" s="72"/>
      <c r="F14" s="72"/>
      <c r="G14" s="71"/>
      <c r="H14" s="71"/>
      <c r="I14" s="71"/>
      <c r="J14" s="71"/>
      <c r="K14" s="73"/>
      <c r="L14" s="73"/>
      <c r="M14" s="73"/>
      <c r="N14" s="73"/>
      <c r="O14" s="78"/>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row>
    <row r="15" spans="1:103" s="80" customFormat="1" hidden="1" x14ac:dyDescent="0.35">
      <c r="A15"/>
      <c r="B15" s="81" t="s">
        <v>629</v>
      </c>
      <c r="C15" s="72"/>
      <c r="D15" s="72"/>
      <c r="E15" s="72"/>
      <c r="F15" s="72"/>
      <c r="G15" s="71"/>
      <c r="H15" s="71"/>
      <c r="I15" s="71"/>
      <c r="J15" s="71"/>
      <c r="K15" s="73"/>
      <c r="L15" s="73"/>
      <c r="M15" s="73"/>
      <c r="N15" s="73"/>
      <c r="O15" s="78"/>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2"/>
      <c r="CV15" s="62"/>
      <c r="CW15" s="62"/>
      <c r="CX15" s="62"/>
      <c r="CY15" s="62"/>
    </row>
    <row r="16" spans="1:103" s="80" customFormat="1" hidden="1" x14ac:dyDescent="0.35">
      <c r="A16"/>
      <c r="B16" s="79" t="s">
        <v>630</v>
      </c>
      <c r="C16" s="72"/>
      <c r="D16" s="72"/>
      <c r="E16" s="72"/>
      <c r="F16" s="72"/>
      <c r="G16" s="71"/>
      <c r="H16" s="71"/>
      <c r="I16" s="71"/>
      <c r="J16" s="71"/>
      <c r="K16" s="73"/>
      <c r="L16" s="73"/>
      <c r="M16" s="73"/>
      <c r="N16" s="73"/>
      <c r="O16" s="78"/>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row>
    <row r="17" spans="1:103" s="80" customFormat="1" hidden="1" x14ac:dyDescent="0.35">
      <c r="A17"/>
      <c r="B17" s="79" t="s">
        <v>631</v>
      </c>
      <c r="C17" s="72"/>
      <c r="D17" s="72"/>
      <c r="E17" s="72"/>
      <c r="F17" s="72"/>
      <c r="G17" s="71"/>
      <c r="H17" s="71"/>
      <c r="I17" s="71"/>
      <c r="J17" s="71"/>
      <c r="K17" s="73"/>
      <c r="L17" s="73"/>
      <c r="M17" s="73"/>
      <c r="N17" s="73"/>
      <c r="O17" s="78"/>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row>
    <row r="18" spans="1:103" x14ac:dyDescent="0.35">
      <c r="A18"/>
      <c r="B18" s="63" t="s">
        <v>632</v>
      </c>
      <c r="C18" s="72">
        <v>8</v>
      </c>
      <c r="D18" s="72"/>
      <c r="E18" s="72">
        <v>8</v>
      </c>
      <c r="F18" s="72">
        <v>8</v>
      </c>
      <c r="G18" s="71">
        <v>8</v>
      </c>
      <c r="H18" s="71"/>
      <c r="I18" s="71">
        <v>8</v>
      </c>
      <c r="J18" s="71">
        <v>8</v>
      </c>
      <c r="K18" s="73">
        <v>8</v>
      </c>
      <c r="L18" s="73"/>
      <c r="M18" s="73">
        <v>8</v>
      </c>
      <c r="N18" s="73">
        <v>8</v>
      </c>
      <c r="O18" s="78"/>
      <c r="P18"/>
      <c r="Q18"/>
      <c r="R18"/>
      <c r="S18"/>
    </row>
    <row r="19" spans="1:103" x14ac:dyDescent="0.35">
      <c r="A19"/>
      <c r="B19" s="63" t="s">
        <v>633</v>
      </c>
      <c r="C19" s="72">
        <v>3</v>
      </c>
      <c r="D19" s="72"/>
      <c r="E19" s="72">
        <v>3</v>
      </c>
      <c r="F19" s="72">
        <v>3</v>
      </c>
      <c r="G19" s="71">
        <v>3</v>
      </c>
      <c r="H19" s="71"/>
      <c r="I19" s="71">
        <v>3</v>
      </c>
      <c r="J19" s="71">
        <v>3</v>
      </c>
      <c r="K19" s="73">
        <v>3</v>
      </c>
      <c r="L19" s="73"/>
      <c r="M19" s="73">
        <v>3</v>
      </c>
      <c r="N19" s="73">
        <v>3</v>
      </c>
      <c r="O19" s="78"/>
      <c r="P19"/>
      <c r="Q19"/>
      <c r="R19"/>
      <c r="S19"/>
    </row>
    <row r="20" spans="1:103" x14ac:dyDescent="0.35">
      <c r="A20"/>
      <c r="B20" s="63" t="s">
        <v>34</v>
      </c>
      <c r="C20" s="72">
        <v>1</v>
      </c>
      <c r="D20" s="72"/>
      <c r="E20" s="72">
        <v>1</v>
      </c>
      <c r="F20" s="72">
        <v>1</v>
      </c>
      <c r="G20" s="71">
        <v>1</v>
      </c>
      <c r="H20" s="71"/>
      <c r="I20" s="71">
        <v>1</v>
      </c>
      <c r="J20" s="71">
        <v>1</v>
      </c>
      <c r="K20" s="73">
        <v>1</v>
      </c>
      <c r="L20" s="73"/>
      <c r="M20" s="73">
        <v>1</v>
      </c>
      <c r="N20" s="73">
        <v>1</v>
      </c>
      <c r="O20"/>
      <c r="P20"/>
      <c r="Q20"/>
      <c r="R20"/>
      <c r="S20"/>
    </row>
    <row r="21" spans="1:103" x14ac:dyDescent="0.35">
      <c r="A21"/>
      <c r="B21" s="82" t="s">
        <v>634</v>
      </c>
      <c r="C21" s="72">
        <v>3</v>
      </c>
      <c r="D21" s="72"/>
      <c r="E21" s="72">
        <v>3</v>
      </c>
      <c r="F21" s="72">
        <v>3</v>
      </c>
      <c r="G21" s="71">
        <v>3</v>
      </c>
      <c r="H21" s="71"/>
      <c r="I21" s="71">
        <v>3</v>
      </c>
      <c r="J21" s="71">
        <v>3</v>
      </c>
      <c r="K21" s="73">
        <v>3</v>
      </c>
      <c r="L21" s="73"/>
      <c r="M21" s="73">
        <v>3</v>
      </c>
      <c r="N21" s="73">
        <v>3</v>
      </c>
      <c r="O21"/>
      <c r="P21"/>
      <c r="Q21"/>
      <c r="R21"/>
      <c r="S21"/>
    </row>
    <row r="22" spans="1:103" x14ac:dyDescent="0.35">
      <c r="A22"/>
      <c r="B22" s="81" t="s">
        <v>635</v>
      </c>
      <c r="C22" s="72">
        <v>0</v>
      </c>
      <c r="D22" s="72"/>
      <c r="E22" s="72">
        <v>0</v>
      </c>
      <c r="F22" s="72">
        <v>0</v>
      </c>
      <c r="G22" s="71">
        <v>0</v>
      </c>
      <c r="H22" s="71"/>
      <c r="I22" s="71">
        <v>0</v>
      </c>
      <c r="J22" s="71">
        <v>0</v>
      </c>
      <c r="K22" s="73">
        <v>0</v>
      </c>
      <c r="L22" s="73"/>
      <c r="M22" s="73">
        <v>0</v>
      </c>
      <c r="N22" s="73">
        <v>0</v>
      </c>
      <c r="O22"/>
      <c r="P22"/>
      <c r="Q22"/>
      <c r="R22"/>
      <c r="S22"/>
    </row>
    <row r="23" spans="1:103" x14ac:dyDescent="0.35">
      <c r="A23"/>
      <c r="B23" s="82" t="s">
        <v>636</v>
      </c>
      <c r="C23" s="72">
        <v>2</v>
      </c>
      <c r="D23" s="72"/>
      <c r="E23" s="72">
        <v>2</v>
      </c>
      <c r="F23" s="72">
        <v>2</v>
      </c>
      <c r="G23" s="71">
        <v>2</v>
      </c>
      <c r="H23" s="71"/>
      <c r="I23" s="71">
        <v>2</v>
      </c>
      <c r="J23" s="71">
        <v>2</v>
      </c>
      <c r="K23" s="73">
        <v>2</v>
      </c>
      <c r="L23" s="73"/>
      <c r="M23" s="73"/>
      <c r="N23" s="73"/>
      <c r="O23"/>
      <c r="P23"/>
      <c r="Q23"/>
      <c r="R23"/>
      <c r="S23"/>
    </row>
    <row r="24" spans="1:103" x14ac:dyDescent="0.35">
      <c r="A24"/>
      <c r="B24" s="82" t="s">
        <v>637</v>
      </c>
      <c r="C24" s="72">
        <v>2</v>
      </c>
      <c r="D24" s="72"/>
      <c r="E24" s="72">
        <v>2</v>
      </c>
      <c r="F24" s="72">
        <v>2</v>
      </c>
      <c r="G24" s="71">
        <v>2</v>
      </c>
      <c r="H24" s="71"/>
      <c r="I24" s="71">
        <v>2</v>
      </c>
      <c r="J24" s="71">
        <v>2</v>
      </c>
      <c r="K24" s="73">
        <v>2</v>
      </c>
      <c r="L24" s="73"/>
      <c r="M24" s="73">
        <v>2</v>
      </c>
      <c r="N24" s="73">
        <v>2</v>
      </c>
      <c r="O24"/>
      <c r="P24"/>
      <c r="Q24"/>
      <c r="R24"/>
      <c r="S24"/>
    </row>
    <row r="25" spans="1:103" x14ac:dyDescent="0.35">
      <c r="A25"/>
      <c r="B25" s="82" t="s">
        <v>638</v>
      </c>
      <c r="C25" s="72"/>
      <c r="D25" s="72"/>
      <c r="E25" s="72">
        <v>2</v>
      </c>
      <c r="F25" s="72">
        <v>2</v>
      </c>
      <c r="G25" s="71">
        <v>2</v>
      </c>
      <c r="H25" s="71"/>
      <c r="I25" s="71">
        <v>2</v>
      </c>
      <c r="J25" s="71">
        <v>2</v>
      </c>
      <c r="K25" s="73">
        <v>2</v>
      </c>
      <c r="L25" s="73"/>
      <c r="M25" s="73">
        <v>2</v>
      </c>
      <c r="N25" s="73">
        <v>2</v>
      </c>
      <c r="O25"/>
      <c r="P25"/>
      <c r="Q25"/>
      <c r="R25"/>
      <c r="S25"/>
    </row>
    <row r="26" spans="1:103" x14ac:dyDescent="0.35">
      <c r="A26"/>
      <c r="B26" s="82" t="s">
        <v>639</v>
      </c>
      <c r="C26" s="72"/>
      <c r="D26" s="72"/>
      <c r="E26" s="72"/>
      <c r="F26" s="72"/>
      <c r="G26" s="71"/>
      <c r="H26" s="71"/>
      <c r="I26" s="71"/>
      <c r="J26" s="71"/>
      <c r="K26" s="73"/>
      <c r="L26" s="73">
        <v>2</v>
      </c>
      <c r="M26" s="73"/>
      <c r="N26" s="73"/>
      <c r="O26"/>
      <c r="P26"/>
      <c r="Q26"/>
      <c r="R26"/>
      <c r="S26"/>
    </row>
    <row r="27" spans="1:103" x14ac:dyDescent="0.35">
      <c r="A27"/>
      <c r="B27" s="82" t="s">
        <v>640</v>
      </c>
      <c r="C27" s="72">
        <v>0</v>
      </c>
      <c r="D27" s="72"/>
      <c r="E27" s="72">
        <v>0</v>
      </c>
      <c r="F27" s="72">
        <v>0</v>
      </c>
      <c r="G27" s="71">
        <v>0</v>
      </c>
      <c r="H27" s="71"/>
      <c r="I27" s="71">
        <v>0</v>
      </c>
      <c r="J27" s="71">
        <v>0</v>
      </c>
      <c r="K27" s="73">
        <v>0</v>
      </c>
      <c r="L27" s="73"/>
      <c r="M27" s="73">
        <v>0</v>
      </c>
      <c r="N27" s="73">
        <v>0</v>
      </c>
      <c r="O27"/>
      <c r="P27"/>
      <c r="Q27"/>
      <c r="R27"/>
      <c r="S27"/>
    </row>
    <row r="28" spans="1:103" s="67" customFormat="1" ht="15" x14ac:dyDescent="0.35">
      <c r="A28"/>
      <c r="B28" s="63" t="s">
        <v>641</v>
      </c>
      <c r="C28" s="64">
        <f t="shared" ref="C28:N28" si="0">SUM(C5:C27)</f>
        <v>32.5</v>
      </c>
      <c r="D28" s="64">
        <f t="shared" si="0"/>
        <v>0</v>
      </c>
      <c r="E28" s="64">
        <f t="shared" si="0"/>
        <v>35</v>
      </c>
      <c r="F28" s="64">
        <f t="shared" si="0"/>
        <v>34</v>
      </c>
      <c r="G28" s="65">
        <f t="shared" si="0"/>
        <v>34.5</v>
      </c>
      <c r="H28" s="65">
        <f t="shared" si="0"/>
        <v>0</v>
      </c>
      <c r="I28" s="65">
        <f t="shared" si="0"/>
        <v>34</v>
      </c>
      <c r="J28" s="65">
        <f t="shared" si="0"/>
        <v>35</v>
      </c>
      <c r="K28" s="66">
        <f t="shared" si="0"/>
        <v>34.5</v>
      </c>
      <c r="L28" s="66">
        <f t="shared" si="0"/>
        <v>6</v>
      </c>
      <c r="M28" s="66">
        <f t="shared" si="0"/>
        <v>33</v>
      </c>
      <c r="N28" s="66">
        <f t="shared" si="0"/>
        <v>32</v>
      </c>
      <c r="O28"/>
      <c r="P28"/>
      <c r="Q28"/>
      <c r="R28"/>
      <c r="S28"/>
    </row>
    <row r="29" spans="1:103" x14ac:dyDescent="0.35">
      <c r="A29"/>
      <c r="B29" s="70"/>
      <c r="C29" s="70"/>
      <c r="D29" s="70"/>
      <c r="E29" s="70"/>
      <c r="F29" s="70"/>
      <c r="G29" s="70"/>
      <c r="H29" s="70"/>
      <c r="I29" s="70"/>
      <c r="J29" s="70"/>
      <c r="K29" s="70"/>
      <c r="L29" s="70"/>
      <c r="M29" s="70"/>
      <c r="N29" s="70"/>
      <c r="O29"/>
      <c r="P29"/>
      <c r="Q29"/>
      <c r="R29"/>
      <c r="S29"/>
    </row>
    <row r="30" spans="1:103" x14ac:dyDescent="0.35">
      <c r="A30"/>
      <c r="B30" s="65" t="s">
        <v>642</v>
      </c>
      <c r="C30" s="65" t="s">
        <v>643</v>
      </c>
      <c r="D30" s="65" t="s">
        <v>644</v>
      </c>
      <c r="E30" s="65" t="s">
        <v>645</v>
      </c>
      <c r="F30" s="70"/>
      <c r="G30" s="70"/>
      <c r="H30" s="70"/>
      <c r="I30" s="70"/>
      <c r="J30" s="70"/>
      <c r="K30" s="70"/>
      <c r="L30" s="70"/>
      <c r="M30" s="70"/>
      <c r="N30" s="70"/>
      <c r="O30"/>
      <c r="P30"/>
      <c r="Q30"/>
      <c r="R30"/>
      <c r="S30"/>
    </row>
    <row r="31" spans="1:103" x14ac:dyDescent="0.35">
      <c r="A31"/>
      <c r="B31" s="65" t="s">
        <v>646</v>
      </c>
      <c r="C31" s="71">
        <v>4</v>
      </c>
      <c r="D31" s="71">
        <v>6</v>
      </c>
      <c r="E31" s="71">
        <f>C31*D31</f>
        <v>24</v>
      </c>
      <c r="F31"/>
      <c r="G31"/>
      <c r="H31"/>
      <c r="I31"/>
      <c r="J31"/>
      <c r="K31"/>
      <c r="L31"/>
      <c r="M31"/>
      <c r="N31"/>
      <c r="O31"/>
      <c r="P31"/>
      <c r="Q31"/>
      <c r="R31"/>
      <c r="S31"/>
    </row>
    <row r="32" spans="1:103" x14ac:dyDescent="0.35">
      <c r="A32"/>
      <c r="B32" s="65" t="s">
        <v>647</v>
      </c>
      <c r="C32" s="71">
        <v>4</v>
      </c>
      <c r="D32" s="71">
        <v>5</v>
      </c>
      <c r="E32" s="71">
        <f>C32*D32</f>
        <v>20</v>
      </c>
      <c r="F32"/>
      <c r="G32"/>
      <c r="H32"/>
      <c r="I32"/>
      <c r="J32"/>
      <c r="K32"/>
      <c r="L32"/>
      <c r="M32"/>
      <c r="N32"/>
      <c r="O32"/>
      <c r="P32"/>
      <c r="Q32"/>
      <c r="R32"/>
      <c r="S32"/>
    </row>
    <row r="33" spans="1:19" x14ac:dyDescent="0.35">
      <c r="A33"/>
      <c r="B33" s="65" t="s">
        <v>39</v>
      </c>
      <c r="C33" s="65">
        <f>SUM(C30:C32)</f>
        <v>8</v>
      </c>
      <c r="D33" s="65">
        <f>SUM(D30:D32)</f>
        <v>11</v>
      </c>
      <c r="E33" s="65">
        <f>SUM(E30:E32)</f>
        <v>44</v>
      </c>
      <c r="F33"/>
      <c r="G33"/>
      <c r="H33"/>
      <c r="I33"/>
      <c r="J33"/>
      <c r="K33"/>
      <c r="L33"/>
      <c r="M33"/>
      <c r="N33"/>
      <c r="O33"/>
      <c r="P33"/>
      <c r="Q33"/>
      <c r="R33"/>
      <c r="S33"/>
    </row>
  </sheetData>
  <mergeCells count="5">
    <mergeCell ref="B1:N1"/>
    <mergeCell ref="B3:B4"/>
    <mergeCell ref="C3:F3"/>
    <mergeCell ref="G3:J3"/>
    <mergeCell ref="K3:N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9"/>
  <sheetViews>
    <sheetView showGridLines="0" workbookViewId="0">
      <selection sqref="A1:F1"/>
    </sheetView>
  </sheetViews>
  <sheetFormatPr defaultRowHeight="14.5" x14ac:dyDescent="0.35"/>
  <cols>
    <col min="1" max="1" width="30" customWidth="1"/>
    <col min="2" max="4" width="15" customWidth="1"/>
    <col min="5" max="5" width="18" customWidth="1"/>
    <col min="6" max="6" width="38" customWidth="1"/>
  </cols>
  <sheetData>
    <row r="1" spans="1:6" x14ac:dyDescent="0.35">
      <c r="A1" s="367" t="s">
        <v>648</v>
      </c>
      <c r="B1" s="367"/>
      <c r="C1" s="367"/>
      <c r="D1" s="367"/>
      <c r="E1" s="367"/>
      <c r="F1" s="367"/>
    </row>
    <row r="2" spans="1:6" x14ac:dyDescent="0.35">
      <c r="A2" s="172" t="s">
        <v>649</v>
      </c>
      <c r="B2" s="173" t="s">
        <v>8</v>
      </c>
      <c r="C2" s="173" t="s">
        <v>7</v>
      </c>
      <c r="D2" s="173" t="s">
        <v>6</v>
      </c>
      <c r="E2" s="173" t="s">
        <v>650</v>
      </c>
      <c r="F2" s="174" t="s">
        <v>28</v>
      </c>
    </row>
    <row r="3" spans="1:6" x14ac:dyDescent="0.35">
      <c r="A3" s="175" t="s">
        <v>65</v>
      </c>
      <c r="B3" s="176">
        <v>21</v>
      </c>
      <c r="C3" s="176">
        <v>14</v>
      </c>
      <c r="D3" s="176">
        <v>15</v>
      </c>
      <c r="E3" s="176" t="s">
        <v>651</v>
      </c>
      <c r="F3" s="177" t="s">
        <v>652</v>
      </c>
    </row>
    <row r="4" spans="1:6" x14ac:dyDescent="0.35">
      <c r="A4" s="178" t="s">
        <v>653</v>
      </c>
      <c r="B4" s="179"/>
      <c r="C4" s="179"/>
      <c r="D4" s="179"/>
      <c r="E4" s="179" t="s">
        <v>654</v>
      </c>
      <c r="F4" s="180" t="s">
        <v>655</v>
      </c>
    </row>
    <row r="5" spans="1:6" x14ac:dyDescent="0.35">
      <c r="A5" s="178" t="s">
        <v>656</v>
      </c>
      <c r="B5" s="179"/>
      <c r="C5" s="179"/>
      <c r="D5" s="179"/>
      <c r="E5" s="179" t="s">
        <v>657</v>
      </c>
      <c r="F5" s="180"/>
    </row>
    <row r="6" spans="1:6" ht="28.5" x14ac:dyDescent="0.35">
      <c r="A6" s="178" t="s">
        <v>658</v>
      </c>
      <c r="B6" s="179">
        <v>63</v>
      </c>
      <c r="C6" s="179">
        <v>42</v>
      </c>
      <c r="D6" s="179">
        <v>45</v>
      </c>
      <c r="E6" s="179" t="s">
        <v>651</v>
      </c>
      <c r="F6" s="180" t="s">
        <v>659</v>
      </c>
    </row>
    <row r="7" spans="1:6" x14ac:dyDescent="0.35">
      <c r="A7" s="178" t="s">
        <v>660</v>
      </c>
      <c r="B7" s="179">
        <v>14</v>
      </c>
      <c r="C7" s="179">
        <v>8</v>
      </c>
      <c r="D7" s="179">
        <v>9</v>
      </c>
      <c r="E7" s="179" t="s">
        <v>651</v>
      </c>
      <c r="F7" s="180" t="s">
        <v>661</v>
      </c>
    </row>
    <row r="8" spans="1:6" ht="28.5" x14ac:dyDescent="0.35">
      <c r="A8" s="178" t="s">
        <v>662</v>
      </c>
      <c r="B8" s="179">
        <v>63</v>
      </c>
      <c r="C8" s="179">
        <v>42</v>
      </c>
      <c r="D8" s="179">
        <v>45</v>
      </c>
      <c r="E8" s="179" t="s">
        <v>651</v>
      </c>
      <c r="F8" s="180" t="s">
        <v>663</v>
      </c>
    </row>
    <row r="9" spans="1:6" x14ac:dyDescent="0.35">
      <c r="A9" s="178" t="s">
        <v>664</v>
      </c>
      <c r="B9" s="179">
        <v>14</v>
      </c>
      <c r="C9" s="179">
        <v>8</v>
      </c>
      <c r="D9" s="179">
        <v>9</v>
      </c>
      <c r="E9" s="179" t="s">
        <v>651</v>
      </c>
      <c r="F9" s="180" t="s">
        <v>665</v>
      </c>
    </row>
    <row r="10" spans="1:6" x14ac:dyDescent="0.35">
      <c r="A10" s="178" t="s">
        <v>666</v>
      </c>
      <c r="B10" s="179">
        <v>21</v>
      </c>
      <c r="C10" s="179">
        <v>14</v>
      </c>
      <c r="D10" s="179">
        <v>15</v>
      </c>
      <c r="E10" s="179" t="s">
        <v>651</v>
      </c>
      <c r="F10" s="180" t="s">
        <v>667</v>
      </c>
    </row>
    <row r="11" spans="1:6" ht="28.5" x14ac:dyDescent="0.35">
      <c r="A11" s="178" t="s">
        <v>668</v>
      </c>
      <c r="B11" s="179">
        <v>21</v>
      </c>
      <c r="C11" s="179">
        <v>14</v>
      </c>
      <c r="D11" s="179">
        <v>15</v>
      </c>
      <c r="E11" s="179" t="s">
        <v>654</v>
      </c>
      <c r="F11" s="180" t="s">
        <v>669</v>
      </c>
    </row>
    <row r="12" spans="1:6" ht="28.5" x14ac:dyDescent="0.35">
      <c r="A12" s="178" t="s">
        <v>670</v>
      </c>
      <c r="B12" s="179"/>
      <c r="C12" s="179"/>
      <c r="D12" s="179" t="s">
        <v>671</v>
      </c>
      <c r="E12" s="179" t="s">
        <v>672</v>
      </c>
      <c r="F12" s="180" t="s">
        <v>673</v>
      </c>
    </row>
    <row r="13" spans="1:6" ht="56.5" x14ac:dyDescent="0.35">
      <c r="A13" s="178" t="s">
        <v>674</v>
      </c>
      <c r="B13" s="179" t="s">
        <v>675</v>
      </c>
      <c r="C13" s="179"/>
      <c r="D13" s="179"/>
      <c r="E13" s="179" t="s">
        <v>672</v>
      </c>
      <c r="F13" s="234" t="s">
        <v>676</v>
      </c>
    </row>
    <row r="14" spans="1:6" x14ac:dyDescent="0.35">
      <c r="A14" s="368" t="s">
        <v>677</v>
      </c>
      <c r="B14" s="369"/>
      <c r="C14" s="369"/>
      <c r="D14" s="369"/>
      <c r="E14" s="369"/>
      <c r="F14" s="370"/>
    </row>
    <row r="15" spans="1:6" ht="28" x14ac:dyDescent="0.35">
      <c r="A15" s="172" t="s">
        <v>678</v>
      </c>
      <c r="B15" s="173" t="s">
        <v>679</v>
      </c>
      <c r="C15" s="173" t="s">
        <v>680</v>
      </c>
      <c r="D15" s="173" t="s">
        <v>681</v>
      </c>
      <c r="E15" s="173" t="s">
        <v>650</v>
      </c>
      <c r="F15" s="174" t="s">
        <v>28</v>
      </c>
    </row>
    <row r="16" spans="1:6" x14ac:dyDescent="0.35">
      <c r="A16" s="178" t="s">
        <v>625</v>
      </c>
      <c r="B16" s="179">
        <v>259</v>
      </c>
      <c r="C16" s="179">
        <v>6</v>
      </c>
      <c r="D16" s="179">
        <v>45</v>
      </c>
      <c r="E16" s="179" t="s">
        <v>651</v>
      </c>
      <c r="F16" s="180"/>
    </row>
    <row r="17" spans="1:6" x14ac:dyDescent="0.35">
      <c r="A17" s="178" t="s">
        <v>626</v>
      </c>
      <c r="B17" s="179">
        <v>146</v>
      </c>
      <c r="C17" s="179">
        <v>4</v>
      </c>
      <c r="D17" s="179">
        <v>45</v>
      </c>
      <c r="E17" s="179" t="s">
        <v>651</v>
      </c>
      <c r="F17" s="180"/>
    </row>
    <row r="18" spans="1:6" x14ac:dyDescent="0.35">
      <c r="A18" s="178" t="s">
        <v>627</v>
      </c>
      <c r="B18" s="179">
        <v>88</v>
      </c>
      <c r="C18" s="179">
        <v>2</v>
      </c>
      <c r="D18" s="179">
        <v>45</v>
      </c>
      <c r="E18" s="179" t="s">
        <v>651</v>
      </c>
      <c r="F18" s="180"/>
    </row>
    <row r="19" spans="1:6" x14ac:dyDescent="0.35">
      <c r="A19" s="178" t="s">
        <v>621</v>
      </c>
      <c r="B19" s="179">
        <v>411</v>
      </c>
      <c r="C19" s="179">
        <v>10</v>
      </c>
      <c r="D19" s="179">
        <v>45</v>
      </c>
      <c r="E19" s="179" t="s">
        <v>651</v>
      </c>
      <c r="F19" s="180"/>
    </row>
    <row r="20" spans="1:6" x14ac:dyDescent="0.35">
      <c r="A20" s="178" t="s">
        <v>622</v>
      </c>
      <c r="B20" s="179">
        <v>173</v>
      </c>
      <c r="C20" s="179">
        <v>4</v>
      </c>
      <c r="D20" s="179">
        <v>45</v>
      </c>
      <c r="E20" s="179" t="s">
        <v>651</v>
      </c>
      <c r="F20" s="180"/>
    </row>
    <row r="21" spans="1:6" x14ac:dyDescent="0.35">
      <c r="A21" s="178" t="s">
        <v>628</v>
      </c>
      <c r="B21" s="231">
        <v>138</v>
      </c>
      <c r="C21" s="231">
        <v>3</v>
      </c>
      <c r="D21" s="231">
        <v>46</v>
      </c>
      <c r="E21" s="179" t="s">
        <v>651</v>
      </c>
      <c r="F21" s="232" t="s">
        <v>682</v>
      </c>
    </row>
    <row r="22" spans="1:6" x14ac:dyDescent="0.35">
      <c r="A22" s="178" t="s">
        <v>72</v>
      </c>
      <c r="B22" s="179">
        <v>89</v>
      </c>
      <c r="C22" s="179">
        <v>2</v>
      </c>
      <c r="D22" s="179">
        <v>45</v>
      </c>
      <c r="E22" s="179" t="s">
        <v>651</v>
      </c>
      <c r="F22" s="180"/>
    </row>
    <row r="23" spans="1:6" x14ac:dyDescent="0.35">
      <c r="A23" s="178" t="s">
        <v>631</v>
      </c>
      <c r="B23" s="179">
        <v>13</v>
      </c>
      <c r="C23" s="179">
        <v>1</v>
      </c>
      <c r="D23" s="179">
        <v>45</v>
      </c>
      <c r="E23" s="179" t="s">
        <v>651</v>
      </c>
      <c r="F23" s="180"/>
    </row>
    <row r="24" spans="1:6" x14ac:dyDescent="0.35">
      <c r="A24" s="178" t="s">
        <v>630</v>
      </c>
      <c r="B24" s="179">
        <v>2</v>
      </c>
      <c r="C24" s="179">
        <v>0</v>
      </c>
      <c r="D24" s="179">
        <v>45</v>
      </c>
      <c r="E24" s="179" t="s">
        <v>651</v>
      </c>
      <c r="F24" s="180"/>
    </row>
    <row r="25" spans="1:6" x14ac:dyDescent="0.35">
      <c r="A25" s="178"/>
      <c r="B25" s="179"/>
      <c r="C25" s="179"/>
      <c r="D25" s="179"/>
      <c r="E25" s="179"/>
      <c r="F25" s="180"/>
    </row>
    <row r="26" spans="1:6" x14ac:dyDescent="0.35">
      <c r="A26" s="368" t="s">
        <v>683</v>
      </c>
      <c r="B26" s="369"/>
      <c r="C26" s="369"/>
      <c r="D26" s="369"/>
      <c r="E26" s="369"/>
      <c r="F26" s="370"/>
    </row>
    <row r="27" spans="1:6" ht="28" x14ac:dyDescent="0.35">
      <c r="A27" s="172" t="s">
        <v>684</v>
      </c>
      <c r="B27" s="173" t="s">
        <v>599</v>
      </c>
      <c r="C27" s="173" t="s">
        <v>600</v>
      </c>
      <c r="D27" s="173" t="s">
        <v>601</v>
      </c>
      <c r="E27" s="173" t="s">
        <v>602</v>
      </c>
      <c r="F27" s="174" t="s">
        <v>28</v>
      </c>
    </row>
    <row r="28" spans="1:6" x14ac:dyDescent="0.35">
      <c r="A28" s="178" t="s">
        <v>52</v>
      </c>
      <c r="B28" s="179">
        <v>548</v>
      </c>
      <c r="C28" s="179">
        <v>139</v>
      </c>
      <c r="D28" s="179">
        <v>89</v>
      </c>
      <c r="E28" s="179">
        <v>134</v>
      </c>
      <c r="F28" s="180" t="s">
        <v>685</v>
      </c>
    </row>
    <row r="29" spans="1:6" x14ac:dyDescent="0.35">
      <c r="A29" s="178" t="s">
        <v>57</v>
      </c>
      <c r="B29" s="179">
        <v>327</v>
      </c>
      <c r="C29" s="179">
        <v>96</v>
      </c>
      <c r="D29" s="179">
        <v>51</v>
      </c>
      <c r="E29" s="179">
        <v>92</v>
      </c>
      <c r="F29" s="180" t="s">
        <v>686</v>
      </c>
    </row>
    <row r="30" spans="1:6" x14ac:dyDescent="0.35">
      <c r="A30" s="181" t="s">
        <v>70</v>
      </c>
      <c r="B30" s="182">
        <v>357</v>
      </c>
      <c r="C30" s="182">
        <v>104</v>
      </c>
      <c r="D30" s="182">
        <v>74</v>
      </c>
      <c r="E30" s="182">
        <v>122</v>
      </c>
      <c r="F30" s="183" t="s">
        <v>687</v>
      </c>
    </row>
    <row r="32" spans="1:6" x14ac:dyDescent="0.35">
      <c r="A32" s="371" t="s">
        <v>688</v>
      </c>
      <c r="B32" s="371"/>
      <c r="C32" s="371"/>
      <c r="D32" s="371"/>
      <c r="E32" s="371"/>
      <c r="F32" s="371"/>
    </row>
    <row r="33" spans="1:6" x14ac:dyDescent="0.35">
      <c r="A33" s="194" t="s">
        <v>689</v>
      </c>
      <c r="B33" s="194" t="s">
        <v>42</v>
      </c>
      <c r="C33" s="194" t="s">
        <v>41</v>
      </c>
      <c r="D33" s="194" t="s">
        <v>40</v>
      </c>
      <c r="E33" s="194" t="s">
        <v>650</v>
      </c>
      <c r="F33" s="194" t="s">
        <v>28</v>
      </c>
    </row>
    <row r="34" spans="1:6" x14ac:dyDescent="0.35">
      <c r="A34" s="179" t="s">
        <v>690</v>
      </c>
      <c r="B34" s="179">
        <v>63</v>
      </c>
      <c r="C34" s="179">
        <v>42</v>
      </c>
      <c r="D34" s="179">
        <v>45</v>
      </c>
      <c r="E34" s="179" t="s">
        <v>651</v>
      </c>
      <c r="F34" s="179" t="s">
        <v>691</v>
      </c>
    </row>
    <row r="35" spans="1:6" x14ac:dyDescent="0.35">
      <c r="A35" s="179" t="s">
        <v>692</v>
      </c>
      <c r="B35" s="179">
        <v>14</v>
      </c>
      <c r="C35" s="179">
        <v>8</v>
      </c>
      <c r="D35" s="179">
        <v>9</v>
      </c>
      <c r="E35" s="179" t="s">
        <v>651</v>
      </c>
      <c r="F35" s="179" t="s">
        <v>693</v>
      </c>
    </row>
    <row r="36" spans="1:6" ht="28.5" x14ac:dyDescent="0.35">
      <c r="A36" s="179" t="s">
        <v>694</v>
      </c>
      <c r="B36" s="179"/>
      <c r="C36" s="179"/>
      <c r="D36" s="179"/>
      <c r="E36" s="179" t="s">
        <v>651</v>
      </c>
      <c r="F36" s="179" t="s">
        <v>695</v>
      </c>
    </row>
    <row r="37" spans="1:6" ht="28.5" x14ac:dyDescent="0.35">
      <c r="A37" s="179" t="s">
        <v>696</v>
      </c>
      <c r="B37" s="179">
        <v>63</v>
      </c>
      <c r="C37" s="179">
        <v>42</v>
      </c>
      <c r="D37" s="179">
        <v>45</v>
      </c>
      <c r="E37" s="179" t="s">
        <v>654</v>
      </c>
      <c r="F37" s="179" t="s">
        <v>697</v>
      </c>
    </row>
    <row r="38" spans="1:6" ht="28.5" x14ac:dyDescent="0.35">
      <c r="A38" s="179" t="s">
        <v>698</v>
      </c>
      <c r="B38" s="179" t="s">
        <v>699</v>
      </c>
      <c r="C38" s="179" t="s">
        <v>700</v>
      </c>
      <c r="D38" s="179" t="s">
        <v>701</v>
      </c>
      <c r="E38" s="179" t="s">
        <v>702</v>
      </c>
      <c r="F38" s="179" t="s">
        <v>703</v>
      </c>
    </row>
    <row r="39" spans="1:6" ht="28.5" x14ac:dyDescent="0.35">
      <c r="A39" s="179" t="s">
        <v>704</v>
      </c>
      <c r="B39" s="179" t="s">
        <v>705</v>
      </c>
      <c r="C39" s="179" t="s">
        <v>706</v>
      </c>
      <c r="D39" s="179" t="s">
        <v>707</v>
      </c>
      <c r="E39" s="179" t="s">
        <v>708</v>
      </c>
      <c r="F39" s="179" t="s">
        <v>709</v>
      </c>
    </row>
  </sheetData>
  <mergeCells count="4">
    <mergeCell ref="A1:F1"/>
    <mergeCell ref="A14:F14"/>
    <mergeCell ref="A26:F26"/>
    <mergeCell ref="A32:F3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10"/>
  <sheetViews>
    <sheetView showGridLines="0" workbookViewId="0"/>
  </sheetViews>
  <sheetFormatPr defaultRowHeight="14.5" x14ac:dyDescent="0.35"/>
  <cols>
    <col min="1" max="1" width="28" customWidth="1"/>
    <col min="2" max="4" width="20" customWidth="1"/>
  </cols>
  <sheetData>
    <row r="1" spans="1:4" x14ac:dyDescent="0.35">
      <c r="A1" s="184" t="s">
        <v>256</v>
      </c>
      <c r="B1" s="184" t="s">
        <v>710</v>
      </c>
      <c r="C1" s="184" t="s">
        <v>711</v>
      </c>
      <c r="D1" s="184" t="s">
        <v>712</v>
      </c>
    </row>
    <row r="6" spans="1:4" x14ac:dyDescent="0.35">
      <c r="A6" s="185" t="s">
        <v>44</v>
      </c>
      <c r="B6" s="185"/>
      <c r="C6" s="185"/>
      <c r="D6" s="185"/>
    </row>
    <row r="7" spans="1:4" x14ac:dyDescent="0.35">
      <c r="A7" s="185" t="s">
        <v>47</v>
      </c>
      <c r="B7" s="185"/>
      <c r="C7" s="185"/>
      <c r="D7" s="185" t="s">
        <v>500</v>
      </c>
    </row>
    <row r="8" spans="1:4" x14ac:dyDescent="0.35">
      <c r="A8" s="185" t="s">
        <v>49</v>
      </c>
      <c r="B8" s="185"/>
      <c r="C8" s="185" t="s">
        <v>544</v>
      </c>
      <c r="D8" s="185"/>
    </row>
    <row r="9" spans="1:4" x14ac:dyDescent="0.35">
      <c r="A9" s="185" t="s">
        <v>50</v>
      </c>
      <c r="B9" s="185"/>
      <c r="C9" s="185"/>
      <c r="D9" s="185" t="s">
        <v>481</v>
      </c>
    </row>
    <row r="10" spans="1:4" x14ac:dyDescent="0.35">
      <c r="A10" s="185" t="s">
        <v>53</v>
      </c>
      <c r="B10" s="185" t="s">
        <v>464</v>
      </c>
      <c r="C10" s="185"/>
      <c r="D10" s="185"/>
    </row>
    <row r="11" spans="1:4" x14ac:dyDescent="0.35">
      <c r="A11" s="185" t="s">
        <v>56</v>
      </c>
      <c r="B11" s="185"/>
      <c r="C11" s="185"/>
      <c r="D11" s="185" t="s">
        <v>536</v>
      </c>
    </row>
    <row r="12" spans="1:4" x14ac:dyDescent="0.35">
      <c r="A12" s="185" t="s">
        <v>58</v>
      </c>
      <c r="B12" s="185"/>
      <c r="C12" s="185"/>
      <c r="D12" s="185"/>
    </row>
    <row r="13" spans="1:4" x14ac:dyDescent="0.35">
      <c r="A13" s="185" t="s">
        <v>60</v>
      </c>
      <c r="B13" s="185" t="s">
        <v>506</v>
      </c>
      <c r="C13" s="185"/>
      <c r="D13" s="185"/>
    </row>
    <row r="14" spans="1:4" x14ac:dyDescent="0.35">
      <c r="A14" s="185" t="s">
        <v>61</v>
      </c>
      <c r="B14" s="185" t="s">
        <v>496</v>
      </c>
      <c r="C14" s="185"/>
      <c r="D14" s="185"/>
    </row>
    <row r="15" spans="1:4" x14ac:dyDescent="0.35">
      <c r="A15" s="185" t="s">
        <v>62</v>
      </c>
      <c r="B15" s="185" t="s">
        <v>474</v>
      </c>
      <c r="C15" s="185"/>
      <c r="D15" s="185"/>
    </row>
    <row r="16" spans="1:4" x14ac:dyDescent="0.35">
      <c r="A16" s="185"/>
      <c r="B16" s="185"/>
      <c r="C16" s="185"/>
      <c r="D16" s="185"/>
    </row>
    <row r="17" spans="1:4" x14ac:dyDescent="0.35">
      <c r="A17" s="185" t="s">
        <v>67</v>
      </c>
      <c r="B17" s="185"/>
      <c r="C17" s="185"/>
      <c r="D17" s="185"/>
    </row>
    <row r="18" spans="1:4" x14ac:dyDescent="0.35">
      <c r="A18" s="185" t="s">
        <v>68</v>
      </c>
      <c r="B18" s="185"/>
      <c r="C18" s="185"/>
      <c r="D18" s="185"/>
    </row>
    <row r="19" spans="1:4" x14ac:dyDescent="0.35">
      <c r="A19" s="185" t="s">
        <v>69</v>
      </c>
      <c r="B19" s="185"/>
      <c r="C19" s="185"/>
      <c r="D19" s="185"/>
    </row>
    <row r="20" spans="1:4" x14ac:dyDescent="0.35">
      <c r="A20" s="185" t="s">
        <v>71</v>
      </c>
      <c r="B20" s="185"/>
      <c r="C20" s="185"/>
      <c r="D20" s="185"/>
    </row>
    <row r="21" spans="1:4" x14ac:dyDescent="0.35">
      <c r="A21" s="185" t="s">
        <v>148</v>
      </c>
      <c r="B21" s="185"/>
      <c r="C21" s="185"/>
      <c r="D21" s="185" t="s">
        <v>713</v>
      </c>
    </row>
    <row r="22" spans="1:4" x14ac:dyDescent="0.35">
      <c r="A22" s="185"/>
      <c r="B22" s="185"/>
      <c r="C22" s="185"/>
      <c r="D22" s="185"/>
    </row>
    <row r="23" spans="1:4" x14ac:dyDescent="0.35">
      <c r="A23" s="185" t="s">
        <v>73</v>
      </c>
      <c r="B23" s="185"/>
      <c r="C23" s="185"/>
      <c r="D23" s="185"/>
    </row>
    <row r="24" spans="1:4" x14ac:dyDescent="0.35">
      <c r="A24" s="185" t="s">
        <v>76</v>
      </c>
      <c r="B24" s="185"/>
      <c r="C24" s="185"/>
      <c r="D24" s="185"/>
    </row>
    <row r="25" spans="1:4" x14ac:dyDescent="0.35">
      <c r="A25" s="185" t="s">
        <v>77</v>
      </c>
      <c r="B25" s="185"/>
      <c r="C25" s="185"/>
      <c r="D25" s="185" t="s">
        <v>501</v>
      </c>
    </row>
    <row r="26" spans="1:4" x14ac:dyDescent="0.35">
      <c r="A26" s="185" t="s">
        <v>78</v>
      </c>
      <c r="B26" s="185"/>
      <c r="C26" s="185" t="s">
        <v>537</v>
      </c>
      <c r="D26" s="185"/>
    </row>
    <row r="27" spans="1:4" x14ac:dyDescent="0.35">
      <c r="A27" s="185"/>
      <c r="B27" s="185"/>
      <c r="C27" s="185"/>
      <c r="D27" s="185"/>
    </row>
    <row r="28" spans="1:4" x14ac:dyDescent="0.35">
      <c r="A28" s="185" t="s">
        <v>80</v>
      </c>
      <c r="B28" s="185"/>
      <c r="C28" s="185" t="s">
        <v>468</v>
      </c>
      <c r="D28" s="185"/>
    </row>
    <row r="29" spans="1:4" x14ac:dyDescent="0.35">
      <c r="A29" s="185" t="s">
        <v>85</v>
      </c>
      <c r="B29" s="185"/>
      <c r="C29" s="185"/>
      <c r="D29" s="185"/>
    </row>
    <row r="30" spans="1:4" x14ac:dyDescent="0.35">
      <c r="A30" s="185" t="s">
        <v>89</v>
      </c>
      <c r="B30" s="185"/>
      <c r="C30" s="185"/>
      <c r="D30" s="185" t="s">
        <v>546</v>
      </c>
    </row>
    <row r="31" spans="1:4" x14ac:dyDescent="0.35">
      <c r="A31" s="185"/>
      <c r="B31" s="185"/>
      <c r="C31" s="185"/>
      <c r="D31" s="185"/>
    </row>
    <row r="32" spans="1:4" x14ac:dyDescent="0.35">
      <c r="A32" s="185" t="s">
        <v>94</v>
      </c>
      <c r="B32" s="185"/>
      <c r="C32" s="185"/>
      <c r="D32" s="185"/>
    </row>
    <row r="33" spans="1:4" x14ac:dyDescent="0.35">
      <c r="A33" s="185" t="s">
        <v>95</v>
      </c>
      <c r="B33" s="185"/>
      <c r="C33" s="185"/>
      <c r="D33" s="185"/>
    </row>
    <row r="34" spans="1:4" x14ac:dyDescent="0.35">
      <c r="A34" s="185" t="s">
        <v>96</v>
      </c>
      <c r="B34" s="185"/>
      <c r="C34" s="185"/>
      <c r="D34" s="185"/>
    </row>
    <row r="35" spans="1:4" x14ac:dyDescent="0.35">
      <c r="A35" s="185" t="s">
        <v>97</v>
      </c>
      <c r="B35" s="185"/>
      <c r="C35" s="185"/>
      <c r="D35" s="185"/>
    </row>
    <row r="36" spans="1:4" x14ac:dyDescent="0.35">
      <c r="A36" s="185" t="s">
        <v>714</v>
      </c>
      <c r="B36" s="185"/>
      <c r="C36" s="185"/>
      <c r="D36" s="185"/>
    </row>
    <row r="37" spans="1:4" x14ac:dyDescent="0.35">
      <c r="A37" s="185" t="s">
        <v>99</v>
      </c>
      <c r="B37" s="185"/>
      <c r="C37" s="185"/>
      <c r="D37" s="185"/>
    </row>
    <row r="38" spans="1:4" x14ac:dyDescent="0.35">
      <c r="A38" s="185"/>
      <c r="B38" s="185"/>
      <c r="C38" s="185"/>
      <c r="D38" s="185"/>
    </row>
    <row r="39" spans="1:4" x14ac:dyDescent="0.35">
      <c r="A39" s="185" t="s">
        <v>101</v>
      </c>
      <c r="B39" s="185" t="s">
        <v>472</v>
      </c>
      <c r="C39" s="185"/>
      <c r="D39" s="185"/>
    </row>
    <row r="40" spans="1:4" x14ac:dyDescent="0.35">
      <c r="A40" s="185" t="s">
        <v>102</v>
      </c>
      <c r="B40" s="185"/>
      <c r="C40" s="185" t="s">
        <v>543</v>
      </c>
      <c r="D40" s="185"/>
    </row>
    <row r="41" spans="1:4" x14ac:dyDescent="0.35">
      <c r="A41" s="185" t="s">
        <v>103</v>
      </c>
      <c r="B41" s="185" t="s">
        <v>488</v>
      </c>
      <c r="C41" s="185"/>
      <c r="D41" s="185" t="s">
        <v>488</v>
      </c>
    </row>
    <row r="42" spans="1:4" x14ac:dyDescent="0.35">
      <c r="A42" s="185" t="s">
        <v>104</v>
      </c>
      <c r="B42" s="185" t="s">
        <v>462</v>
      </c>
      <c r="C42" s="185"/>
      <c r="D42" s="185"/>
    </row>
    <row r="43" spans="1:4" x14ac:dyDescent="0.35">
      <c r="A43" s="185" t="s">
        <v>108</v>
      </c>
      <c r="B43" s="185"/>
      <c r="C43" s="185" t="s">
        <v>529</v>
      </c>
      <c r="D43" s="185"/>
    </row>
    <row r="44" spans="1:4" x14ac:dyDescent="0.35">
      <c r="A44" s="185" t="s">
        <v>109</v>
      </c>
      <c r="B44" s="185"/>
      <c r="C44" s="185"/>
      <c r="D44" s="185" t="s">
        <v>550</v>
      </c>
    </row>
    <row r="45" spans="1:4" x14ac:dyDescent="0.35">
      <c r="A45" s="185" t="s">
        <v>111</v>
      </c>
      <c r="B45" s="185"/>
      <c r="C45" s="185" t="s">
        <v>495</v>
      </c>
      <c r="D45" s="185"/>
    </row>
    <row r="46" spans="1:4" x14ac:dyDescent="0.35">
      <c r="A46" s="185"/>
      <c r="B46" s="185"/>
      <c r="C46" s="185"/>
      <c r="D46" s="185"/>
    </row>
    <row r="47" spans="1:4" x14ac:dyDescent="0.35">
      <c r="A47" s="185" t="s">
        <v>115</v>
      </c>
      <c r="B47" s="185"/>
      <c r="C47" s="185"/>
      <c r="D47" s="185"/>
    </row>
    <row r="48" spans="1:4" x14ac:dyDescent="0.35">
      <c r="A48" s="185" t="s">
        <v>116</v>
      </c>
      <c r="B48" s="185"/>
      <c r="C48" s="185"/>
      <c r="D48" s="185"/>
    </row>
    <row r="49" spans="1:4" x14ac:dyDescent="0.35">
      <c r="A49" s="185" t="s">
        <v>117</v>
      </c>
      <c r="B49" s="185"/>
      <c r="C49" s="185"/>
      <c r="D49" s="185"/>
    </row>
    <row r="50" spans="1:4" x14ac:dyDescent="0.35">
      <c r="A50" s="185" t="s">
        <v>118</v>
      </c>
      <c r="B50" s="185"/>
      <c r="C50" s="185"/>
      <c r="D50" s="185"/>
    </row>
    <row r="51" spans="1:4" x14ac:dyDescent="0.35">
      <c r="A51" s="185" t="s">
        <v>119</v>
      </c>
      <c r="B51" s="185"/>
      <c r="C51" s="185" t="s">
        <v>533</v>
      </c>
      <c r="D51" s="185"/>
    </row>
    <row r="52" spans="1:4" x14ac:dyDescent="0.35">
      <c r="A52" s="185"/>
      <c r="B52" s="185"/>
      <c r="C52" s="185"/>
      <c r="D52" s="185"/>
    </row>
    <row r="53" spans="1:4" x14ac:dyDescent="0.35">
      <c r="A53" s="185" t="s">
        <v>123</v>
      </c>
      <c r="B53" s="185"/>
      <c r="C53" s="185"/>
      <c r="D53" s="185"/>
    </row>
    <row r="54" spans="1:4" x14ac:dyDescent="0.35">
      <c r="A54" s="185" t="s">
        <v>127</v>
      </c>
      <c r="B54" s="185"/>
      <c r="C54" s="185"/>
      <c r="D54" s="185" t="s">
        <v>715</v>
      </c>
    </row>
    <row r="55" spans="1:4" x14ac:dyDescent="0.35">
      <c r="A55" s="185" t="s">
        <v>130</v>
      </c>
      <c r="B55" s="185"/>
      <c r="C55" s="185"/>
      <c r="D55" s="185"/>
    </row>
    <row r="56" spans="1:4" x14ac:dyDescent="0.35">
      <c r="A56" s="185" t="s">
        <v>133</v>
      </c>
      <c r="B56" s="185" t="s">
        <v>491</v>
      </c>
      <c r="C56" s="185"/>
      <c r="D56" s="185"/>
    </row>
    <row r="57" spans="1:4" x14ac:dyDescent="0.35">
      <c r="A57" s="185" t="s">
        <v>134</v>
      </c>
      <c r="B57" s="185"/>
      <c r="C57" s="185" t="s">
        <v>545</v>
      </c>
      <c r="D57" s="185"/>
    </row>
    <row r="58" spans="1:4" x14ac:dyDescent="0.35">
      <c r="A58" s="185" t="s">
        <v>135</v>
      </c>
      <c r="B58" s="185"/>
      <c r="C58" s="185" t="s">
        <v>556</v>
      </c>
      <c r="D58" s="185"/>
    </row>
    <row r="59" spans="1:4" x14ac:dyDescent="0.35">
      <c r="A59" s="185" t="s">
        <v>136</v>
      </c>
      <c r="B59" s="185"/>
      <c r="C59" s="185" t="s">
        <v>507</v>
      </c>
      <c r="D59" s="185"/>
    </row>
    <row r="60" spans="1:4" x14ac:dyDescent="0.35">
      <c r="A60" s="185" t="s">
        <v>137</v>
      </c>
      <c r="B60" s="185"/>
      <c r="C60" s="185"/>
      <c r="D60" s="185"/>
    </row>
    <row r="61" spans="1:4" x14ac:dyDescent="0.35">
      <c r="A61" s="185" t="s">
        <v>140</v>
      </c>
      <c r="B61" s="185" t="s">
        <v>482</v>
      </c>
      <c r="C61" s="185"/>
      <c r="D61" s="185"/>
    </row>
    <row r="62" spans="1:4" x14ac:dyDescent="0.35">
      <c r="A62" s="185" t="s">
        <v>141</v>
      </c>
      <c r="B62" s="185"/>
      <c r="C62" s="185"/>
      <c r="D62" s="185" t="s">
        <v>497</v>
      </c>
    </row>
    <row r="63" spans="1:4" x14ac:dyDescent="0.35">
      <c r="A63" s="185" t="s">
        <v>142</v>
      </c>
      <c r="B63" s="185" t="s">
        <v>465</v>
      </c>
      <c r="C63" s="185"/>
      <c r="D63" s="185"/>
    </row>
    <row r="64" spans="1:4" x14ac:dyDescent="0.35">
      <c r="A64" s="185" t="s">
        <v>143</v>
      </c>
      <c r="B64" s="185"/>
      <c r="C64" s="185"/>
      <c r="D64" s="185" t="s">
        <v>555</v>
      </c>
    </row>
    <row r="65" spans="1:4" x14ac:dyDescent="0.35">
      <c r="A65" s="185" t="s">
        <v>144</v>
      </c>
      <c r="B65" s="185" t="s">
        <v>513</v>
      </c>
      <c r="C65" s="185"/>
      <c r="D65" s="185"/>
    </row>
    <row r="66" spans="1:4" x14ac:dyDescent="0.35">
      <c r="A66" s="185" t="s">
        <v>145</v>
      </c>
      <c r="B66" s="185"/>
      <c r="C66" s="185"/>
      <c r="D66" s="185"/>
    </row>
    <row r="67" spans="1:4" x14ac:dyDescent="0.35">
      <c r="A67" s="185"/>
      <c r="B67" s="185"/>
      <c r="C67" s="185"/>
      <c r="D67" s="185"/>
    </row>
    <row r="68" spans="1:4" x14ac:dyDescent="0.35">
      <c r="A68" s="185" t="s">
        <v>152</v>
      </c>
      <c r="B68" s="185" t="s">
        <v>485</v>
      </c>
      <c r="C68" s="185"/>
      <c r="D68" s="185"/>
    </row>
    <row r="69" spans="1:4" x14ac:dyDescent="0.35">
      <c r="A69" s="185" t="s">
        <v>155</v>
      </c>
      <c r="B69" s="185"/>
      <c r="C69" s="185"/>
      <c r="D69" s="185" t="s">
        <v>547</v>
      </c>
    </row>
    <row r="70" spans="1:4" x14ac:dyDescent="0.35">
      <c r="A70" s="185" t="s">
        <v>162</v>
      </c>
      <c r="B70" s="185"/>
      <c r="C70" s="185"/>
      <c r="D70" s="185" t="s">
        <v>463</v>
      </c>
    </row>
    <row r="71" spans="1:4" x14ac:dyDescent="0.35">
      <c r="A71" s="185" t="s">
        <v>165</v>
      </c>
      <c r="B71" s="185" t="s">
        <v>509</v>
      </c>
      <c r="C71" s="185"/>
      <c r="D71" s="185"/>
    </row>
    <row r="72" spans="1:4" x14ac:dyDescent="0.35">
      <c r="A72" s="185" t="s">
        <v>167</v>
      </c>
      <c r="B72" s="185"/>
      <c r="C72" s="185" t="s">
        <v>557</v>
      </c>
      <c r="D72" s="185" t="s">
        <v>557</v>
      </c>
    </row>
    <row r="73" spans="1:4" x14ac:dyDescent="0.35">
      <c r="A73" s="185" t="s">
        <v>168</v>
      </c>
      <c r="B73" s="185"/>
      <c r="C73" s="185" t="s">
        <v>469</v>
      </c>
      <c r="D73" s="185"/>
    </row>
    <row r="74" spans="1:4" x14ac:dyDescent="0.35">
      <c r="A74" s="185"/>
      <c r="B74" s="185"/>
      <c r="C74" s="185"/>
      <c r="D74" s="185"/>
    </row>
    <row r="75" spans="1:4" x14ac:dyDescent="0.35">
      <c r="A75" s="185" t="s">
        <v>172</v>
      </c>
      <c r="B75" s="185"/>
      <c r="C75" s="185"/>
      <c r="D75" s="185"/>
    </row>
    <row r="76" spans="1:4" x14ac:dyDescent="0.35">
      <c r="A76" s="185" t="s">
        <v>174</v>
      </c>
      <c r="B76" s="185"/>
      <c r="C76" s="185"/>
      <c r="D76" s="185" t="s">
        <v>473</v>
      </c>
    </row>
    <row r="77" spans="1:4" x14ac:dyDescent="0.35">
      <c r="A77" s="185" t="s">
        <v>177</v>
      </c>
      <c r="B77" s="185"/>
      <c r="C77" s="185"/>
      <c r="D77" s="185"/>
    </row>
    <row r="78" spans="1:4" x14ac:dyDescent="0.35">
      <c r="A78" s="185" t="s">
        <v>180</v>
      </c>
      <c r="B78" s="185"/>
      <c r="C78" s="185" t="s">
        <v>551</v>
      </c>
      <c r="D78" s="185"/>
    </row>
    <row r="79" spans="1:4" x14ac:dyDescent="0.35">
      <c r="A79" s="185" t="s">
        <v>183</v>
      </c>
      <c r="B79" s="185"/>
      <c r="C79" s="185"/>
      <c r="D79" s="185"/>
    </row>
    <row r="80" spans="1:4" x14ac:dyDescent="0.35">
      <c r="A80" s="185"/>
      <c r="B80" s="185"/>
      <c r="C80" s="185"/>
      <c r="D80" s="185"/>
    </row>
    <row r="81" spans="1:4" x14ac:dyDescent="0.35">
      <c r="A81" s="185" t="s">
        <v>189</v>
      </c>
      <c r="B81" s="185"/>
      <c r="C81" s="185"/>
      <c r="D81" s="185"/>
    </row>
    <row r="82" spans="1:4" x14ac:dyDescent="0.35">
      <c r="A82" s="185" t="s">
        <v>193</v>
      </c>
      <c r="B82" s="185"/>
      <c r="C82" s="185"/>
      <c r="D82" s="185" t="s">
        <v>568</v>
      </c>
    </row>
    <row r="83" spans="1:4" x14ac:dyDescent="0.35">
      <c r="A83" s="185" t="s">
        <v>195</v>
      </c>
      <c r="B83" s="185" t="s">
        <v>494</v>
      </c>
      <c r="C83" s="185"/>
      <c r="D83" s="185"/>
    </row>
    <row r="84" spans="1:4" x14ac:dyDescent="0.35">
      <c r="A84" s="185" t="s">
        <v>196</v>
      </c>
      <c r="B84" s="185" t="s">
        <v>510</v>
      </c>
      <c r="C84" s="185"/>
      <c r="D84" s="185" t="s">
        <v>510</v>
      </c>
    </row>
    <row r="85" spans="1:4" x14ac:dyDescent="0.35">
      <c r="A85" s="185" t="s">
        <v>197</v>
      </c>
      <c r="B85" s="185" t="s">
        <v>512</v>
      </c>
      <c r="C85" s="185"/>
      <c r="D85" s="185"/>
    </row>
    <row r="86" spans="1:4" x14ac:dyDescent="0.35">
      <c r="A86" s="185" t="s">
        <v>198</v>
      </c>
      <c r="B86" s="185"/>
      <c r="C86" s="185" t="s">
        <v>527</v>
      </c>
      <c r="D86" s="185"/>
    </row>
    <row r="87" spans="1:4" x14ac:dyDescent="0.35">
      <c r="A87" s="185" t="s">
        <v>199</v>
      </c>
      <c r="B87" s="185"/>
      <c r="C87" s="185"/>
      <c r="D87" s="185" t="s">
        <v>542</v>
      </c>
    </row>
    <row r="88" spans="1:4" x14ac:dyDescent="0.35">
      <c r="A88" s="185" t="s">
        <v>201</v>
      </c>
      <c r="B88" s="185"/>
      <c r="C88" s="185"/>
      <c r="D88" s="185" t="s">
        <v>554</v>
      </c>
    </row>
    <row r="89" spans="1:4" x14ac:dyDescent="0.35">
      <c r="A89" s="185" t="s">
        <v>203</v>
      </c>
      <c r="B89" s="185" t="s">
        <v>460</v>
      </c>
      <c r="C89" s="185" t="s">
        <v>460</v>
      </c>
      <c r="D89" s="185"/>
    </row>
    <row r="90" spans="1:4" x14ac:dyDescent="0.35">
      <c r="A90" s="185" t="s">
        <v>204</v>
      </c>
      <c r="B90" s="185" t="s">
        <v>470</v>
      </c>
      <c r="C90" s="185"/>
      <c r="D90" s="185"/>
    </row>
    <row r="91" spans="1:4" x14ac:dyDescent="0.35">
      <c r="A91" s="185" t="s">
        <v>205</v>
      </c>
      <c r="B91" s="185"/>
      <c r="C91" s="185"/>
      <c r="D91" s="185" t="s">
        <v>548</v>
      </c>
    </row>
    <row r="92" spans="1:4" x14ac:dyDescent="0.35">
      <c r="A92" s="185" t="s">
        <v>206</v>
      </c>
      <c r="B92" s="185" t="s">
        <v>478</v>
      </c>
      <c r="C92" s="185"/>
      <c r="D92" s="185"/>
    </row>
    <row r="93" spans="1:4" x14ac:dyDescent="0.35">
      <c r="A93" s="185" t="s">
        <v>207</v>
      </c>
      <c r="B93" s="185" t="s">
        <v>487</v>
      </c>
      <c r="C93" s="185" t="s">
        <v>487</v>
      </c>
      <c r="D93" s="185"/>
    </row>
    <row r="94" spans="1:4" x14ac:dyDescent="0.35">
      <c r="A94" s="185" t="s">
        <v>208</v>
      </c>
      <c r="B94" s="185"/>
      <c r="C94" s="185"/>
      <c r="D94" s="185"/>
    </row>
    <row r="95" spans="1:4" x14ac:dyDescent="0.35">
      <c r="A95" s="185"/>
      <c r="B95" s="185"/>
      <c r="C95" s="185"/>
      <c r="D95" s="185"/>
    </row>
    <row r="96" spans="1:4" x14ac:dyDescent="0.35">
      <c r="A96" s="185" t="s">
        <v>210</v>
      </c>
      <c r="B96" s="185" t="s">
        <v>471</v>
      </c>
      <c r="C96" s="185"/>
      <c r="D96" s="185"/>
    </row>
    <row r="97" spans="1:4" x14ac:dyDescent="0.35">
      <c r="A97" s="185" t="s">
        <v>213</v>
      </c>
      <c r="B97" s="185" t="s">
        <v>479</v>
      </c>
      <c r="C97" s="185"/>
      <c r="D97" s="185"/>
    </row>
    <row r="98" spans="1:4" x14ac:dyDescent="0.35">
      <c r="A98" s="185" t="s">
        <v>214</v>
      </c>
      <c r="B98" s="185"/>
      <c r="C98" s="185" t="s">
        <v>528</v>
      </c>
      <c r="D98" s="185" t="s">
        <v>528</v>
      </c>
    </row>
    <row r="99" spans="1:4" x14ac:dyDescent="0.35">
      <c r="A99" s="185" t="s">
        <v>215</v>
      </c>
      <c r="B99" s="185"/>
      <c r="C99" s="185" t="s">
        <v>716</v>
      </c>
      <c r="D99" s="185" t="s">
        <v>716</v>
      </c>
    </row>
    <row r="100" spans="1:4" x14ac:dyDescent="0.35">
      <c r="A100" s="185" t="s">
        <v>216</v>
      </c>
      <c r="B100" s="185" t="s">
        <v>499</v>
      </c>
      <c r="C100" s="185"/>
      <c r="D100" s="185"/>
    </row>
    <row r="101" spans="1:4" x14ac:dyDescent="0.35">
      <c r="A101" s="185" t="s">
        <v>218</v>
      </c>
      <c r="B101" s="185"/>
      <c r="C101" s="185"/>
      <c r="D101" s="185" t="s">
        <v>540</v>
      </c>
    </row>
    <row r="102" spans="1:4" x14ac:dyDescent="0.35">
      <c r="A102" s="185" t="s">
        <v>219</v>
      </c>
      <c r="B102" s="185"/>
      <c r="C102" s="185" t="s">
        <v>569</v>
      </c>
      <c r="D102" s="185" t="s">
        <v>569</v>
      </c>
    </row>
    <row r="103" spans="1:4" x14ac:dyDescent="0.35">
      <c r="A103" s="185" t="s">
        <v>220</v>
      </c>
      <c r="B103" s="185" t="s">
        <v>461</v>
      </c>
      <c r="C103" s="185"/>
      <c r="D103" s="185" t="s">
        <v>461</v>
      </c>
    </row>
    <row r="104" spans="1:4" x14ac:dyDescent="0.35">
      <c r="A104" s="185" t="s">
        <v>222</v>
      </c>
      <c r="B104" s="185"/>
      <c r="C104" s="185"/>
      <c r="D104" s="185" t="s">
        <v>541</v>
      </c>
    </row>
    <row r="105" spans="1:4" x14ac:dyDescent="0.35">
      <c r="A105" s="185" t="s">
        <v>223</v>
      </c>
      <c r="B105" s="185"/>
      <c r="C105" s="185" t="s">
        <v>549</v>
      </c>
      <c r="D105" s="185" t="s">
        <v>549</v>
      </c>
    </row>
    <row r="106" spans="1:4" x14ac:dyDescent="0.35">
      <c r="A106" s="185" t="s">
        <v>225</v>
      </c>
      <c r="B106" s="185"/>
      <c r="C106" s="185" t="s">
        <v>717</v>
      </c>
      <c r="D106" s="185" t="s">
        <v>717</v>
      </c>
    </row>
    <row r="107" spans="1:4" x14ac:dyDescent="0.35">
      <c r="A107" s="185" t="s">
        <v>226</v>
      </c>
      <c r="B107" s="185"/>
      <c r="C107" s="185"/>
      <c r="D107" s="185"/>
    </row>
    <row r="108" spans="1:4" x14ac:dyDescent="0.35">
      <c r="A108" s="185"/>
      <c r="B108" s="185"/>
      <c r="C108" s="185"/>
      <c r="D108" s="185"/>
    </row>
    <row r="109" spans="1:4" x14ac:dyDescent="0.35">
      <c r="A109" s="185" t="s">
        <v>231</v>
      </c>
      <c r="B109" s="185"/>
      <c r="C109" s="185"/>
      <c r="D109" s="185"/>
    </row>
    <row r="110" spans="1:4" x14ac:dyDescent="0.35">
      <c r="A110" s="185" t="s">
        <v>232</v>
      </c>
      <c r="B110" s="185"/>
      <c r="C110" s="185"/>
      <c r="D110" s="18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8"/>
  <sheetViews>
    <sheetView workbookViewId="0"/>
  </sheetViews>
  <sheetFormatPr defaultRowHeight="14.5" x14ac:dyDescent="0.35"/>
  <cols>
    <col min="1" max="1" width="6" customWidth="1"/>
    <col min="2" max="2" width="14" customWidth="1"/>
    <col min="3" max="3" width="10" customWidth="1"/>
    <col min="4" max="4" width="38" customWidth="1"/>
    <col min="5" max="6" width="35" customWidth="1"/>
    <col min="7" max="7" width="55" customWidth="1"/>
  </cols>
  <sheetData>
    <row r="1" spans="1:7" ht="16.5" x14ac:dyDescent="0.35">
      <c r="A1" s="372" t="s">
        <v>718</v>
      </c>
      <c r="B1" s="372"/>
      <c r="C1" s="372"/>
      <c r="D1" s="372"/>
      <c r="E1" s="372"/>
      <c r="F1" s="372"/>
      <c r="G1" s="372"/>
    </row>
    <row r="2" spans="1:7" x14ac:dyDescent="0.35">
      <c r="A2" s="373" t="s">
        <v>719</v>
      </c>
      <c r="B2" s="373"/>
      <c r="C2" s="373"/>
      <c r="D2" s="373"/>
      <c r="E2" s="373"/>
      <c r="F2" s="373"/>
      <c r="G2" s="373"/>
    </row>
    <row r="4" spans="1:7" x14ac:dyDescent="0.35">
      <c r="A4" s="233" t="s">
        <v>3</v>
      </c>
      <c r="B4" s="233" t="s">
        <v>720</v>
      </c>
      <c r="C4" s="233" t="s">
        <v>721</v>
      </c>
      <c r="D4" s="233" t="s">
        <v>722</v>
      </c>
      <c r="E4" s="233" t="s">
        <v>723</v>
      </c>
      <c r="F4" s="233" t="s">
        <v>724</v>
      </c>
      <c r="G4" s="233" t="s">
        <v>725</v>
      </c>
    </row>
    <row r="5" spans="1:7" x14ac:dyDescent="0.35">
      <c r="A5" s="227">
        <v>1</v>
      </c>
      <c r="B5" s="227" t="s">
        <v>726</v>
      </c>
      <c r="C5" s="227" t="s">
        <v>727</v>
      </c>
      <c r="D5" s="227" t="s">
        <v>728</v>
      </c>
      <c r="E5" s="227" t="s">
        <v>729</v>
      </c>
      <c r="F5" s="227" t="s">
        <v>294</v>
      </c>
      <c r="G5" s="227" t="s">
        <v>730</v>
      </c>
    </row>
    <row r="6" spans="1:7" ht="26" x14ac:dyDescent="0.35">
      <c r="A6" s="227">
        <v>2</v>
      </c>
      <c r="B6" s="227" t="s">
        <v>726</v>
      </c>
      <c r="C6" s="227" t="s">
        <v>731</v>
      </c>
      <c r="D6" s="227" t="s">
        <v>732</v>
      </c>
      <c r="E6" s="227" t="s">
        <v>733</v>
      </c>
      <c r="F6" s="227" t="s">
        <v>544</v>
      </c>
      <c r="G6" s="227" t="s">
        <v>734</v>
      </c>
    </row>
    <row r="7" spans="1:7" ht="26" x14ac:dyDescent="0.35">
      <c r="A7" s="227">
        <v>3</v>
      </c>
      <c r="B7" s="227" t="s">
        <v>726</v>
      </c>
      <c r="C7" s="227" t="s">
        <v>735</v>
      </c>
      <c r="D7" s="227" t="s">
        <v>736</v>
      </c>
      <c r="E7" s="227" t="s">
        <v>733</v>
      </c>
      <c r="F7" s="227" t="s">
        <v>544</v>
      </c>
      <c r="G7" s="227" t="s">
        <v>734</v>
      </c>
    </row>
    <row r="8" spans="1:7" ht="26" x14ac:dyDescent="0.35">
      <c r="A8" s="227">
        <v>4</v>
      </c>
      <c r="B8" s="227" t="s">
        <v>726</v>
      </c>
      <c r="C8" s="227" t="s">
        <v>737</v>
      </c>
      <c r="D8" s="227" t="s">
        <v>738</v>
      </c>
      <c r="E8" s="227" t="s">
        <v>733</v>
      </c>
      <c r="F8" s="227" t="s">
        <v>544</v>
      </c>
      <c r="G8" s="227" t="s">
        <v>734</v>
      </c>
    </row>
    <row r="9" spans="1:7" x14ac:dyDescent="0.35">
      <c r="A9" s="227">
        <v>5</v>
      </c>
      <c r="B9" s="227" t="s">
        <v>739</v>
      </c>
      <c r="C9" s="227" t="s">
        <v>740</v>
      </c>
      <c r="D9" s="227" t="s">
        <v>741</v>
      </c>
      <c r="E9" s="227" t="s">
        <v>733</v>
      </c>
      <c r="F9" s="227" t="s">
        <v>536</v>
      </c>
      <c r="G9" s="227" t="s">
        <v>742</v>
      </c>
    </row>
    <row r="10" spans="1:7" x14ac:dyDescent="0.35">
      <c r="A10" s="227">
        <v>6</v>
      </c>
      <c r="B10" s="227" t="s">
        <v>739</v>
      </c>
      <c r="C10" s="227" t="s">
        <v>743</v>
      </c>
      <c r="D10" s="227" t="s">
        <v>744</v>
      </c>
      <c r="E10" s="227" t="s">
        <v>733</v>
      </c>
      <c r="F10" s="227" t="s">
        <v>481</v>
      </c>
      <c r="G10" s="227" t="s">
        <v>745</v>
      </c>
    </row>
    <row r="11" spans="1:7" x14ac:dyDescent="0.35">
      <c r="A11" s="227">
        <v>7</v>
      </c>
      <c r="B11" s="227" t="s">
        <v>739</v>
      </c>
      <c r="C11" s="227" t="s">
        <v>746</v>
      </c>
      <c r="D11" s="227" t="s">
        <v>747</v>
      </c>
      <c r="E11" s="227" t="s">
        <v>733</v>
      </c>
      <c r="F11" s="227" t="s">
        <v>474</v>
      </c>
      <c r="G11" s="227" t="s">
        <v>748</v>
      </c>
    </row>
    <row r="12" spans="1:7" x14ac:dyDescent="0.35">
      <c r="A12" s="227">
        <v>8</v>
      </c>
      <c r="B12" s="227" t="s">
        <v>749</v>
      </c>
      <c r="C12" s="227" t="s">
        <v>750</v>
      </c>
      <c r="D12" s="227" t="s">
        <v>751</v>
      </c>
      <c r="E12" s="227" t="s">
        <v>513</v>
      </c>
      <c r="F12" s="227" t="s">
        <v>511</v>
      </c>
      <c r="G12" s="227" t="s">
        <v>752</v>
      </c>
    </row>
    <row r="13" spans="1:7" x14ac:dyDescent="0.35">
      <c r="A13" s="227">
        <v>9</v>
      </c>
      <c r="B13" s="227" t="s">
        <v>749</v>
      </c>
      <c r="C13" s="227" t="s">
        <v>753</v>
      </c>
      <c r="D13" s="227" t="s">
        <v>754</v>
      </c>
      <c r="E13" s="227" t="s">
        <v>511</v>
      </c>
      <c r="F13" s="227" t="s">
        <v>513</v>
      </c>
      <c r="G13" s="227" t="s">
        <v>755</v>
      </c>
    </row>
    <row r="14" spans="1:7" x14ac:dyDescent="0.35">
      <c r="A14" s="227">
        <v>10</v>
      </c>
      <c r="B14" s="227" t="s">
        <v>5</v>
      </c>
      <c r="C14" s="227" t="s">
        <v>756</v>
      </c>
      <c r="D14" s="227" t="s">
        <v>728</v>
      </c>
      <c r="E14" s="227" t="s">
        <v>729</v>
      </c>
      <c r="F14" s="227" t="s">
        <v>294</v>
      </c>
      <c r="G14" s="227" t="s">
        <v>757</v>
      </c>
    </row>
    <row r="15" spans="1:7" x14ac:dyDescent="0.35">
      <c r="A15" s="227">
        <v>11</v>
      </c>
      <c r="B15" s="227" t="s">
        <v>758</v>
      </c>
      <c r="C15" s="227" t="s">
        <v>41</v>
      </c>
      <c r="D15" s="227" t="s">
        <v>759</v>
      </c>
      <c r="E15" s="227">
        <v>2</v>
      </c>
      <c r="F15" s="227">
        <v>3</v>
      </c>
      <c r="G15" s="227" t="s">
        <v>760</v>
      </c>
    </row>
    <row r="16" spans="1:7" x14ac:dyDescent="0.35">
      <c r="A16" s="227">
        <v>12</v>
      </c>
      <c r="B16" s="227" t="s">
        <v>758</v>
      </c>
      <c r="C16" s="227" t="s">
        <v>761</v>
      </c>
      <c r="D16" s="227" t="s">
        <v>762</v>
      </c>
      <c r="E16" s="227">
        <v>2</v>
      </c>
      <c r="F16" s="227">
        <v>5</v>
      </c>
      <c r="G16" s="227" t="s">
        <v>763</v>
      </c>
    </row>
    <row r="17" spans="1:7" x14ac:dyDescent="0.35">
      <c r="A17" s="227">
        <v>13</v>
      </c>
      <c r="B17" s="227" t="s">
        <v>758</v>
      </c>
      <c r="C17" s="227" t="s">
        <v>764</v>
      </c>
      <c r="D17" s="227" t="s">
        <v>765</v>
      </c>
      <c r="E17" s="227">
        <v>3</v>
      </c>
      <c r="F17" s="227">
        <v>4</v>
      </c>
      <c r="G17" s="227" t="s">
        <v>766</v>
      </c>
    </row>
    <row r="18" spans="1:7" x14ac:dyDescent="0.35">
      <c r="A18" s="227">
        <v>14</v>
      </c>
      <c r="B18" s="227" t="s">
        <v>758</v>
      </c>
      <c r="C18" s="227" t="s">
        <v>767</v>
      </c>
      <c r="D18" s="227" t="s">
        <v>768</v>
      </c>
      <c r="E18" s="227">
        <v>5</v>
      </c>
      <c r="F18" s="227">
        <v>2</v>
      </c>
      <c r="G18" s="227" t="s">
        <v>766</v>
      </c>
    </row>
    <row r="19" spans="1:7" ht="26" x14ac:dyDescent="0.35">
      <c r="A19" s="227">
        <v>15</v>
      </c>
      <c r="B19" s="227" t="s">
        <v>758</v>
      </c>
      <c r="C19" s="227" t="s">
        <v>769</v>
      </c>
      <c r="D19" s="227" t="s">
        <v>770</v>
      </c>
      <c r="E19" s="227"/>
      <c r="F19" s="227">
        <v>1</v>
      </c>
      <c r="G19" s="227" t="s">
        <v>771</v>
      </c>
    </row>
    <row r="20" spans="1:7" x14ac:dyDescent="0.35">
      <c r="A20" s="227">
        <v>16</v>
      </c>
      <c r="B20" s="227" t="s">
        <v>758</v>
      </c>
      <c r="C20" s="227" t="s">
        <v>772</v>
      </c>
      <c r="D20" s="227" t="s">
        <v>773</v>
      </c>
      <c r="E20" s="227">
        <v>4</v>
      </c>
      <c r="F20" s="227">
        <v>1</v>
      </c>
      <c r="G20" s="227" t="s">
        <v>766</v>
      </c>
    </row>
    <row r="21" spans="1:7" x14ac:dyDescent="0.35">
      <c r="A21" s="227">
        <v>17</v>
      </c>
      <c r="B21" s="227" t="s">
        <v>758</v>
      </c>
      <c r="C21" s="227" t="s">
        <v>774</v>
      </c>
      <c r="D21" s="227" t="s">
        <v>775</v>
      </c>
      <c r="E21" s="227">
        <v>2</v>
      </c>
      <c r="F21" s="227"/>
      <c r="G21" s="227" t="s">
        <v>776</v>
      </c>
    </row>
    <row r="22" spans="1:7" x14ac:dyDescent="0.35">
      <c r="A22" s="227">
        <v>18</v>
      </c>
      <c r="B22" s="227" t="s">
        <v>758</v>
      </c>
      <c r="C22" s="227" t="s">
        <v>777</v>
      </c>
      <c r="D22" s="227" t="s">
        <v>778</v>
      </c>
      <c r="E22" s="227">
        <v>2</v>
      </c>
      <c r="F22" s="227">
        <v>7</v>
      </c>
      <c r="G22" s="227" t="s">
        <v>766</v>
      </c>
    </row>
    <row r="23" spans="1:7" x14ac:dyDescent="0.35">
      <c r="A23" s="227">
        <v>19</v>
      </c>
      <c r="B23" s="227" t="s">
        <v>758</v>
      </c>
      <c r="C23" s="227" t="s">
        <v>779</v>
      </c>
      <c r="D23" s="227" t="s">
        <v>780</v>
      </c>
      <c r="E23" s="227"/>
      <c r="F23" s="227">
        <v>3</v>
      </c>
      <c r="G23" s="227" t="s">
        <v>766</v>
      </c>
    </row>
    <row r="24" spans="1:7" x14ac:dyDescent="0.35">
      <c r="A24" s="227">
        <v>20</v>
      </c>
      <c r="B24" s="227" t="s">
        <v>758</v>
      </c>
      <c r="C24" s="227" t="s">
        <v>781</v>
      </c>
      <c r="D24" s="227" t="s">
        <v>782</v>
      </c>
      <c r="E24" s="227">
        <v>5</v>
      </c>
      <c r="F24" s="227">
        <v>2</v>
      </c>
      <c r="G24" s="227" t="s">
        <v>766</v>
      </c>
    </row>
    <row r="25" spans="1:7" x14ac:dyDescent="0.35">
      <c r="A25" s="227">
        <v>21</v>
      </c>
      <c r="B25" s="227" t="s">
        <v>758</v>
      </c>
      <c r="C25" s="227" t="s">
        <v>783</v>
      </c>
      <c r="D25" s="227" t="s">
        <v>784</v>
      </c>
      <c r="E25" s="227">
        <v>4</v>
      </c>
      <c r="F25" s="227">
        <v>3</v>
      </c>
      <c r="G25" s="227" t="s">
        <v>766</v>
      </c>
    </row>
    <row r="26" spans="1:7" x14ac:dyDescent="0.35">
      <c r="A26" s="227">
        <v>22</v>
      </c>
      <c r="B26" s="227" t="s">
        <v>758</v>
      </c>
      <c r="C26" s="227" t="s">
        <v>785</v>
      </c>
      <c r="D26" s="227" t="s">
        <v>786</v>
      </c>
      <c r="E26" s="227">
        <v>3</v>
      </c>
      <c r="F26" s="227">
        <v>5</v>
      </c>
      <c r="G26" s="227" t="s">
        <v>766</v>
      </c>
    </row>
    <row r="27" spans="1:7" x14ac:dyDescent="0.35">
      <c r="A27" s="227">
        <v>23</v>
      </c>
      <c r="B27" s="227" t="s">
        <v>758</v>
      </c>
      <c r="C27" s="227" t="s">
        <v>787</v>
      </c>
      <c r="D27" s="227" t="s">
        <v>788</v>
      </c>
      <c r="E27" s="227">
        <v>2</v>
      </c>
      <c r="F27" s="227">
        <v>4</v>
      </c>
      <c r="G27" s="227" t="s">
        <v>766</v>
      </c>
    </row>
    <row r="28" spans="1:7" x14ac:dyDescent="0.35">
      <c r="A28" s="227">
        <v>24</v>
      </c>
      <c r="B28" s="227" t="s">
        <v>758</v>
      </c>
      <c r="C28" s="227" t="s">
        <v>789</v>
      </c>
      <c r="D28" s="227" t="s">
        <v>790</v>
      </c>
      <c r="E28" s="227">
        <v>4</v>
      </c>
      <c r="F28" s="227"/>
      <c r="G28" s="227" t="s">
        <v>776</v>
      </c>
    </row>
    <row r="29" spans="1:7" x14ac:dyDescent="0.35">
      <c r="A29" s="227">
        <v>25</v>
      </c>
      <c r="B29" s="227" t="s">
        <v>758</v>
      </c>
      <c r="C29" s="227" t="s">
        <v>791</v>
      </c>
      <c r="D29" s="227" t="s">
        <v>792</v>
      </c>
      <c r="E29" s="227">
        <v>1</v>
      </c>
      <c r="F29" s="227"/>
      <c r="G29" s="227" t="s">
        <v>793</v>
      </c>
    </row>
    <row r="30" spans="1:7" ht="26" x14ac:dyDescent="0.35">
      <c r="A30" s="227">
        <v>26</v>
      </c>
      <c r="B30" s="227" t="s">
        <v>758</v>
      </c>
      <c r="C30" s="227" t="s">
        <v>40</v>
      </c>
      <c r="D30" s="227" t="s">
        <v>794</v>
      </c>
      <c r="E30" s="227">
        <v>3</v>
      </c>
      <c r="F30" s="227"/>
      <c r="G30" s="227" t="s">
        <v>795</v>
      </c>
    </row>
    <row r="31" spans="1:7" ht="26" x14ac:dyDescent="0.35">
      <c r="A31" s="227">
        <v>27</v>
      </c>
      <c r="B31" s="227" t="s">
        <v>758</v>
      </c>
      <c r="C31" s="227" t="s">
        <v>796</v>
      </c>
      <c r="D31" s="227" t="s">
        <v>797</v>
      </c>
      <c r="E31" s="227">
        <v>3</v>
      </c>
      <c r="F31" s="227"/>
      <c r="G31" s="227" t="s">
        <v>795</v>
      </c>
    </row>
    <row r="32" spans="1:7" x14ac:dyDescent="0.35">
      <c r="A32" s="227">
        <v>28</v>
      </c>
      <c r="B32" s="227" t="s">
        <v>758</v>
      </c>
      <c r="C32" s="227" t="s">
        <v>798</v>
      </c>
      <c r="D32" s="227" t="s">
        <v>799</v>
      </c>
      <c r="E32" s="227"/>
      <c r="F32" s="227">
        <v>1</v>
      </c>
      <c r="G32" s="227" t="s">
        <v>800</v>
      </c>
    </row>
    <row r="33" spans="1:7" x14ac:dyDescent="0.35">
      <c r="A33" s="227">
        <v>29</v>
      </c>
      <c r="B33" s="227" t="s">
        <v>758</v>
      </c>
      <c r="C33" s="227" t="s">
        <v>801</v>
      </c>
      <c r="D33" s="227" t="s">
        <v>802</v>
      </c>
      <c r="E33" s="227">
        <v>3</v>
      </c>
      <c r="F33" s="227"/>
      <c r="G33" s="227" t="s">
        <v>776</v>
      </c>
    </row>
    <row r="34" spans="1:7" x14ac:dyDescent="0.35">
      <c r="A34" s="227">
        <v>30</v>
      </c>
      <c r="B34" s="227" t="s">
        <v>758</v>
      </c>
      <c r="C34" s="227" t="s">
        <v>803</v>
      </c>
      <c r="D34" s="227" t="s">
        <v>804</v>
      </c>
      <c r="E34" s="227">
        <v>2</v>
      </c>
      <c r="F34" s="227">
        <v>3</v>
      </c>
      <c r="G34" s="227" t="s">
        <v>766</v>
      </c>
    </row>
    <row r="35" spans="1:7" x14ac:dyDescent="0.35">
      <c r="A35" s="227">
        <v>31</v>
      </c>
      <c r="B35" s="227" t="s">
        <v>758</v>
      </c>
      <c r="C35" s="227" t="s">
        <v>805</v>
      </c>
      <c r="D35" s="227" t="s">
        <v>806</v>
      </c>
      <c r="E35" s="227">
        <v>4</v>
      </c>
      <c r="F35" s="227">
        <v>5</v>
      </c>
      <c r="G35" s="227" t="s">
        <v>766</v>
      </c>
    </row>
    <row r="36" spans="1:7" x14ac:dyDescent="0.35">
      <c r="A36" s="227">
        <v>32</v>
      </c>
      <c r="B36" s="227" t="s">
        <v>758</v>
      </c>
      <c r="C36" s="227" t="s">
        <v>807</v>
      </c>
      <c r="D36" s="227" t="s">
        <v>808</v>
      </c>
      <c r="E36" s="227"/>
      <c r="F36" s="227">
        <v>1</v>
      </c>
      <c r="G36" s="227" t="s">
        <v>809</v>
      </c>
    </row>
    <row r="37" spans="1:7" x14ac:dyDescent="0.35">
      <c r="A37" s="227">
        <v>33</v>
      </c>
      <c r="B37" s="227" t="s">
        <v>758</v>
      </c>
      <c r="C37" s="227" t="s">
        <v>810</v>
      </c>
      <c r="D37" s="227" t="s">
        <v>811</v>
      </c>
      <c r="E37" s="227"/>
      <c r="F37" s="227">
        <v>1</v>
      </c>
      <c r="G37" s="227" t="s">
        <v>812</v>
      </c>
    </row>
    <row r="38" spans="1:7" ht="26" x14ac:dyDescent="0.35">
      <c r="A38" s="227">
        <v>34</v>
      </c>
      <c r="B38" s="227" t="s">
        <v>758</v>
      </c>
      <c r="C38" s="227" t="s">
        <v>813</v>
      </c>
      <c r="D38" s="227" t="s">
        <v>814</v>
      </c>
      <c r="E38" s="227">
        <v>2</v>
      </c>
      <c r="F38" s="227">
        <v>1</v>
      </c>
      <c r="G38" s="227" t="s">
        <v>815</v>
      </c>
    </row>
    <row r="39" spans="1:7" ht="26" x14ac:dyDescent="0.35">
      <c r="A39" s="227">
        <v>35</v>
      </c>
      <c r="B39" s="227" t="s">
        <v>758</v>
      </c>
      <c r="C39" s="227" t="s">
        <v>816</v>
      </c>
      <c r="D39" s="227" t="s">
        <v>817</v>
      </c>
      <c r="E39" s="227" t="s">
        <v>714</v>
      </c>
      <c r="F39" s="227" t="s">
        <v>98</v>
      </c>
      <c r="G39" s="227" t="s">
        <v>818</v>
      </c>
    </row>
    <row r="40" spans="1:7" x14ac:dyDescent="0.35">
      <c r="A40" s="227">
        <v>36</v>
      </c>
      <c r="B40" s="227" t="s">
        <v>819</v>
      </c>
      <c r="C40" s="227" t="s">
        <v>820</v>
      </c>
      <c r="D40" s="227" t="s">
        <v>821</v>
      </c>
      <c r="E40" s="227">
        <v>137</v>
      </c>
      <c r="F40" s="227">
        <v>138</v>
      </c>
      <c r="G40" s="227" t="s">
        <v>822</v>
      </c>
    </row>
    <row r="41" spans="1:7" x14ac:dyDescent="0.35">
      <c r="A41" s="227">
        <v>37</v>
      </c>
      <c r="B41" s="227" t="s">
        <v>819</v>
      </c>
      <c r="C41" s="227" t="s">
        <v>823</v>
      </c>
      <c r="D41" s="227" t="s">
        <v>824</v>
      </c>
      <c r="E41" s="227">
        <v>45</v>
      </c>
      <c r="F41" s="227">
        <v>46</v>
      </c>
      <c r="G41" s="227" t="s">
        <v>825</v>
      </c>
    </row>
    <row r="42" spans="1:7" x14ac:dyDescent="0.35">
      <c r="A42" s="227">
        <v>38</v>
      </c>
      <c r="B42" s="227" t="s">
        <v>819</v>
      </c>
      <c r="C42" s="227" t="s">
        <v>826</v>
      </c>
      <c r="D42" s="227" t="s">
        <v>827</v>
      </c>
      <c r="E42" s="227">
        <v>3.0444444444444443</v>
      </c>
      <c r="F42" s="227">
        <v>3</v>
      </c>
      <c r="G42" s="227" t="s">
        <v>828</v>
      </c>
    </row>
    <row r="43" spans="1:7" x14ac:dyDescent="0.35">
      <c r="A43" s="227">
        <v>39</v>
      </c>
      <c r="B43" s="227" t="s">
        <v>829</v>
      </c>
      <c r="C43" s="227" t="s">
        <v>830</v>
      </c>
      <c r="D43" s="227" t="s">
        <v>831</v>
      </c>
      <c r="E43" s="227">
        <v>137</v>
      </c>
      <c r="F43" s="227">
        <v>138</v>
      </c>
      <c r="G43" s="227" t="s">
        <v>832</v>
      </c>
    </row>
    <row r="44" spans="1:7" x14ac:dyDescent="0.35">
      <c r="A44" s="227">
        <v>40</v>
      </c>
      <c r="B44" s="227" t="s">
        <v>829</v>
      </c>
      <c r="C44" s="227" t="s">
        <v>833</v>
      </c>
      <c r="D44" s="227" t="s">
        <v>834</v>
      </c>
      <c r="E44" s="227">
        <v>4</v>
      </c>
      <c r="F44" s="227">
        <v>3</v>
      </c>
      <c r="G44" s="227" t="s">
        <v>835</v>
      </c>
    </row>
    <row r="45" spans="1:7" x14ac:dyDescent="0.35">
      <c r="A45" s="227">
        <v>41</v>
      </c>
      <c r="B45" s="227" t="s">
        <v>829</v>
      </c>
      <c r="C45" s="227" t="s">
        <v>836</v>
      </c>
      <c r="D45" s="227" t="s">
        <v>837</v>
      </c>
      <c r="E45" s="227">
        <v>45</v>
      </c>
      <c r="F45" s="227">
        <v>46</v>
      </c>
      <c r="G45" s="227" t="s">
        <v>825</v>
      </c>
    </row>
    <row r="46" spans="1:7" x14ac:dyDescent="0.35">
      <c r="A46" s="227">
        <v>42</v>
      </c>
      <c r="B46" s="227" t="s">
        <v>829</v>
      </c>
      <c r="C46" s="227" t="s">
        <v>838</v>
      </c>
      <c r="D46" s="227" t="s">
        <v>839</v>
      </c>
      <c r="E46" s="227"/>
      <c r="F46" s="227" t="s">
        <v>682</v>
      </c>
      <c r="G46" s="227" t="s">
        <v>840</v>
      </c>
    </row>
    <row r="47" spans="1:7" x14ac:dyDescent="0.35">
      <c r="A47" s="227">
        <v>43</v>
      </c>
      <c r="B47" s="227" t="s">
        <v>31</v>
      </c>
      <c r="C47" s="227" t="s">
        <v>841</v>
      </c>
      <c r="D47" s="227" t="s">
        <v>842</v>
      </c>
      <c r="E47" s="227">
        <v>10</v>
      </c>
      <c r="F47" s="227">
        <v>11</v>
      </c>
      <c r="G47" s="227" t="s">
        <v>843</v>
      </c>
    </row>
    <row r="48" spans="1:7" x14ac:dyDescent="0.35">
      <c r="A48" s="227">
        <v>44</v>
      </c>
      <c r="B48" s="227" t="s">
        <v>31</v>
      </c>
      <c r="C48" s="227" t="s">
        <v>844</v>
      </c>
      <c r="D48" s="227" t="s">
        <v>845</v>
      </c>
      <c r="E48" s="227">
        <v>9</v>
      </c>
      <c r="F48" s="227">
        <v>8</v>
      </c>
      <c r="G48" s="227" t="s">
        <v>846</v>
      </c>
    </row>
    <row r="49" spans="1:7" x14ac:dyDescent="0.35">
      <c r="A49" s="227">
        <v>45</v>
      </c>
      <c r="B49" s="227" t="s">
        <v>31</v>
      </c>
      <c r="C49" s="227" t="s">
        <v>847</v>
      </c>
      <c r="D49" s="227" t="s">
        <v>848</v>
      </c>
      <c r="E49" s="227">
        <v>23</v>
      </c>
      <c r="F49" s="227">
        <v>24</v>
      </c>
      <c r="G49" s="227" t="s">
        <v>849</v>
      </c>
    </row>
    <row r="50" spans="1:7" x14ac:dyDescent="0.35">
      <c r="A50" s="227">
        <v>46</v>
      </c>
      <c r="B50" s="227" t="s">
        <v>31</v>
      </c>
      <c r="C50" s="227" t="s">
        <v>850</v>
      </c>
      <c r="D50" s="227" t="s">
        <v>851</v>
      </c>
      <c r="E50" s="227">
        <v>22</v>
      </c>
      <c r="F50" s="227">
        <v>21</v>
      </c>
      <c r="G50" s="227" t="s">
        <v>852</v>
      </c>
    </row>
    <row r="51" spans="1:7" ht="29" x14ac:dyDescent="0.35">
      <c r="A51" s="235">
        <v>47</v>
      </c>
      <c r="B51" s="235" t="s">
        <v>5</v>
      </c>
      <c r="C51" s="235" t="s">
        <v>853</v>
      </c>
      <c r="D51" s="235" t="s">
        <v>854</v>
      </c>
      <c r="E51" s="235" t="s">
        <v>855</v>
      </c>
      <c r="F51" s="235" t="s">
        <v>294</v>
      </c>
      <c r="G51" s="235" t="s">
        <v>856</v>
      </c>
    </row>
    <row r="52" spans="1:7" x14ac:dyDescent="0.35">
      <c r="A52" s="235">
        <v>48</v>
      </c>
      <c r="B52" s="235" t="s">
        <v>749</v>
      </c>
      <c r="C52" s="235" t="s">
        <v>857</v>
      </c>
      <c r="D52" s="235" t="s">
        <v>858</v>
      </c>
      <c r="E52" s="235" t="s">
        <v>859</v>
      </c>
      <c r="F52" s="235" t="s">
        <v>860</v>
      </c>
      <c r="G52" s="235" t="s">
        <v>861</v>
      </c>
    </row>
    <row r="53" spans="1:7" x14ac:dyDescent="0.35">
      <c r="A53" s="235">
        <v>49</v>
      </c>
      <c r="B53" s="235" t="s">
        <v>749</v>
      </c>
      <c r="C53" s="235" t="s">
        <v>862</v>
      </c>
      <c r="D53" s="235" t="s">
        <v>863</v>
      </c>
      <c r="E53" s="235" t="s">
        <v>864</v>
      </c>
      <c r="F53" s="235" t="s">
        <v>865</v>
      </c>
      <c r="G53" s="235" t="s">
        <v>866</v>
      </c>
    </row>
    <row r="54" spans="1:7" ht="29" x14ac:dyDescent="0.35">
      <c r="A54" s="235">
        <v>50</v>
      </c>
      <c r="B54" s="235" t="s">
        <v>829</v>
      </c>
      <c r="C54" s="235" t="s">
        <v>867</v>
      </c>
      <c r="D54" s="235" t="s">
        <v>868</v>
      </c>
      <c r="E54" s="235" t="s">
        <v>869</v>
      </c>
      <c r="F54" s="235" t="s">
        <v>870</v>
      </c>
      <c r="G54" s="235" t="s">
        <v>871</v>
      </c>
    </row>
    <row r="55" spans="1:7" ht="29" x14ac:dyDescent="0.35">
      <c r="A55" s="235">
        <v>51</v>
      </c>
      <c r="B55" s="235" t="s">
        <v>872</v>
      </c>
      <c r="C55" s="235" t="s">
        <v>873</v>
      </c>
      <c r="D55" s="235" t="s">
        <v>426</v>
      </c>
      <c r="E55" s="235" t="s">
        <v>874</v>
      </c>
      <c r="F55" s="235" t="s">
        <v>875</v>
      </c>
      <c r="G55" s="235" t="s">
        <v>876</v>
      </c>
    </row>
    <row r="56" spans="1:7" ht="29" x14ac:dyDescent="0.35">
      <c r="A56" s="235">
        <v>52</v>
      </c>
      <c r="B56" s="235" t="s">
        <v>872</v>
      </c>
      <c r="C56" s="235" t="s">
        <v>877</v>
      </c>
      <c r="D56" s="235" t="s">
        <v>431</v>
      </c>
      <c r="E56" s="235" t="s">
        <v>875</v>
      </c>
      <c r="F56" s="235" t="s">
        <v>874</v>
      </c>
      <c r="G56" s="235" t="s">
        <v>876</v>
      </c>
    </row>
    <row r="57" spans="1:7" ht="29" x14ac:dyDescent="0.35">
      <c r="A57" s="235">
        <v>53</v>
      </c>
      <c r="B57" s="235" t="s">
        <v>878</v>
      </c>
      <c r="C57" s="235" t="s">
        <v>879</v>
      </c>
      <c r="D57" s="235" t="s">
        <v>342</v>
      </c>
      <c r="E57" s="235" t="s">
        <v>330</v>
      </c>
      <c r="F57" s="235" t="s">
        <v>880</v>
      </c>
      <c r="G57" s="235" t="s">
        <v>881</v>
      </c>
    </row>
    <row r="58" spans="1:7" x14ac:dyDescent="0.35">
      <c r="A58" s="235">
        <v>54</v>
      </c>
      <c r="B58" s="235" t="s">
        <v>318</v>
      </c>
      <c r="C58" s="235" t="s">
        <v>634</v>
      </c>
      <c r="D58" s="235" t="s">
        <v>882</v>
      </c>
      <c r="E58" s="235" t="s">
        <v>882</v>
      </c>
      <c r="F58" s="235" t="s">
        <v>883</v>
      </c>
      <c r="G58" s="235" t="s">
        <v>884</v>
      </c>
    </row>
  </sheetData>
  <mergeCells count="2">
    <mergeCell ref="A1:G1"/>
    <mergeCell ref="A2:G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14"/>
  <sheetViews>
    <sheetView workbookViewId="0"/>
  </sheetViews>
  <sheetFormatPr defaultRowHeight="14.5" x14ac:dyDescent="0.35"/>
  <cols>
    <col min="1" max="1" width="6" customWidth="1"/>
    <col min="2" max="2" width="26" customWidth="1"/>
    <col min="3" max="3" width="28" customWidth="1"/>
    <col min="4" max="4" width="25" customWidth="1"/>
    <col min="5" max="5" width="18" customWidth="1"/>
    <col min="6" max="6" width="24" customWidth="1"/>
    <col min="7" max="7" width="40" customWidth="1"/>
    <col min="8" max="8" width="16" customWidth="1"/>
    <col min="9" max="9" width="12" customWidth="1"/>
    <col min="10" max="10" width="72" customWidth="1"/>
    <col min="11" max="11" width="28" customWidth="1"/>
    <col min="12" max="12" width="24" customWidth="1"/>
  </cols>
  <sheetData>
    <row r="1" spans="1:12" ht="17.5" x14ac:dyDescent="0.35">
      <c r="A1" s="374" t="s">
        <v>885</v>
      </c>
      <c r="B1" s="374"/>
      <c r="C1" s="374"/>
      <c r="D1" s="374"/>
      <c r="E1" s="374"/>
      <c r="F1" s="374"/>
      <c r="G1" s="374"/>
      <c r="H1" s="374"/>
      <c r="I1" s="374"/>
      <c r="J1" s="374"/>
      <c r="K1" s="374"/>
      <c r="L1" s="374"/>
    </row>
    <row r="2" spans="1:12" x14ac:dyDescent="0.35">
      <c r="A2" s="375" t="s">
        <v>886</v>
      </c>
      <c r="B2" s="375"/>
      <c r="C2" s="375"/>
      <c r="D2" s="375"/>
      <c r="E2" s="375"/>
      <c r="F2" s="375"/>
      <c r="G2" s="375"/>
      <c r="H2" s="375"/>
      <c r="I2" s="375"/>
      <c r="J2" s="375"/>
      <c r="K2" s="375"/>
      <c r="L2" s="375"/>
    </row>
    <row r="3" spans="1:12" x14ac:dyDescent="0.35">
      <c r="A3" s="375"/>
      <c r="B3" s="375"/>
      <c r="C3" s="375"/>
      <c r="D3" s="375"/>
      <c r="E3" s="375"/>
      <c r="F3" s="375"/>
      <c r="G3" s="375"/>
      <c r="H3" s="375"/>
      <c r="I3" s="375"/>
      <c r="J3" s="375"/>
      <c r="K3" s="375"/>
      <c r="L3" s="375"/>
    </row>
    <row r="5" spans="1:12" ht="28" x14ac:dyDescent="0.35">
      <c r="A5" s="239" t="s">
        <v>3</v>
      </c>
      <c r="B5" s="240" t="s">
        <v>887</v>
      </c>
      <c r="C5" s="240" t="s">
        <v>888</v>
      </c>
      <c r="D5" s="240" t="s">
        <v>889</v>
      </c>
      <c r="E5" s="240" t="s">
        <v>890</v>
      </c>
      <c r="F5" s="240" t="s">
        <v>891</v>
      </c>
      <c r="G5" s="240" t="s">
        <v>892</v>
      </c>
      <c r="H5" s="240" t="s">
        <v>893</v>
      </c>
      <c r="I5" s="240" t="s">
        <v>894</v>
      </c>
      <c r="J5" s="240" t="s">
        <v>895</v>
      </c>
      <c r="K5" s="240" t="s">
        <v>896</v>
      </c>
      <c r="L5" s="241" t="s">
        <v>897</v>
      </c>
    </row>
    <row r="6" spans="1:12" ht="28" x14ac:dyDescent="0.35">
      <c r="A6" s="245">
        <v>1</v>
      </c>
      <c r="B6" s="242" t="s">
        <v>898</v>
      </c>
      <c r="C6" s="248" t="s">
        <v>899</v>
      </c>
      <c r="D6" s="248" t="s">
        <v>900</v>
      </c>
      <c r="E6" s="248" t="s">
        <v>45</v>
      </c>
      <c r="F6" s="248" t="s">
        <v>901</v>
      </c>
      <c r="G6" s="242"/>
      <c r="H6" s="248" t="s">
        <v>902</v>
      </c>
      <c r="I6" s="248"/>
      <c r="J6" s="242" t="s">
        <v>903</v>
      </c>
      <c r="K6" s="248" t="s">
        <v>904</v>
      </c>
      <c r="L6" s="251" t="s">
        <v>905</v>
      </c>
    </row>
    <row r="7" spans="1:12" ht="28" x14ac:dyDescent="0.35">
      <c r="A7" s="246">
        <v>2</v>
      </c>
      <c r="B7" s="243" t="s">
        <v>430</v>
      </c>
      <c r="C7" s="249" t="s">
        <v>899</v>
      </c>
      <c r="D7" s="249" t="s">
        <v>900</v>
      </c>
      <c r="E7" s="249" t="s">
        <v>51</v>
      </c>
      <c r="F7" s="249"/>
      <c r="G7" s="243"/>
      <c r="H7" s="249" t="s">
        <v>902</v>
      </c>
      <c r="I7" s="249" t="s">
        <v>431</v>
      </c>
      <c r="J7" s="243" t="s">
        <v>906</v>
      </c>
      <c r="K7" s="249" t="s">
        <v>904</v>
      </c>
      <c r="L7" s="252" t="s">
        <v>907</v>
      </c>
    </row>
    <row r="8" spans="1:12" ht="28" x14ac:dyDescent="0.35">
      <c r="A8" s="246">
        <v>3</v>
      </c>
      <c r="B8" s="243" t="s">
        <v>388</v>
      </c>
      <c r="C8" s="249" t="s">
        <v>899</v>
      </c>
      <c r="D8" s="249" t="s">
        <v>900</v>
      </c>
      <c r="E8" s="249"/>
      <c r="F8" s="249"/>
      <c r="G8" s="243"/>
      <c r="H8" s="249" t="s">
        <v>902</v>
      </c>
      <c r="I8" s="249" t="s">
        <v>389</v>
      </c>
      <c r="J8" s="243" t="s">
        <v>908</v>
      </c>
      <c r="K8" s="249" t="s">
        <v>904</v>
      </c>
      <c r="L8" s="252" t="s">
        <v>909</v>
      </c>
    </row>
    <row r="9" spans="1:12" ht="28" x14ac:dyDescent="0.35">
      <c r="A9" s="246">
        <v>4</v>
      </c>
      <c r="B9" s="243" t="s">
        <v>341</v>
      </c>
      <c r="C9" s="249" t="s">
        <v>899</v>
      </c>
      <c r="D9" s="249" t="s">
        <v>900</v>
      </c>
      <c r="E9" s="249"/>
      <c r="F9" s="249"/>
      <c r="G9" s="243"/>
      <c r="H9" s="249" t="s">
        <v>902</v>
      </c>
      <c r="I9" s="249" t="s">
        <v>342</v>
      </c>
      <c r="J9" s="243" t="s">
        <v>910</v>
      </c>
      <c r="K9" s="249" t="s">
        <v>904</v>
      </c>
      <c r="L9" s="252" t="s">
        <v>909</v>
      </c>
    </row>
    <row r="10" spans="1:12" ht="28" x14ac:dyDescent="0.35">
      <c r="A10" s="246">
        <v>5</v>
      </c>
      <c r="B10" s="243" t="s">
        <v>362</v>
      </c>
      <c r="C10" s="249" t="s">
        <v>899</v>
      </c>
      <c r="D10" s="249" t="s">
        <v>900</v>
      </c>
      <c r="E10" s="249"/>
      <c r="F10" s="249"/>
      <c r="G10" s="243"/>
      <c r="H10" s="249" t="s">
        <v>902</v>
      </c>
      <c r="I10" s="249" t="s">
        <v>363</v>
      </c>
      <c r="J10" s="243" t="s">
        <v>911</v>
      </c>
      <c r="K10" s="249" t="s">
        <v>904</v>
      </c>
      <c r="L10" s="252" t="s">
        <v>909</v>
      </c>
    </row>
    <row r="11" spans="1:12" ht="28" x14ac:dyDescent="0.35">
      <c r="A11" s="246">
        <v>6</v>
      </c>
      <c r="B11" s="243" t="s">
        <v>329</v>
      </c>
      <c r="C11" s="249" t="s">
        <v>899</v>
      </c>
      <c r="D11" s="249" t="s">
        <v>900</v>
      </c>
      <c r="E11" s="249"/>
      <c r="F11" s="249"/>
      <c r="G11" s="243"/>
      <c r="H11" s="249" t="s">
        <v>902</v>
      </c>
      <c r="I11" s="249" t="s">
        <v>330</v>
      </c>
      <c r="J11" s="243" t="s">
        <v>912</v>
      </c>
      <c r="K11" s="249" t="s">
        <v>904</v>
      </c>
      <c r="L11" s="252" t="s">
        <v>909</v>
      </c>
    </row>
    <row r="12" spans="1:12" ht="28" x14ac:dyDescent="0.35">
      <c r="A12" s="246">
        <v>7</v>
      </c>
      <c r="B12" s="243" t="s">
        <v>406</v>
      </c>
      <c r="C12" s="249" t="s">
        <v>899</v>
      </c>
      <c r="D12" s="249" t="s">
        <v>900</v>
      </c>
      <c r="E12" s="249"/>
      <c r="F12" s="249"/>
      <c r="G12" s="243"/>
      <c r="H12" s="249" t="s">
        <v>902</v>
      </c>
      <c r="I12" s="249" t="s">
        <v>407</v>
      </c>
      <c r="J12" s="243" t="s">
        <v>913</v>
      </c>
      <c r="K12" s="249" t="s">
        <v>904</v>
      </c>
      <c r="L12" s="252" t="s">
        <v>909</v>
      </c>
    </row>
    <row r="13" spans="1:12" x14ac:dyDescent="0.35">
      <c r="A13" s="246">
        <v>8</v>
      </c>
      <c r="B13" s="243" t="s">
        <v>320</v>
      </c>
      <c r="C13" s="249" t="s">
        <v>899</v>
      </c>
      <c r="D13" s="249" t="s">
        <v>900</v>
      </c>
      <c r="E13" s="249"/>
      <c r="F13" s="249"/>
      <c r="G13" s="243"/>
      <c r="H13" s="249" t="s">
        <v>902</v>
      </c>
      <c r="I13" s="249" t="s">
        <v>321</v>
      </c>
      <c r="J13" s="243" t="s">
        <v>914</v>
      </c>
      <c r="K13" s="249" t="s">
        <v>904</v>
      </c>
      <c r="L13" s="252" t="s">
        <v>909</v>
      </c>
    </row>
    <row r="14" spans="1:12" ht="28" x14ac:dyDescent="0.35">
      <c r="A14" s="246">
        <v>9</v>
      </c>
      <c r="B14" s="243" t="s">
        <v>335</v>
      </c>
      <c r="C14" s="249" t="s">
        <v>899</v>
      </c>
      <c r="D14" s="249" t="s">
        <v>900</v>
      </c>
      <c r="E14" s="249"/>
      <c r="F14" s="249"/>
      <c r="G14" s="243"/>
      <c r="H14" s="249" t="s">
        <v>902</v>
      </c>
      <c r="I14" s="249" t="s">
        <v>336</v>
      </c>
      <c r="J14" s="243" t="s">
        <v>915</v>
      </c>
      <c r="K14" s="249" t="s">
        <v>904</v>
      </c>
      <c r="L14" s="252" t="s">
        <v>909</v>
      </c>
    </row>
    <row r="15" spans="1:12" ht="28" x14ac:dyDescent="0.35">
      <c r="A15" s="246">
        <v>10</v>
      </c>
      <c r="B15" s="243" t="s">
        <v>311</v>
      </c>
      <c r="C15" s="249" t="s">
        <v>899</v>
      </c>
      <c r="D15" s="249" t="s">
        <v>900</v>
      </c>
      <c r="E15" s="249"/>
      <c r="F15" s="249"/>
      <c r="G15" s="243"/>
      <c r="H15" s="249" t="s">
        <v>902</v>
      </c>
      <c r="I15" s="249" t="s">
        <v>312</v>
      </c>
      <c r="J15" s="243" t="s">
        <v>916</v>
      </c>
      <c r="K15" s="249" t="s">
        <v>904</v>
      </c>
      <c r="L15" s="252" t="s">
        <v>909</v>
      </c>
    </row>
    <row r="16" spans="1:12" ht="28" x14ac:dyDescent="0.35">
      <c r="A16" s="246">
        <v>11</v>
      </c>
      <c r="B16" s="243" t="s">
        <v>385</v>
      </c>
      <c r="C16" s="249" t="s">
        <v>899</v>
      </c>
      <c r="D16" s="249" t="s">
        <v>900</v>
      </c>
      <c r="E16" s="249"/>
      <c r="F16" s="249"/>
      <c r="G16" s="243"/>
      <c r="H16" s="249" t="s">
        <v>902</v>
      </c>
      <c r="I16" s="249" t="s">
        <v>386</v>
      </c>
      <c r="J16" s="243" t="s">
        <v>917</v>
      </c>
      <c r="K16" s="249" t="s">
        <v>904</v>
      </c>
      <c r="L16" s="252" t="s">
        <v>909</v>
      </c>
    </row>
    <row r="17" spans="1:12" ht="28" x14ac:dyDescent="0.35">
      <c r="A17" s="246">
        <v>12</v>
      </c>
      <c r="B17" s="243" t="s">
        <v>397</v>
      </c>
      <c r="C17" s="249" t="s">
        <v>899</v>
      </c>
      <c r="D17" s="249" t="s">
        <v>900</v>
      </c>
      <c r="E17" s="249"/>
      <c r="F17" s="249"/>
      <c r="G17" s="243"/>
      <c r="H17" s="249" t="s">
        <v>902</v>
      </c>
      <c r="I17" s="249" t="s">
        <v>398</v>
      </c>
      <c r="J17" s="243" t="s">
        <v>918</v>
      </c>
      <c r="K17" s="249" t="s">
        <v>904</v>
      </c>
      <c r="L17" s="252" t="s">
        <v>909</v>
      </c>
    </row>
    <row r="18" spans="1:12" ht="28" x14ac:dyDescent="0.35">
      <c r="A18" s="246">
        <v>13</v>
      </c>
      <c r="B18" s="243" t="s">
        <v>400</v>
      </c>
      <c r="C18" s="249" t="s">
        <v>899</v>
      </c>
      <c r="D18" s="249" t="s">
        <v>900</v>
      </c>
      <c r="E18" s="249" t="s">
        <v>51</v>
      </c>
      <c r="F18" s="249"/>
      <c r="G18" s="243"/>
      <c r="H18" s="249" t="s">
        <v>902</v>
      </c>
      <c r="I18" s="249" t="s">
        <v>401</v>
      </c>
      <c r="J18" s="243" t="s">
        <v>919</v>
      </c>
      <c r="K18" s="249" t="s">
        <v>904</v>
      </c>
      <c r="L18" s="252" t="s">
        <v>907</v>
      </c>
    </row>
    <row r="19" spans="1:12" ht="28" x14ac:dyDescent="0.35">
      <c r="A19" s="246">
        <v>14</v>
      </c>
      <c r="B19" s="243" t="s">
        <v>920</v>
      </c>
      <c r="C19" s="249" t="s">
        <v>921</v>
      </c>
      <c r="D19" s="249" t="s">
        <v>922</v>
      </c>
      <c r="E19" s="249"/>
      <c r="F19" s="249" t="s">
        <v>923</v>
      </c>
      <c r="G19" s="243" t="s">
        <v>924</v>
      </c>
      <c r="H19" s="249" t="s">
        <v>619</v>
      </c>
      <c r="I19" s="249"/>
      <c r="J19" s="243" t="s">
        <v>925</v>
      </c>
      <c r="K19" s="249" t="s">
        <v>904</v>
      </c>
      <c r="L19" s="252" t="s">
        <v>926</v>
      </c>
    </row>
    <row r="20" spans="1:12" ht="42" x14ac:dyDescent="0.35">
      <c r="A20" s="246">
        <v>15</v>
      </c>
      <c r="B20" s="243" t="s">
        <v>245</v>
      </c>
      <c r="C20" s="249" t="s">
        <v>921</v>
      </c>
      <c r="D20" s="249" t="s">
        <v>922</v>
      </c>
      <c r="E20" s="249"/>
      <c r="F20" s="249" t="s">
        <v>923</v>
      </c>
      <c r="G20" s="243" t="s">
        <v>927</v>
      </c>
      <c r="H20" s="249" t="s">
        <v>619</v>
      </c>
      <c r="I20" s="249"/>
      <c r="J20" s="243" t="s">
        <v>928</v>
      </c>
      <c r="K20" s="249" t="s">
        <v>904</v>
      </c>
      <c r="L20" s="252" t="s">
        <v>926</v>
      </c>
    </row>
    <row r="21" spans="1:12" ht="28" x14ac:dyDescent="0.35">
      <c r="A21" s="246">
        <v>16</v>
      </c>
      <c r="B21" s="243" t="s">
        <v>929</v>
      </c>
      <c r="C21" s="249" t="s">
        <v>921</v>
      </c>
      <c r="D21" s="249" t="s">
        <v>900</v>
      </c>
      <c r="E21" s="249" t="s">
        <v>45</v>
      </c>
      <c r="F21" s="249" t="s">
        <v>901</v>
      </c>
      <c r="G21" s="243"/>
      <c r="H21" s="249" t="s">
        <v>619</v>
      </c>
      <c r="I21" s="249"/>
      <c r="J21" s="243" t="s">
        <v>930</v>
      </c>
      <c r="K21" s="249" t="s">
        <v>904</v>
      </c>
      <c r="L21" s="252" t="s">
        <v>905</v>
      </c>
    </row>
    <row r="22" spans="1:12" ht="28" x14ac:dyDescent="0.35">
      <c r="A22" s="246">
        <v>17</v>
      </c>
      <c r="B22" s="243" t="s">
        <v>439</v>
      </c>
      <c r="C22" s="249" t="s">
        <v>921</v>
      </c>
      <c r="D22" s="249" t="s">
        <v>900</v>
      </c>
      <c r="E22" s="249"/>
      <c r="F22" s="249"/>
      <c r="G22" s="243"/>
      <c r="H22" s="249" t="s">
        <v>619</v>
      </c>
      <c r="I22" s="249" t="s">
        <v>440</v>
      </c>
      <c r="J22" s="243" t="s">
        <v>931</v>
      </c>
      <c r="K22" s="249" t="s">
        <v>904</v>
      </c>
      <c r="L22" s="252" t="s">
        <v>909</v>
      </c>
    </row>
    <row r="23" spans="1:12" ht="28" x14ac:dyDescent="0.35">
      <c r="A23" s="246">
        <v>18</v>
      </c>
      <c r="B23" s="243" t="s">
        <v>298</v>
      </c>
      <c r="C23" s="249" t="s">
        <v>921</v>
      </c>
      <c r="D23" s="249" t="s">
        <v>900</v>
      </c>
      <c r="E23" s="249"/>
      <c r="F23" s="249"/>
      <c r="G23" s="243"/>
      <c r="H23" s="249" t="s">
        <v>619</v>
      </c>
      <c r="I23" s="249" t="s">
        <v>299</v>
      </c>
      <c r="J23" s="243" t="s">
        <v>932</v>
      </c>
      <c r="K23" s="249" t="s">
        <v>904</v>
      </c>
      <c r="L23" s="252" t="s">
        <v>909</v>
      </c>
    </row>
    <row r="24" spans="1:12" ht="28" x14ac:dyDescent="0.35">
      <c r="A24" s="246">
        <v>19</v>
      </c>
      <c r="B24" s="243" t="s">
        <v>414</v>
      </c>
      <c r="C24" s="249" t="s">
        <v>921</v>
      </c>
      <c r="D24" s="249" t="s">
        <v>900</v>
      </c>
      <c r="E24" s="249"/>
      <c r="F24" s="249"/>
      <c r="G24" s="243"/>
      <c r="H24" s="249" t="s">
        <v>619</v>
      </c>
      <c r="I24" s="249" t="s">
        <v>415</v>
      </c>
      <c r="J24" s="243" t="s">
        <v>933</v>
      </c>
      <c r="K24" s="249" t="s">
        <v>904</v>
      </c>
      <c r="L24" s="252" t="s">
        <v>909</v>
      </c>
    </row>
    <row r="25" spans="1:12" x14ac:dyDescent="0.35">
      <c r="A25" s="246">
        <v>20</v>
      </c>
      <c r="B25" s="243" t="s">
        <v>934</v>
      </c>
      <c r="C25" s="249" t="s">
        <v>921</v>
      </c>
      <c r="D25" s="249" t="s">
        <v>900</v>
      </c>
      <c r="E25" s="249"/>
      <c r="F25" s="249" t="s">
        <v>901</v>
      </c>
      <c r="G25" s="243" t="s">
        <v>935</v>
      </c>
      <c r="H25" s="249" t="s">
        <v>619</v>
      </c>
      <c r="I25" s="249"/>
      <c r="J25" s="243" t="s">
        <v>936</v>
      </c>
      <c r="K25" s="249" t="s">
        <v>904</v>
      </c>
      <c r="L25" s="252" t="s">
        <v>937</v>
      </c>
    </row>
    <row r="26" spans="1:12" ht="28" x14ac:dyDescent="0.35">
      <c r="A26" s="246">
        <v>21</v>
      </c>
      <c r="B26" s="243" t="s">
        <v>382</v>
      </c>
      <c r="C26" s="249" t="s">
        <v>921</v>
      </c>
      <c r="D26" s="249" t="s">
        <v>900</v>
      </c>
      <c r="E26" s="249"/>
      <c r="F26" s="249"/>
      <c r="G26" s="243"/>
      <c r="H26" s="249" t="s">
        <v>619</v>
      </c>
      <c r="I26" s="249" t="s">
        <v>383</v>
      </c>
      <c r="J26" s="243" t="s">
        <v>938</v>
      </c>
      <c r="K26" s="249" t="s">
        <v>904</v>
      </c>
      <c r="L26" s="252" t="s">
        <v>909</v>
      </c>
    </row>
    <row r="27" spans="1:12" ht="28" x14ac:dyDescent="0.35">
      <c r="A27" s="246">
        <v>22</v>
      </c>
      <c r="B27" s="243" t="s">
        <v>410</v>
      </c>
      <c r="C27" s="249" t="s">
        <v>921</v>
      </c>
      <c r="D27" s="249" t="s">
        <v>900</v>
      </c>
      <c r="E27" s="249"/>
      <c r="F27" s="249"/>
      <c r="G27" s="243"/>
      <c r="H27" s="249" t="s">
        <v>619</v>
      </c>
      <c r="I27" s="249" t="s">
        <v>411</v>
      </c>
      <c r="J27" s="243" t="s">
        <v>939</v>
      </c>
      <c r="K27" s="249" t="s">
        <v>904</v>
      </c>
      <c r="L27" s="252" t="s">
        <v>909</v>
      </c>
    </row>
    <row r="28" spans="1:12" ht="28" x14ac:dyDescent="0.35">
      <c r="A28" s="246">
        <v>23</v>
      </c>
      <c r="B28" s="243" t="s">
        <v>940</v>
      </c>
      <c r="C28" s="249" t="s">
        <v>921</v>
      </c>
      <c r="D28" s="249" t="s">
        <v>900</v>
      </c>
      <c r="E28" s="249" t="s">
        <v>51</v>
      </c>
      <c r="F28" s="249"/>
      <c r="G28" s="243"/>
      <c r="H28" s="249" t="s">
        <v>619</v>
      </c>
      <c r="I28" s="249"/>
      <c r="J28" s="243" t="s">
        <v>941</v>
      </c>
      <c r="K28" s="249" t="s">
        <v>904</v>
      </c>
      <c r="L28" s="252" t="s">
        <v>907</v>
      </c>
    </row>
    <row r="29" spans="1:12" ht="28" x14ac:dyDescent="0.35">
      <c r="A29" s="246">
        <v>24</v>
      </c>
      <c r="B29" s="243" t="s">
        <v>351</v>
      </c>
      <c r="C29" s="249" t="s">
        <v>921</v>
      </c>
      <c r="D29" s="249" t="s">
        <v>900</v>
      </c>
      <c r="E29" s="249"/>
      <c r="F29" s="249"/>
      <c r="G29" s="243"/>
      <c r="H29" s="249" t="s">
        <v>619</v>
      </c>
      <c r="I29" s="249" t="s">
        <v>352</v>
      </c>
      <c r="J29" s="243" t="s">
        <v>942</v>
      </c>
      <c r="K29" s="249" t="s">
        <v>904</v>
      </c>
      <c r="L29" s="252" t="s">
        <v>909</v>
      </c>
    </row>
    <row r="30" spans="1:12" ht="28" x14ac:dyDescent="0.35">
      <c r="A30" s="246">
        <v>25</v>
      </c>
      <c r="B30" s="243" t="s">
        <v>943</v>
      </c>
      <c r="C30" s="249" t="s">
        <v>921</v>
      </c>
      <c r="D30" s="249" t="s">
        <v>900</v>
      </c>
      <c r="E30" s="249"/>
      <c r="F30" s="249"/>
      <c r="G30" s="243"/>
      <c r="H30" s="249" t="s">
        <v>619</v>
      </c>
      <c r="I30" s="249" t="s">
        <v>449</v>
      </c>
      <c r="J30" s="243" t="s">
        <v>944</v>
      </c>
      <c r="K30" s="249" t="s">
        <v>904</v>
      </c>
      <c r="L30" s="252" t="s">
        <v>909</v>
      </c>
    </row>
    <row r="31" spans="1:12" ht="28" x14ac:dyDescent="0.35">
      <c r="A31" s="246">
        <v>26</v>
      </c>
      <c r="B31" s="243" t="s">
        <v>301</v>
      </c>
      <c r="C31" s="249" t="s">
        <v>921</v>
      </c>
      <c r="D31" s="249" t="s">
        <v>900</v>
      </c>
      <c r="E31" s="249"/>
      <c r="F31" s="249"/>
      <c r="G31" s="243"/>
      <c r="H31" s="249" t="s">
        <v>619</v>
      </c>
      <c r="I31" s="249" t="s">
        <v>302</v>
      </c>
      <c r="J31" s="243" t="s">
        <v>945</v>
      </c>
      <c r="K31" s="249" t="s">
        <v>904</v>
      </c>
      <c r="L31" s="252" t="s">
        <v>909</v>
      </c>
    </row>
    <row r="32" spans="1:12" ht="42" x14ac:dyDescent="0.35">
      <c r="A32" s="246">
        <v>27</v>
      </c>
      <c r="B32" s="243" t="s">
        <v>946</v>
      </c>
      <c r="C32" s="249" t="s">
        <v>921</v>
      </c>
      <c r="D32" s="249" t="s">
        <v>947</v>
      </c>
      <c r="E32" s="249"/>
      <c r="F32" s="249"/>
      <c r="G32" s="243" t="s">
        <v>948</v>
      </c>
      <c r="H32" s="249" t="s">
        <v>949</v>
      </c>
      <c r="I32" s="249"/>
      <c r="J32" s="243" t="s">
        <v>950</v>
      </c>
      <c r="K32" s="249" t="s">
        <v>904</v>
      </c>
      <c r="L32" s="252" t="s">
        <v>951</v>
      </c>
    </row>
    <row r="33" spans="1:12" x14ac:dyDescent="0.35">
      <c r="A33" s="246">
        <v>28</v>
      </c>
      <c r="B33" s="243" t="s">
        <v>952</v>
      </c>
      <c r="C33" s="249" t="s">
        <v>921</v>
      </c>
      <c r="D33" s="249" t="s">
        <v>953</v>
      </c>
      <c r="E33" s="249" t="s">
        <v>51</v>
      </c>
      <c r="F33" s="249"/>
      <c r="G33" s="243"/>
      <c r="H33" s="249"/>
      <c r="I33" s="249"/>
      <c r="J33" s="243"/>
      <c r="K33" s="249" t="s">
        <v>904</v>
      </c>
      <c r="L33" s="252" t="s">
        <v>907</v>
      </c>
    </row>
    <row r="34" spans="1:12" ht="28" x14ac:dyDescent="0.35">
      <c r="A34" s="246">
        <v>29</v>
      </c>
      <c r="B34" s="243" t="s">
        <v>954</v>
      </c>
      <c r="C34" s="249" t="s">
        <v>955</v>
      </c>
      <c r="D34" s="249" t="s">
        <v>900</v>
      </c>
      <c r="E34" s="249"/>
      <c r="F34" s="249"/>
      <c r="G34" s="243"/>
      <c r="H34" s="249" t="s">
        <v>621</v>
      </c>
      <c r="I34" s="249"/>
      <c r="J34" s="243" t="s">
        <v>956</v>
      </c>
      <c r="K34" s="249" t="s">
        <v>904</v>
      </c>
      <c r="L34" s="252" t="s">
        <v>909</v>
      </c>
    </row>
    <row r="35" spans="1:12" ht="28" x14ac:dyDescent="0.35">
      <c r="A35" s="246">
        <v>30</v>
      </c>
      <c r="B35" s="243" t="s">
        <v>417</v>
      </c>
      <c r="C35" s="249" t="s">
        <v>955</v>
      </c>
      <c r="D35" s="249" t="s">
        <v>900</v>
      </c>
      <c r="E35" s="249"/>
      <c r="F35" s="249"/>
      <c r="G35" s="243"/>
      <c r="H35" s="249" t="s">
        <v>621</v>
      </c>
      <c r="I35" s="249" t="s">
        <v>418</v>
      </c>
      <c r="J35" s="243" t="s">
        <v>957</v>
      </c>
      <c r="K35" s="249" t="s">
        <v>904</v>
      </c>
      <c r="L35" s="252" t="s">
        <v>909</v>
      </c>
    </row>
    <row r="36" spans="1:12" ht="28" x14ac:dyDescent="0.35">
      <c r="A36" s="246">
        <v>31</v>
      </c>
      <c r="B36" s="243" t="s">
        <v>289</v>
      </c>
      <c r="C36" s="249" t="s">
        <v>955</v>
      </c>
      <c r="D36" s="249" t="s">
        <v>900</v>
      </c>
      <c r="E36" s="249"/>
      <c r="F36" s="249"/>
      <c r="G36" s="243"/>
      <c r="H36" s="249" t="s">
        <v>621</v>
      </c>
      <c r="I36" s="249" t="s">
        <v>290</v>
      </c>
      <c r="J36" s="243" t="s">
        <v>958</v>
      </c>
      <c r="K36" s="249" t="s">
        <v>904</v>
      </c>
      <c r="L36" s="252" t="s">
        <v>909</v>
      </c>
    </row>
    <row r="37" spans="1:12" ht="28" x14ac:dyDescent="0.35">
      <c r="A37" s="246">
        <v>32</v>
      </c>
      <c r="B37" s="243" t="s">
        <v>272</v>
      </c>
      <c r="C37" s="249" t="s">
        <v>955</v>
      </c>
      <c r="D37" s="249" t="s">
        <v>900</v>
      </c>
      <c r="E37" s="249"/>
      <c r="F37" s="249"/>
      <c r="G37" s="243"/>
      <c r="H37" s="249" t="s">
        <v>621</v>
      </c>
      <c r="I37" s="249" t="s">
        <v>273</v>
      </c>
      <c r="J37" s="243" t="s">
        <v>959</v>
      </c>
      <c r="K37" s="249" t="s">
        <v>904</v>
      </c>
      <c r="L37" s="252" t="s">
        <v>909</v>
      </c>
    </row>
    <row r="38" spans="1:12" ht="28" x14ac:dyDescent="0.35">
      <c r="A38" s="246">
        <v>33</v>
      </c>
      <c r="B38" s="243" t="s">
        <v>960</v>
      </c>
      <c r="C38" s="249" t="s">
        <v>955</v>
      </c>
      <c r="D38" s="249" t="s">
        <v>900</v>
      </c>
      <c r="E38" s="249"/>
      <c r="F38" s="249"/>
      <c r="G38" s="243"/>
      <c r="H38" s="249" t="s">
        <v>621</v>
      </c>
      <c r="I38" s="249" t="s">
        <v>436</v>
      </c>
      <c r="J38" s="243" t="s">
        <v>961</v>
      </c>
      <c r="K38" s="249" t="s">
        <v>904</v>
      </c>
      <c r="L38" s="252" t="s">
        <v>909</v>
      </c>
    </row>
    <row r="39" spans="1:12" ht="28" x14ac:dyDescent="0.35">
      <c r="A39" s="246">
        <v>34</v>
      </c>
      <c r="B39" s="243" t="s">
        <v>962</v>
      </c>
      <c r="C39" s="249" t="s">
        <v>955</v>
      </c>
      <c r="D39" s="249" t="s">
        <v>900</v>
      </c>
      <c r="E39" s="249" t="s">
        <v>45</v>
      </c>
      <c r="F39" s="249" t="s">
        <v>901</v>
      </c>
      <c r="G39" s="243"/>
      <c r="H39" s="249" t="s">
        <v>621</v>
      </c>
      <c r="I39" s="249"/>
      <c r="J39" s="243" t="s">
        <v>963</v>
      </c>
      <c r="K39" s="249" t="s">
        <v>904</v>
      </c>
      <c r="L39" s="252" t="s">
        <v>905</v>
      </c>
    </row>
    <row r="40" spans="1:12" ht="28" x14ac:dyDescent="0.35">
      <c r="A40" s="246">
        <v>35</v>
      </c>
      <c r="B40" s="243" t="s">
        <v>283</v>
      </c>
      <c r="C40" s="249" t="s">
        <v>955</v>
      </c>
      <c r="D40" s="249" t="s">
        <v>900</v>
      </c>
      <c r="E40" s="249" t="s">
        <v>51</v>
      </c>
      <c r="F40" s="249"/>
      <c r="G40" s="243"/>
      <c r="H40" s="249" t="s">
        <v>621</v>
      </c>
      <c r="I40" s="249" t="s">
        <v>284</v>
      </c>
      <c r="J40" s="243" t="s">
        <v>964</v>
      </c>
      <c r="K40" s="249" t="s">
        <v>904</v>
      </c>
      <c r="L40" s="252" t="s">
        <v>907</v>
      </c>
    </row>
    <row r="41" spans="1:12" ht="28" x14ac:dyDescent="0.35">
      <c r="A41" s="246">
        <v>36</v>
      </c>
      <c r="B41" s="243" t="s">
        <v>444</v>
      </c>
      <c r="C41" s="249" t="s">
        <v>955</v>
      </c>
      <c r="D41" s="249" t="s">
        <v>900</v>
      </c>
      <c r="E41" s="249"/>
      <c r="F41" s="249"/>
      <c r="G41" s="243"/>
      <c r="H41" s="249" t="s">
        <v>621</v>
      </c>
      <c r="I41" s="249" t="s">
        <v>445</v>
      </c>
      <c r="J41" s="243" t="s">
        <v>965</v>
      </c>
      <c r="K41" s="249" t="s">
        <v>904</v>
      </c>
      <c r="L41" s="252" t="s">
        <v>909</v>
      </c>
    </row>
    <row r="42" spans="1:12" ht="28" x14ac:dyDescent="0.35">
      <c r="A42" s="246">
        <v>37</v>
      </c>
      <c r="B42" s="243" t="s">
        <v>421</v>
      </c>
      <c r="C42" s="249" t="s">
        <v>955</v>
      </c>
      <c r="D42" s="249" t="s">
        <v>900</v>
      </c>
      <c r="E42" s="249"/>
      <c r="F42" s="249"/>
      <c r="G42" s="243"/>
      <c r="H42" s="249" t="s">
        <v>621</v>
      </c>
      <c r="I42" s="249" t="s">
        <v>422</v>
      </c>
      <c r="J42" s="243" t="s">
        <v>966</v>
      </c>
      <c r="K42" s="249" t="s">
        <v>904</v>
      </c>
      <c r="L42" s="252" t="s">
        <v>909</v>
      </c>
    </row>
    <row r="43" spans="1:12" x14ac:dyDescent="0.35">
      <c r="A43" s="246">
        <v>38</v>
      </c>
      <c r="B43" s="243" t="s">
        <v>307</v>
      </c>
      <c r="C43" s="249" t="s">
        <v>955</v>
      </c>
      <c r="D43" s="249" t="s">
        <v>900</v>
      </c>
      <c r="E43" s="249"/>
      <c r="F43" s="249"/>
      <c r="G43" s="243"/>
      <c r="H43" s="249" t="s">
        <v>621</v>
      </c>
      <c r="I43" s="249"/>
      <c r="J43" s="243" t="s">
        <v>967</v>
      </c>
      <c r="K43" s="249" t="s">
        <v>904</v>
      </c>
      <c r="L43" s="252" t="s">
        <v>909</v>
      </c>
    </row>
    <row r="44" spans="1:12" ht="28" x14ac:dyDescent="0.35">
      <c r="A44" s="246">
        <v>39</v>
      </c>
      <c r="B44" s="243" t="s">
        <v>244</v>
      </c>
      <c r="C44" s="249" t="s">
        <v>968</v>
      </c>
      <c r="D44" s="249" t="s">
        <v>969</v>
      </c>
      <c r="E44" s="249"/>
      <c r="F44" s="249" t="s">
        <v>970</v>
      </c>
      <c r="G44" s="243" t="s">
        <v>971</v>
      </c>
      <c r="H44" s="249" t="s">
        <v>625</v>
      </c>
      <c r="I44" s="249"/>
      <c r="J44" s="243" t="s">
        <v>972</v>
      </c>
      <c r="K44" s="249" t="s">
        <v>904</v>
      </c>
      <c r="L44" s="252" t="s">
        <v>926</v>
      </c>
    </row>
    <row r="45" spans="1:12" ht="28" x14ac:dyDescent="0.35">
      <c r="A45" s="246">
        <v>40</v>
      </c>
      <c r="B45" s="243" t="s">
        <v>973</v>
      </c>
      <c r="C45" s="249" t="s">
        <v>968</v>
      </c>
      <c r="D45" s="249" t="s">
        <v>900</v>
      </c>
      <c r="E45" s="249"/>
      <c r="F45" s="249"/>
      <c r="G45" s="243"/>
      <c r="H45" s="249" t="s">
        <v>625</v>
      </c>
      <c r="I45" s="249"/>
      <c r="J45" s="243" t="s">
        <v>974</v>
      </c>
      <c r="K45" s="249" t="s">
        <v>904</v>
      </c>
      <c r="L45" s="252" t="s">
        <v>909</v>
      </c>
    </row>
    <row r="46" spans="1:12" ht="28" x14ac:dyDescent="0.35">
      <c r="A46" s="246">
        <v>41</v>
      </c>
      <c r="B46" s="243" t="s">
        <v>975</v>
      </c>
      <c r="C46" s="249" t="s">
        <v>968</v>
      </c>
      <c r="D46" s="249" t="s">
        <v>900</v>
      </c>
      <c r="E46" s="249" t="s">
        <v>45</v>
      </c>
      <c r="F46" s="249" t="s">
        <v>901</v>
      </c>
      <c r="G46" s="243"/>
      <c r="H46" s="249" t="s">
        <v>625</v>
      </c>
      <c r="I46" s="249"/>
      <c r="J46" s="243" t="s">
        <v>976</v>
      </c>
      <c r="K46" s="249" t="s">
        <v>904</v>
      </c>
      <c r="L46" s="252" t="s">
        <v>905</v>
      </c>
    </row>
    <row r="47" spans="1:12" ht="28" x14ac:dyDescent="0.35">
      <c r="A47" s="246">
        <v>42</v>
      </c>
      <c r="B47" s="243" t="s">
        <v>403</v>
      </c>
      <c r="C47" s="249" t="s">
        <v>968</v>
      </c>
      <c r="D47" s="249" t="s">
        <v>900</v>
      </c>
      <c r="E47" s="249" t="s">
        <v>51</v>
      </c>
      <c r="F47" s="249"/>
      <c r="G47" s="243"/>
      <c r="H47" s="249" t="s">
        <v>625</v>
      </c>
      <c r="I47" s="249" t="s">
        <v>404</v>
      </c>
      <c r="J47" s="243" t="s">
        <v>977</v>
      </c>
      <c r="K47" s="249" t="s">
        <v>904</v>
      </c>
      <c r="L47" s="252" t="s">
        <v>907</v>
      </c>
    </row>
    <row r="48" spans="1:12" ht="28" x14ac:dyDescent="0.35">
      <c r="A48" s="246">
        <v>43</v>
      </c>
      <c r="B48" s="243" t="s">
        <v>978</v>
      </c>
      <c r="C48" s="249" t="s">
        <v>968</v>
      </c>
      <c r="D48" s="249" t="s">
        <v>900</v>
      </c>
      <c r="E48" s="249"/>
      <c r="F48" s="249"/>
      <c r="G48" s="243"/>
      <c r="H48" s="249" t="s">
        <v>625</v>
      </c>
      <c r="I48" s="249"/>
      <c r="J48" s="243" t="s">
        <v>979</v>
      </c>
      <c r="K48" s="249" t="s">
        <v>904</v>
      </c>
      <c r="L48" s="252" t="s">
        <v>909</v>
      </c>
    </row>
    <row r="49" spans="1:12" ht="28" x14ac:dyDescent="0.35">
      <c r="A49" s="246">
        <v>44</v>
      </c>
      <c r="B49" s="243" t="s">
        <v>980</v>
      </c>
      <c r="C49" s="249" t="s">
        <v>968</v>
      </c>
      <c r="D49" s="249" t="s">
        <v>900</v>
      </c>
      <c r="E49" s="249" t="s">
        <v>51</v>
      </c>
      <c r="F49" s="249" t="s">
        <v>901</v>
      </c>
      <c r="G49" s="243"/>
      <c r="H49" s="249" t="s">
        <v>625</v>
      </c>
      <c r="I49" s="249"/>
      <c r="J49" s="243" t="s">
        <v>981</v>
      </c>
      <c r="K49" s="249" t="s">
        <v>904</v>
      </c>
      <c r="L49" s="252" t="s">
        <v>905</v>
      </c>
    </row>
    <row r="50" spans="1:12" ht="28" x14ac:dyDescent="0.35">
      <c r="A50" s="246">
        <v>45</v>
      </c>
      <c r="B50" s="243" t="s">
        <v>304</v>
      </c>
      <c r="C50" s="249" t="s">
        <v>968</v>
      </c>
      <c r="D50" s="249" t="s">
        <v>900</v>
      </c>
      <c r="E50" s="249"/>
      <c r="F50" s="249"/>
      <c r="G50" s="243"/>
      <c r="H50" s="249" t="s">
        <v>625</v>
      </c>
      <c r="I50" s="249" t="s">
        <v>305</v>
      </c>
      <c r="J50" s="243" t="s">
        <v>982</v>
      </c>
      <c r="K50" s="249" t="s">
        <v>904</v>
      </c>
      <c r="L50" s="252" t="s">
        <v>909</v>
      </c>
    </row>
    <row r="51" spans="1:12" ht="28" x14ac:dyDescent="0.35">
      <c r="A51" s="246">
        <v>46</v>
      </c>
      <c r="B51" s="243" t="s">
        <v>317</v>
      </c>
      <c r="C51" s="249" t="s">
        <v>968</v>
      </c>
      <c r="D51" s="249" t="s">
        <v>900</v>
      </c>
      <c r="E51" s="249"/>
      <c r="F51" s="249"/>
      <c r="G51" s="243"/>
      <c r="H51" s="249" t="s">
        <v>625</v>
      </c>
      <c r="I51" s="249" t="s">
        <v>318</v>
      </c>
      <c r="J51" s="243" t="s">
        <v>983</v>
      </c>
      <c r="K51" s="249" t="s">
        <v>904</v>
      </c>
      <c r="L51" s="252" t="s">
        <v>909</v>
      </c>
    </row>
    <row r="52" spans="1:12" ht="28" x14ac:dyDescent="0.35">
      <c r="A52" s="246">
        <v>47</v>
      </c>
      <c r="B52" s="243" t="s">
        <v>984</v>
      </c>
      <c r="C52" s="249" t="s">
        <v>968</v>
      </c>
      <c r="D52" s="249" t="s">
        <v>900</v>
      </c>
      <c r="E52" s="249"/>
      <c r="F52" s="249"/>
      <c r="G52" s="243"/>
      <c r="H52" s="249" t="s">
        <v>630</v>
      </c>
      <c r="I52" s="249"/>
      <c r="J52" s="243" t="s">
        <v>985</v>
      </c>
      <c r="K52" s="249" t="s">
        <v>904</v>
      </c>
      <c r="L52" s="252" t="s">
        <v>909</v>
      </c>
    </row>
    <row r="53" spans="1:12" ht="28" x14ac:dyDescent="0.35">
      <c r="A53" s="246">
        <v>48</v>
      </c>
      <c r="B53" s="243" t="s">
        <v>375</v>
      </c>
      <c r="C53" s="249" t="s">
        <v>968</v>
      </c>
      <c r="D53" s="249" t="s">
        <v>900</v>
      </c>
      <c r="E53" s="249"/>
      <c r="F53" s="249"/>
      <c r="G53" s="243"/>
      <c r="H53" s="249" t="s">
        <v>625</v>
      </c>
      <c r="I53" s="249" t="s">
        <v>376</v>
      </c>
      <c r="J53" s="243" t="s">
        <v>986</v>
      </c>
      <c r="K53" s="249" t="s">
        <v>904</v>
      </c>
      <c r="L53" s="252" t="s">
        <v>909</v>
      </c>
    </row>
    <row r="54" spans="1:12" ht="28" x14ac:dyDescent="0.35">
      <c r="A54" s="246">
        <v>49</v>
      </c>
      <c r="B54" s="243" t="s">
        <v>277</v>
      </c>
      <c r="C54" s="249" t="s">
        <v>968</v>
      </c>
      <c r="D54" s="249" t="s">
        <v>900</v>
      </c>
      <c r="E54" s="249"/>
      <c r="F54" s="249"/>
      <c r="G54" s="243"/>
      <c r="H54" s="249" t="s">
        <v>625</v>
      </c>
      <c r="I54" s="249" t="s">
        <v>278</v>
      </c>
      <c r="J54" s="243" t="s">
        <v>987</v>
      </c>
      <c r="K54" s="249" t="s">
        <v>904</v>
      </c>
      <c r="L54" s="252" t="s">
        <v>909</v>
      </c>
    </row>
    <row r="55" spans="1:12" ht="28" x14ac:dyDescent="0.35">
      <c r="A55" s="246">
        <v>50</v>
      </c>
      <c r="B55" s="243" t="s">
        <v>379</v>
      </c>
      <c r="C55" s="249" t="s">
        <v>968</v>
      </c>
      <c r="D55" s="249" t="s">
        <v>900</v>
      </c>
      <c r="E55" s="249"/>
      <c r="F55" s="249"/>
      <c r="G55" s="243"/>
      <c r="H55" s="249" t="s">
        <v>625</v>
      </c>
      <c r="I55" s="249" t="s">
        <v>380</v>
      </c>
      <c r="J55" s="243" t="s">
        <v>988</v>
      </c>
      <c r="K55" s="249" t="s">
        <v>904</v>
      </c>
      <c r="L55" s="252" t="s">
        <v>909</v>
      </c>
    </row>
    <row r="56" spans="1:12" ht="42" x14ac:dyDescent="0.35">
      <c r="A56" s="246">
        <v>51</v>
      </c>
      <c r="B56" s="243" t="s">
        <v>989</v>
      </c>
      <c r="C56" s="249" t="s">
        <v>968</v>
      </c>
      <c r="D56" s="249" t="s">
        <v>900</v>
      </c>
      <c r="E56" s="249"/>
      <c r="F56" s="249"/>
      <c r="G56" s="243"/>
      <c r="H56" s="249" t="s">
        <v>625</v>
      </c>
      <c r="I56" s="249"/>
      <c r="J56" s="243" t="s">
        <v>990</v>
      </c>
      <c r="K56" s="249" t="s">
        <v>904</v>
      </c>
      <c r="L56" s="252" t="s">
        <v>909</v>
      </c>
    </row>
    <row r="57" spans="1:12" ht="28" x14ac:dyDescent="0.35">
      <c r="A57" s="246">
        <v>52</v>
      </c>
      <c r="B57" s="243" t="s">
        <v>280</v>
      </c>
      <c r="C57" s="249" t="s">
        <v>991</v>
      </c>
      <c r="D57" s="249" t="s">
        <v>900</v>
      </c>
      <c r="E57" s="249"/>
      <c r="F57" s="249"/>
      <c r="G57" s="243"/>
      <c r="H57" s="249" t="s">
        <v>626</v>
      </c>
      <c r="I57" s="249" t="s">
        <v>281</v>
      </c>
      <c r="J57" s="243" t="s">
        <v>992</v>
      </c>
      <c r="K57" s="249" t="s">
        <v>904</v>
      </c>
      <c r="L57" s="252" t="s">
        <v>909</v>
      </c>
    </row>
    <row r="58" spans="1:12" x14ac:dyDescent="0.35">
      <c r="A58" s="246">
        <v>53</v>
      </c>
      <c r="B58" s="243" t="s">
        <v>993</v>
      </c>
      <c r="C58" s="249" t="s">
        <v>991</v>
      </c>
      <c r="D58" s="249" t="s">
        <v>900</v>
      </c>
      <c r="E58" s="249" t="s">
        <v>45</v>
      </c>
      <c r="F58" s="249" t="s">
        <v>901</v>
      </c>
      <c r="G58" s="243"/>
      <c r="H58" s="249" t="s">
        <v>626</v>
      </c>
      <c r="I58" s="249"/>
      <c r="J58" s="243" t="s">
        <v>994</v>
      </c>
      <c r="K58" s="249" t="s">
        <v>904</v>
      </c>
      <c r="L58" s="252" t="s">
        <v>905</v>
      </c>
    </row>
    <row r="59" spans="1:12" x14ac:dyDescent="0.35">
      <c r="A59" s="246">
        <v>54</v>
      </c>
      <c r="B59" s="243" t="s">
        <v>359</v>
      </c>
      <c r="C59" s="249" t="s">
        <v>991</v>
      </c>
      <c r="D59" s="249" t="s">
        <v>900</v>
      </c>
      <c r="E59" s="249"/>
      <c r="F59" s="249"/>
      <c r="G59" s="243"/>
      <c r="H59" s="249" t="s">
        <v>626</v>
      </c>
      <c r="I59" s="249" t="s">
        <v>360</v>
      </c>
      <c r="J59" s="243" t="s">
        <v>995</v>
      </c>
      <c r="K59" s="249" t="s">
        <v>904</v>
      </c>
      <c r="L59" s="252" t="s">
        <v>909</v>
      </c>
    </row>
    <row r="60" spans="1:12" ht="28" x14ac:dyDescent="0.35">
      <c r="A60" s="246">
        <v>55</v>
      </c>
      <c r="B60" s="243" t="s">
        <v>372</v>
      </c>
      <c r="C60" s="249" t="s">
        <v>991</v>
      </c>
      <c r="D60" s="249" t="s">
        <v>900</v>
      </c>
      <c r="E60" s="249"/>
      <c r="F60" s="249"/>
      <c r="G60" s="243"/>
      <c r="H60" s="249" t="s">
        <v>626</v>
      </c>
      <c r="I60" s="249" t="s">
        <v>373</v>
      </c>
      <c r="J60" s="243" t="s">
        <v>996</v>
      </c>
      <c r="K60" s="249" t="s">
        <v>904</v>
      </c>
      <c r="L60" s="252" t="s">
        <v>909</v>
      </c>
    </row>
    <row r="61" spans="1:12" x14ac:dyDescent="0.35">
      <c r="A61" s="246">
        <v>56</v>
      </c>
      <c r="B61" s="243" t="s">
        <v>286</v>
      </c>
      <c r="C61" s="249" t="s">
        <v>991</v>
      </c>
      <c r="D61" s="249" t="s">
        <v>900</v>
      </c>
      <c r="E61" s="249"/>
      <c r="F61" s="249"/>
      <c r="G61" s="243"/>
      <c r="H61" s="249" t="s">
        <v>626</v>
      </c>
      <c r="I61" s="249" t="s">
        <v>287</v>
      </c>
      <c r="J61" s="243" t="s">
        <v>997</v>
      </c>
      <c r="K61" s="249" t="s">
        <v>904</v>
      </c>
      <c r="L61" s="252" t="s">
        <v>909</v>
      </c>
    </row>
    <row r="62" spans="1:12" ht="28" x14ac:dyDescent="0.35">
      <c r="A62" s="246">
        <v>57</v>
      </c>
      <c r="B62" s="243" t="s">
        <v>366</v>
      </c>
      <c r="C62" s="249" t="s">
        <v>991</v>
      </c>
      <c r="D62" s="249" t="s">
        <v>900</v>
      </c>
      <c r="E62" s="249"/>
      <c r="F62" s="249"/>
      <c r="G62" s="243"/>
      <c r="H62" s="249" t="s">
        <v>626</v>
      </c>
      <c r="I62" s="249" t="s">
        <v>367</v>
      </c>
      <c r="J62" s="243" t="s">
        <v>998</v>
      </c>
      <c r="K62" s="249" t="s">
        <v>904</v>
      </c>
      <c r="L62" s="252" t="s">
        <v>909</v>
      </c>
    </row>
    <row r="63" spans="1:12" ht="28" x14ac:dyDescent="0.35">
      <c r="A63" s="246">
        <v>58</v>
      </c>
      <c r="B63" s="243" t="s">
        <v>394</v>
      </c>
      <c r="C63" s="249" t="s">
        <v>991</v>
      </c>
      <c r="D63" s="249" t="s">
        <v>900</v>
      </c>
      <c r="E63" s="249" t="s">
        <v>51</v>
      </c>
      <c r="F63" s="249" t="s">
        <v>999</v>
      </c>
      <c r="G63" s="243" t="s">
        <v>1000</v>
      </c>
      <c r="H63" s="249" t="s">
        <v>626</v>
      </c>
      <c r="I63" s="249" t="s">
        <v>395</v>
      </c>
      <c r="J63" s="243" t="s">
        <v>1001</v>
      </c>
      <c r="K63" s="249" t="s">
        <v>904</v>
      </c>
      <c r="L63" s="252" t="s">
        <v>1002</v>
      </c>
    </row>
    <row r="64" spans="1:12" ht="28" x14ac:dyDescent="0.35">
      <c r="A64" s="246">
        <v>59</v>
      </c>
      <c r="B64" s="243" t="s">
        <v>355</v>
      </c>
      <c r="C64" s="249" t="s">
        <v>1003</v>
      </c>
      <c r="D64" s="249" t="s">
        <v>900</v>
      </c>
      <c r="E64" s="249"/>
      <c r="F64" s="249"/>
      <c r="G64" s="243"/>
      <c r="H64" s="249" t="s">
        <v>627</v>
      </c>
      <c r="I64" s="249" t="s">
        <v>356</v>
      </c>
      <c r="J64" s="243" t="s">
        <v>1004</v>
      </c>
      <c r="K64" s="249" t="s">
        <v>904</v>
      </c>
      <c r="L64" s="252" t="s">
        <v>909</v>
      </c>
    </row>
    <row r="65" spans="1:12" ht="28" x14ac:dyDescent="0.35">
      <c r="A65" s="246">
        <v>60</v>
      </c>
      <c r="B65" s="243" t="s">
        <v>326</v>
      </c>
      <c r="C65" s="249" t="s">
        <v>1003</v>
      </c>
      <c r="D65" s="249" t="s">
        <v>900</v>
      </c>
      <c r="E65" s="249"/>
      <c r="F65" s="249"/>
      <c r="G65" s="243"/>
      <c r="H65" s="249" t="s">
        <v>627</v>
      </c>
      <c r="I65" s="249" t="s">
        <v>327</v>
      </c>
      <c r="J65" s="243" t="s">
        <v>1005</v>
      </c>
      <c r="K65" s="249" t="s">
        <v>904</v>
      </c>
      <c r="L65" s="252" t="s">
        <v>909</v>
      </c>
    </row>
    <row r="66" spans="1:12" ht="28" x14ac:dyDescent="0.35">
      <c r="A66" s="246">
        <v>61</v>
      </c>
      <c r="B66" s="243" t="s">
        <v>263</v>
      </c>
      <c r="C66" s="249" t="s">
        <v>1003</v>
      </c>
      <c r="D66" s="249" t="s">
        <v>900</v>
      </c>
      <c r="E66" s="249"/>
      <c r="F66" s="249"/>
      <c r="G66" s="243"/>
      <c r="H66" s="249" t="s">
        <v>627</v>
      </c>
      <c r="I66" s="249" t="s">
        <v>264</v>
      </c>
      <c r="J66" s="243" t="s">
        <v>1006</v>
      </c>
      <c r="K66" s="249" t="s">
        <v>904</v>
      </c>
      <c r="L66" s="252" t="s">
        <v>909</v>
      </c>
    </row>
    <row r="67" spans="1:12" ht="28" x14ac:dyDescent="0.35">
      <c r="A67" s="246">
        <v>62</v>
      </c>
      <c r="B67" s="243" t="s">
        <v>425</v>
      </c>
      <c r="C67" s="249" t="s">
        <v>1003</v>
      </c>
      <c r="D67" s="249" t="s">
        <v>900</v>
      </c>
      <c r="E67" s="249"/>
      <c r="F67" s="249"/>
      <c r="G67" s="243"/>
      <c r="H67" s="249" t="s">
        <v>627</v>
      </c>
      <c r="I67" s="249" t="s">
        <v>426</v>
      </c>
      <c r="J67" s="243" t="s">
        <v>1007</v>
      </c>
      <c r="K67" s="249" t="s">
        <v>904</v>
      </c>
      <c r="L67" s="252" t="s">
        <v>909</v>
      </c>
    </row>
    <row r="68" spans="1:12" ht="28" x14ac:dyDescent="0.35">
      <c r="A68" s="246">
        <v>63</v>
      </c>
      <c r="B68" s="243" t="s">
        <v>269</v>
      </c>
      <c r="C68" s="249" t="s">
        <v>1003</v>
      </c>
      <c r="D68" s="249" t="s">
        <v>900</v>
      </c>
      <c r="E68" s="249"/>
      <c r="F68" s="249"/>
      <c r="G68" s="243"/>
      <c r="H68" s="249" t="s">
        <v>627</v>
      </c>
      <c r="I68" s="249" t="s">
        <v>270</v>
      </c>
      <c r="J68" s="243" t="s">
        <v>1008</v>
      </c>
      <c r="K68" s="249" t="s">
        <v>904</v>
      </c>
      <c r="L68" s="252" t="s">
        <v>909</v>
      </c>
    </row>
    <row r="69" spans="1:12" ht="28" x14ac:dyDescent="0.35">
      <c r="A69" s="246">
        <v>64</v>
      </c>
      <c r="B69" s="243" t="s">
        <v>1009</v>
      </c>
      <c r="C69" s="249" t="s">
        <v>1003</v>
      </c>
      <c r="D69" s="249" t="s">
        <v>900</v>
      </c>
      <c r="E69" s="249" t="s">
        <v>45</v>
      </c>
      <c r="F69" s="249" t="s">
        <v>901</v>
      </c>
      <c r="G69" s="243"/>
      <c r="H69" s="249" t="s">
        <v>627</v>
      </c>
      <c r="I69" s="249"/>
      <c r="J69" s="243" t="s">
        <v>1010</v>
      </c>
      <c r="K69" s="249" t="s">
        <v>904</v>
      </c>
      <c r="L69" s="252" t="s">
        <v>905</v>
      </c>
    </row>
    <row r="70" spans="1:12" ht="28" x14ac:dyDescent="0.35">
      <c r="A70" s="246">
        <v>65</v>
      </c>
      <c r="B70" s="243" t="s">
        <v>1011</v>
      </c>
      <c r="C70" s="249" t="s">
        <v>1012</v>
      </c>
      <c r="D70" s="249" t="s">
        <v>900</v>
      </c>
      <c r="E70" s="249" t="s">
        <v>45</v>
      </c>
      <c r="F70" s="249" t="s">
        <v>901</v>
      </c>
      <c r="G70" s="243"/>
      <c r="H70" s="249" t="s">
        <v>631</v>
      </c>
      <c r="I70" s="249"/>
      <c r="J70" s="243" t="s">
        <v>1013</v>
      </c>
      <c r="K70" s="249" t="s">
        <v>904</v>
      </c>
      <c r="L70" s="252" t="s">
        <v>905</v>
      </c>
    </row>
    <row r="71" spans="1:12" ht="42" x14ac:dyDescent="0.35">
      <c r="A71" s="246">
        <v>66</v>
      </c>
      <c r="B71" s="243" t="s">
        <v>1014</v>
      </c>
      <c r="C71" s="249" t="s">
        <v>1012</v>
      </c>
      <c r="D71" s="249" t="s">
        <v>900</v>
      </c>
      <c r="E71" s="249"/>
      <c r="F71" s="249"/>
      <c r="G71" s="243"/>
      <c r="H71" s="249" t="s">
        <v>631</v>
      </c>
      <c r="I71" s="249"/>
      <c r="J71" s="243" t="s">
        <v>1015</v>
      </c>
      <c r="K71" s="249" t="s">
        <v>904</v>
      </c>
      <c r="L71" s="252" t="s">
        <v>909</v>
      </c>
    </row>
    <row r="72" spans="1:12" ht="42" x14ac:dyDescent="0.35">
      <c r="A72" s="246">
        <v>67</v>
      </c>
      <c r="B72" s="243" t="s">
        <v>369</v>
      </c>
      <c r="C72" s="249" t="s">
        <v>1012</v>
      </c>
      <c r="D72" s="249" t="s">
        <v>900</v>
      </c>
      <c r="E72" s="249"/>
      <c r="F72" s="249"/>
      <c r="G72" s="243"/>
      <c r="H72" s="249" t="s">
        <v>631</v>
      </c>
      <c r="I72" s="249" t="s">
        <v>370</v>
      </c>
      <c r="J72" s="243" t="s">
        <v>1016</v>
      </c>
      <c r="K72" s="249" t="s">
        <v>904</v>
      </c>
      <c r="L72" s="252" t="s">
        <v>909</v>
      </c>
    </row>
    <row r="73" spans="1:12" ht="42" x14ac:dyDescent="0.35">
      <c r="A73" s="246">
        <v>68</v>
      </c>
      <c r="B73" s="243" t="s">
        <v>1017</v>
      </c>
      <c r="C73" s="249" t="s">
        <v>1012</v>
      </c>
      <c r="D73" s="249" t="s">
        <v>900</v>
      </c>
      <c r="E73" s="249"/>
      <c r="F73" s="249"/>
      <c r="G73" s="243"/>
      <c r="H73" s="249" t="s">
        <v>631</v>
      </c>
      <c r="I73" s="249"/>
      <c r="J73" s="243" t="s">
        <v>1018</v>
      </c>
      <c r="K73" s="249" t="s">
        <v>904</v>
      </c>
      <c r="L73" s="252" t="s">
        <v>909</v>
      </c>
    </row>
    <row r="74" spans="1:12" ht="42" x14ac:dyDescent="0.35">
      <c r="A74" s="246">
        <v>69</v>
      </c>
      <c r="B74" s="243" t="s">
        <v>1019</v>
      </c>
      <c r="C74" s="249" t="s">
        <v>1012</v>
      </c>
      <c r="D74" s="249" t="s">
        <v>900</v>
      </c>
      <c r="E74" s="249"/>
      <c r="F74" s="249"/>
      <c r="G74" s="243"/>
      <c r="H74" s="249" t="s">
        <v>631</v>
      </c>
      <c r="I74" s="249" t="s">
        <v>308</v>
      </c>
      <c r="J74" s="243" t="s">
        <v>1020</v>
      </c>
      <c r="K74" s="249" t="s">
        <v>904</v>
      </c>
      <c r="L74" s="252" t="s">
        <v>909</v>
      </c>
    </row>
    <row r="75" spans="1:12" ht="28" x14ac:dyDescent="0.35">
      <c r="A75" s="246">
        <v>70</v>
      </c>
      <c r="B75" s="243" t="s">
        <v>1021</v>
      </c>
      <c r="C75" s="249" t="s">
        <v>1022</v>
      </c>
      <c r="D75" s="249" t="s">
        <v>900</v>
      </c>
      <c r="E75" s="249"/>
      <c r="F75" s="249"/>
      <c r="G75" s="243"/>
      <c r="H75" s="249" t="s">
        <v>622</v>
      </c>
      <c r="I75" s="249"/>
      <c r="J75" s="243" t="s">
        <v>1023</v>
      </c>
      <c r="K75" s="249" t="s">
        <v>904</v>
      </c>
      <c r="L75" s="252" t="s">
        <v>909</v>
      </c>
    </row>
    <row r="76" spans="1:12" ht="28" x14ac:dyDescent="0.35">
      <c r="A76" s="246">
        <v>71</v>
      </c>
      <c r="B76" s="243" t="s">
        <v>1024</v>
      </c>
      <c r="C76" s="249" t="s">
        <v>1022</v>
      </c>
      <c r="D76" s="249" t="s">
        <v>900</v>
      </c>
      <c r="E76" s="249"/>
      <c r="F76" s="249"/>
      <c r="G76" s="243"/>
      <c r="H76" s="249" t="s">
        <v>622</v>
      </c>
      <c r="I76" s="249"/>
      <c r="J76" s="243" t="s">
        <v>1025</v>
      </c>
      <c r="K76" s="249" t="s">
        <v>904</v>
      </c>
      <c r="L76" s="252" t="s">
        <v>909</v>
      </c>
    </row>
    <row r="77" spans="1:12" ht="28" x14ac:dyDescent="0.35">
      <c r="A77" s="246">
        <v>72</v>
      </c>
      <c r="B77" s="243" t="s">
        <v>347</v>
      </c>
      <c r="C77" s="249" t="s">
        <v>1022</v>
      </c>
      <c r="D77" s="249" t="s">
        <v>900</v>
      </c>
      <c r="E77" s="249"/>
      <c r="F77" s="249" t="s">
        <v>901</v>
      </c>
      <c r="G77" s="243"/>
      <c r="H77" s="249" t="s">
        <v>622</v>
      </c>
      <c r="I77" s="249" t="s">
        <v>348</v>
      </c>
      <c r="J77" s="243" t="s">
        <v>1026</v>
      </c>
      <c r="K77" s="249" t="s">
        <v>904</v>
      </c>
      <c r="L77" s="252" t="s">
        <v>1027</v>
      </c>
    </row>
    <row r="78" spans="1:12" ht="28" x14ac:dyDescent="0.35">
      <c r="A78" s="246">
        <v>73</v>
      </c>
      <c r="B78" s="243" t="s">
        <v>1028</v>
      </c>
      <c r="C78" s="249" t="s">
        <v>1022</v>
      </c>
      <c r="D78" s="249" t="s">
        <v>900</v>
      </c>
      <c r="E78" s="249" t="s">
        <v>45</v>
      </c>
      <c r="F78" s="249" t="s">
        <v>901</v>
      </c>
      <c r="G78" s="243"/>
      <c r="H78" s="249" t="s">
        <v>622</v>
      </c>
      <c r="I78" s="249"/>
      <c r="J78" s="243" t="s">
        <v>1029</v>
      </c>
      <c r="K78" s="249" t="s">
        <v>904</v>
      </c>
      <c r="L78" s="252" t="s">
        <v>905</v>
      </c>
    </row>
    <row r="79" spans="1:12" ht="28" x14ac:dyDescent="0.35">
      <c r="A79" s="246">
        <v>74</v>
      </c>
      <c r="B79" s="243" t="s">
        <v>1030</v>
      </c>
      <c r="C79" s="249" t="s">
        <v>1022</v>
      </c>
      <c r="D79" s="249" t="s">
        <v>900</v>
      </c>
      <c r="E79" s="249"/>
      <c r="F79" s="249"/>
      <c r="G79" s="243"/>
      <c r="H79" s="249" t="s">
        <v>622</v>
      </c>
      <c r="I79" s="249"/>
      <c r="J79" s="243" t="s">
        <v>1031</v>
      </c>
      <c r="K79" s="249" t="s">
        <v>904</v>
      </c>
      <c r="L79" s="252" t="s">
        <v>909</v>
      </c>
    </row>
    <row r="80" spans="1:12" ht="28" x14ac:dyDescent="0.35">
      <c r="A80" s="246">
        <v>75</v>
      </c>
      <c r="B80" s="243" t="s">
        <v>1032</v>
      </c>
      <c r="C80" s="249" t="s">
        <v>1033</v>
      </c>
      <c r="D80" s="249" t="s">
        <v>900</v>
      </c>
      <c r="E80" s="249"/>
      <c r="F80" s="249"/>
      <c r="G80" s="243"/>
      <c r="H80" s="249" t="s">
        <v>628</v>
      </c>
      <c r="I80" s="249"/>
      <c r="J80" s="243" t="s">
        <v>1034</v>
      </c>
      <c r="K80" s="249" t="s">
        <v>904</v>
      </c>
      <c r="L80" s="252" t="s">
        <v>909</v>
      </c>
    </row>
    <row r="81" spans="1:12" ht="28" x14ac:dyDescent="0.35">
      <c r="A81" s="246">
        <v>76</v>
      </c>
      <c r="B81" s="243" t="s">
        <v>1035</v>
      </c>
      <c r="C81" s="249" t="s">
        <v>1033</v>
      </c>
      <c r="D81" s="249" t="s">
        <v>900</v>
      </c>
      <c r="E81" s="249" t="s">
        <v>45</v>
      </c>
      <c r="F81" s="249" t="s">
        <v>901</v>
      </c>
      <c r="G81" s="243"/>
      <c r="H81" s="249" t="s">
        <v>628</v>
      </c>
      <c r="I81" s="249"/>
      <c r="J81" s="243" t="s">
        <v>1036</v>
      </c>
      <c r="K81" s="249" t="s">
        <v>904</v>
      </c>
      <c r="L81" s="252" t="s">
        <v>905</v>
      </c>
    </row>
    <row r="82" spans="1:12" ht="28" x14ac:dyDescent="0.35">
      <c r="A82" s="246">
        <v>77</v>
      </c>
      <c r="B82" s="243" t="s">
        <v>1037</v>
      </c>
      <c r="C82" s="249" t="s">
        <v>1033</v>
      </c>
      <c r="D82" s="249" t="s">
        <v>900</v>
      </c>
      <c r="E82" s="249"/>
      <c r="F82" s="249"/>
      <c r="G82" s="243"/>
      <c r="H82" s="249" t="s">
        <v>628</v>
      </c>
      <c r="I82" s="249"/>
      <c r="J82" s="243" t="s">
        <v>1038</v>
      </c>
      <c r="K82" s="249" t="s">
        <v>904</v>
      </c>
      <c r="L82" s="252" t="s">
        <v>909</v>
      </c>
    </row>
    <row r="83" spans="1:12" ht="28" x14ac:dyDescent="0.35">
      <c r="A83" s="246">
        <v>78</v>
      </c>
      <c r="B83" s="243" t="s">
        <v>1039</v>
      </c>
      <c r="C83" s="249" t="s">
        <v>1033</v>
      </c>
      <c r="D83" s="249" t="s">
        <v>900</v>
      </c>
      <c r="E83" s="249"/>
      <c r="F83" s="249"/>
      <c r="G83" s="243"/>
      <c r="H83" s="249" t="s">
        <v>628</v>
      </c>
      <c r="I83" s="249"/>
      <c r="J83" s="243" t="s">
        <v>1040</v>
      </c>
      <c r="K83" s="249" t="s">
        <v>904</v>
      </c>
      <c r="L83" s="252" t="s">
        <v>909</v>
      </c>
    </row>
    <row r="84" spans="1:12" ht="28" x14ac:dyDescent="0.35">
      <c r="A84" s="246">
        <v>79</v>
      </c>
      <c r="B84" s="243" t="s">
        <v>338</v>
      </c>
      <c r="C84" s="249" t="s">
        <v>1041</v>
      </c>
      <c r="D84" s="249" t="s">
        <v>900</v>
      </c>
      <c r="E84" s="249"/>
      <c r="F84" s="249"/>
      <c r="G84" s="243"/>
      <c r="H84" s="249" t="s">
        <v>72</v>
      </c>
      <c r="I84" s="249" t="s">
        <v>339</v>
      </c>
      <c r="J84" s="243" t="s">
        <v>1042</v>
      </c>
      <c r="K84" s="249" t="s">
        <v>904</v>
      </c>
      <c r="L84" s="252" t="s">
        <v>909</v>
      </c>
    </row>
    <row r="85" spans="1:12" ht="28" x14ac:dyDescent="0.35">
      <c r="A85" s="246">
        <v>80</v>
      </c>
      <c r="B85" s="243" t="s">
        <v>391</v>
      </c>
      <c r="C85" s="249" t="s">
        <v>1041</v>
      </c>
      <c r="D85" s="249" t="s">
        <v>900</v>
      </c>
      <c r="E85" s="249"/>
      <c r="F85" s="249"/>
      <c r="G85" s="243"/>
      <c r="H85" s="249" t="s">
        <v>72</v>
      </c>
      <c r="I85" s="249" t="s">
        <v>392</v>
      </c>
      <c r="J85" s="243" t="s">
        <v>1043</v>
      </c>
      <c r="K85" s="249" t="s">
        <v>904</v>
      </c>
      <c r="L85" s="252" t="s">
        <v>909</v>
      </c>
    </row>
    <row r="86" spans="1:12" ht="28" x14ac:dyDescent="0.35">
      <c r="A86" s="246">
        <v>81</v>
      </c>
      <c r="B86" s="243" t="s">
        <v>1044</v>
      </c>
      <c r="C86" s="249" t="s">
        <v>1041</v>
      </c>
      <c r="D86" s="249" t="s">
        <v>900</v>
      </c>
      <c r="E86" s="249" t="s">
        <v>45</v>
      </c>
      <c r="F86" s="249" t="s">
        <v>901</v>
      </c>
      <c r="G86" s="243"/>
      <c r="H86" s="249" t="s">
        <v>72</v>
      </c>
      <c r="I86" s="249"/>
      <c r="J86" s="243" t="s">
        <v>1045</v>
      </c>
      <c r="K86" s="249" t="s">
        <v>904</v>
      </c>
      <c r="L86" s="252" t="s">
        <v>905</v>
      </c>
    </row>
    <row r="87" spans="1:12" ht="28" x14ac:dyDescent="0.35">
      <c r="A87" s="246">
        <v>82</v>
      </c>
      <c r="B87" s="243" t="s">
        <v>1046</v>
      </c>
      <c r="C87" s="249" t="s">
        <v>1041</v>
      </c>
      <c r="D87" s="249" t="s">
        <v>900</v>
      </c>
      <c r="E87" s="249"/>
      <c r="F87" s="249"/>
      <c r="G87" s="243"/>
      <c r="H87" s="249" t="s">
        <v>72</v>
      </c>
      <c r="I87" s="249"/>
      <c r="J87" s="243" t="s">
        <v>1047</v>
      </c>
      <c r="K87" s="249" t="s">
        <v>904</v>
      </c>
      <c r="L87" s="252" t="s">
        <v>909</v>
      </c>
    </row>
    <row r="88" spans="1:12" ht="42" x14ac:dyDescent="0.35">
      <c r="A88" s="246">
        <v>83</v>
      </c>
      <c r="B88" s="243" t="s">
        <v>1048</v>
      </c>
      <c r="C88" s="249" t="s">
        <v>1049</v>
      </c>
      <c r="D88" s="249" t="s">
        <v>900</v>
      </c>
      <c r="E88" s="249"/>
      <c r="F88" s="249"/>
      <c r="G88" s="243"/>
      <c r="H88" s="249" t="s">
        <v>458</v>
      </c>
      <c r="I88" s="249"/>
      <c r="J88" s="243" t="s">
        <v>1050</v>
      </c>
      <c r="K88" s="249" t="s">
        <v>904</v>
      </c>
      <c r="L88" s="252" t="s">
        <v>909</v>
      </c>
    </row>
    <row r="89" spans="1:12" ht="42" x14ac:dyDescent="0.35">
      <c r="A89" s="246">
        <v>84</v>
      </c>
      <c r="B89" s="243" t="s">
        <v>1051</v>
      </c>
      <c r="C89" s="249" t="s">
        <v>1049</v>
      </c>
      <c r="D89" s="249" t="s">
        <v>900</v>
      </c>
      <c r="E89" s="249" t="s">
        <v>45</v>
      </c>
      <c r="F89" s="249" t="s">
        <v>901</v>
      </c>
      <c r="G89" s="243"/>
      <c r="H89" s="249" t="s">
        <v>458</v>
      </c>
      <c r="I89" s="249"/>
      <c r="J89" s="243" t="s">
        <v>1052</v>
      </c>
      <c r="K89" s="249" t="s">
        <v>904</v>
      </c>
      <c r="L89" s="252" t="s">
        <v>905</v>
      </c>
    </row>
    <row r="90" spans="1:12" ht="42" x14ac:dyDescent="0.35">
      <c r="A90" s="246">
        <v>85</v>
      </c>
      <c r="B90" s="243" t="s">
        <v>1053</v>
      </c>
      <c r="C90" s="249" t="s">
        <v>1049</v>
      </c>
      <c r="D90" s="249" t="s">
        <v>900</v>
      </c>
      <c r="E90" s="249"/>
      <c r="F90" s="249"/>
      <c r="G90" s="243"/>
      <c r="H90" s="249" t="s">
        <v>458</v>
      </c>
      <c r="I90" s="249"/>
      <c r="J90" s="243" t="s">
        <v>1054</v>
      </c>
      <c r="K90" s="249" t="s">
        <v>904</v>
      </c>
      <c r="L90" s="252" t="s">
        <v>909</v>
      </c>
    </row>
    <row r="91" spans="1:12" ht="42" x14ac:dyDescent="0.35">
      <c r="A91" s="246">
        <v>86</v>
      </c>
      <c r="B91" s="243" t="s">
        <v>1055</v>
      </c>
      <c r="C91" s="249" t="s">
        <v>1049</v>
      </c>
      <c r="D91" s="249" t="s">
        <v>900</v>
      </c>
      <c r="E91" s="249"/>
      <c r="F91" s="249"/>
      <c r="G91" s="243"/>
      <c r="H91" s="249" t="s">
        <v>458</v>
      </c>
      <c r="I91" s="249"/>
      <c r="J91" s="243" t="s">
        <v>1056</v>
      </c>
      <c r="K91" s="249" t="s">
        <v>904</v>
      </c>
      <c r="L91" s="252" t="s">
        <v>909</v>
      </c>
    </row>
    <row r="92" spans="1:12" ht="42" x14ac:dyDescent="0.35">
      <c r="A92" s="246">
        <v>87</v>
      </c>
      <c r="B92" s="243" t="s">
        <v>1057</v>
      </c>
      <c r="C92" s="249" t="s">
        <v>1049</v>
      </c>
      <c r="D92" s="249" t="s">
        <v>900</v>
      </c>
      <c r="E92" s="249"/>
      <c r="F92" s="249"/>
      <c r="G92" s="243"/>
      <c r="H92" s="249" t="s">
        <v>458</v>
      </c>
      <c r="I92" s="249"/>
      <c r="J92" s="243" t="s">
        <v>1058</v>
      </c>
      <c r="K92" s="249" t="s">
        <v>904</v>
      </c>
      <c r="L92" s="252" t="s">
        <v>909</v>
      </c>
    </row>
    <row r="93" spans="1:12" ht="42" x14ac:dyDescent="0.35">
      <c r="A93" s="246">
        <v>88</v>
      </c>
      <c r="B93" s="243" t="s">
        <v>1059</v>
      </c>
      <c r="C93" s="249" t="s">
        <v>1049</v>
      </c>
      <c r="D93" s="249" t="s">
        <v>900</v>
      </c>
      <c r="E93" s="249"/>
      <c r="F93" s="249"/>
      <c r="G93" s="243"/>
      <c r="H93" s="249" t="s">
        <v>458</v>
      </c>
      <c r="I93" s="249"/>
      <c r="J93" s="243" t="s">
        <v>1060</v>
      </c>
      <c r="K93" s="249" t="s">
        <v>904</v>
      </c>
      <c r="L93" s="252" t="s">
        <v>909</v>
      </c>
    </row>
    <row r="94" spans="1:12" ht="42" x14ac:dyDescent="0.35">
      <c r="A94" s="246">
        <v>89</v>
      </c>
      <c r="B94" s="243" t="s">
        <v>1061</v>
      </c>
      <c r="C94" s="249" t="s">
        <v>1062</v>
      </c>
      <c r="D94" s="249" t="s">
        <v>900</v>
      </c>
      <c r="E94" s="249" t="s">
        <v>45</v>
      </c>
      <c r="F94" s="249" t="s">
        <v>901</v>
      </c>
      <c r="G94" s="243"/>
      <c r="H94" s="249" t="s">
        <v>624</v>
      </c>
      <c r="I94" s="249"/>
      <c r="J94" s="243" t="s">
        <v>1063</v>
      </c>
      <c r="K94" s="249" t="s">
        <v>904</v>
      </c>
      <c r="L94" s="252" t="s">
        <v>905</v>
      </c>
    </row>
    <row r="95" spans="1:12" ht="42" x14ac:dyDescent="0.35">
      <c r="A95" s="246">
        <v>90</v>
      </c>
      <c r="B95" s="243" t="s">
        <v>295</v>
      </c>
      <c r="C95" s="249" t="s">
        <v>1062</v>
      </c>
      <c r="D95" s="249" t="s">
        <v>900</v>
      </c>
      <c r="E95" s="249"/>
      <c r="F95" s="249"/>
      <c r="G95" s="243"/>
      <c r="H95" s="249" t="s">
        <v>624</v>
      </c>
      <c r="I95" s="249" t="s">
        <v>296</v>
      </c>
      <c r="J95" s="243" t="s">
        <v>1064</v>
      </c>
      <c r="K95" s="249" t="s">
        <v>904</v>
      </c>
      <c r="L95" s="252" t="s">
        <v>909</v>
      </c>
    </row>
    <row r="96" spans="1:12" ht="42" x14ac:dyDescent="0.35">
      <c r="A96" s="246">
        <v>91</v>
      </c>
      <c r="B96" s="243" t="s">
        <v>1065</v>
      </c>
      <c r="C96" s="249" t="s">
        <v>1062</v>
      </c>
      <c r="D96" s="249" t="s">
        <v>900</v>
      </c>
      <c r="E96" s="249"/>
      <c r="F96" s="249"/>
      <c r="G96" s="243"/>
      <c r="H96" s="249" t="s">
        <v>624</v>
      </c>
      <c r="I96" s="249"/>
      <c r="J96" s="243" t="s">
        <v>1066</v>
      </c>
      <c r="K96" s="249" t="s">
        <v>904</v>
      </c>
      <c r="L96" s="252" t="s">
        <v>909</v>
      </c>
    </row>
    <row r="97" spans="1:12" x14ac:dyDescent="0.35">
      <c r="A97" s="246">
        <v>92</v>
      </c>
      <c r="B97" s="243" t="s">
        <v>1067</v>
      </c>
      <c r="C97" s="249" t="s">
        <v>1068</v>
      </c>
      <c r="D97" s="249" t="s">
        <v>1069</v>
      </c>
      <c r="E97" s="249"/>
      <c r="F97" s="249"/>
      <c r="G97" s="243"/>
      <c r="H97" s="249"/>
      <c r="I97" s="249"/>
      <c r="J97" s="243"/>
      <c r="K97" s="249" t="s">
        <v>904</v>
      </c>
      <c r="L97" s="252" t="s">
        <v>909</v>
      </c>
    </row>
    <row r="98" spans="1:12" x14ac:dyDescent="0.35">
      <c r="A98" s="246">
        <v>93</v>
      </c>
      <c r="B98" s="243" t="s">
        <v>1070</v>
      </c>
      <c r="C98" s="249" t="s">
        <v>1068</v>
      </c>
      <c r="D98" s="249" t="s">
        <v>1069</v>
      </c>
      <c r="E98" s="249"/>
      <c r="F98" s="249"/>
      <c r="G98" s="243"/>
      <c r="H98" s="249"/>
      <c r="I98" s="249"/>
      <c r="J98" s="243"/>
      <c r="K98" s="249" t="s">
        <v>904</v>
      </c>
      <c r="L98" s="252" t="s">
        <v>909</v>
      </c>
    </row>
    <row r="99" spans="1:12" x14ac:dyDescent="0.35">
      <c r="A99" s="246">
        <v>94</v>
      </c>
      <c r="B99" s="243" t="s">
        <v>1071</v>
      </c>
      <c r="C99" s="249" t="s">
        <v>1068</v>
      </c>
      <c r="D99" s="249" t="s">
        <v>1069</v>
      </c>
      <c r="E99" s="249"/>
      <c r="F99" s="249"/>
      <c r="G99" s="243"/>
      <c r="H99" s="249"/>
      <c r="I99" s="249"/>
      <c r="J99" s="243"/>
      <c r="K99" s="249" t="s">
        <v>904</v>
      </c>
      <c r="L99" s="252" t="s">
        <v>909</v>
      </c>
    </row>
    <row r="100" spans="1:12" x14ac:dyDescent="0.35">
      <c r="A100" s="246">
        <v>95</v>
      </c>
      <c r="B100" s="243" t="s">
        <v>1072</v>
      </c>
      <c r="C100" s="249" t="s">
        <v>1068</v>
      </c>
      <c r="D100" s="249" t="s">
        <v>1069</v>
      </c>
      <c r="E100" s="249"/>
      <c r="F100" s="249"/>
      <c r="G100" s="243"/>
      <c r="H100" s="249"/>
      <c r="I100" s="249"/>
      <c r="J100" s="243"/>
      <c r="K100" s="249" t="s">
        <v>904</v>
      </c>
      <c r="L100" s="252" t="s">
        <v>909</v>
      </c>
    </row>
    <row r="101" spans="1:12" x14ac:dyDescent="0.35">
      <c r="A101" s="246">
        <v>96</v>
      </c>
      <c r="B101" s="243" t="s">
        <v>1073</v>
      </c>
      <c r="C101" s="249" t="s">
        <v>1068</v>
      </c>
      <c r="D101" s="249" t="s">
        <v>1074</v>
      </c>
      <c r="E101" s="249"/>
      <c r="F101" s="249"/>
      <c r="G101" s="243"/>
      <c r="H101" s="249"/>
      <c r="I101" s="249"/>
      <c r="J101" s="243"/>
      <c r="K101" s="249" t="s">
        <v>904</v>
      </c>
      <c r="L101" s="252" t="s">
        <v>909</v>
      </c>
    </row>
    <row r="102" spans="1:12" x14ac:dyDescent="0.35">
      <c r="A102" s="246">
        <v>97</v>
      </c>
      <c r="B102" s="243" t="s">
        <v>1075</v>
      </c>
      <c r="C102" s="249" t="s">
        <v>1068</v>
      </c>
      <c r="D102" s="249" t="s">
        <v>1076</v>
      </c>
      <c r="E102" s="249"/>
      <c r="F102" s="249"/>
      <c r="G102" s="243"/>
      <c r="H102" s="249"/>
      <c r="I102" s="249"/>
      <c r="J102" s="243"/>
      <c r="K102" s="249" t="s">
        <v>904</v>
      </c>
      <c r="L102" s="252" t="s">
        <v>909</v>
      </c>
    </row>
    <row r="103" spans="1:12" x14ac:dyDescent="0.35">
      <c r="A103" s="246">
        <v>98</v>
      </c>
      <c r="B103" s="243" t="s">
        <v>1077</v>
      </c>
      <c r="C103" s="249" t="s">
        <v>1068</v>
      </c>
      <c r="D103" s="249" t="s">
        <v>1078</v>
      </c>
      <c r="E103" s="249"/>
      <c r="F103" s="249"/>
      <c r="G103" s="243"/>
      <c r="H103" s="249"/>
      <c r="I103" s="249"/>
      <c r="J103" s="243"/>
      <c r="K103" s="249" t="s">
        <v>904</v>
      </c>
      <c r="L103" s="252" t="s">
        <v>909</v>
      </c>
    </row>
    <row r="104" spans="1:12" x14ac:dyDescent="0.35">
      <c r="A104" s="246">
        <v>99</v>
      </c>
      <c r="B104" s="243" t="s">
        <v>1079</v>
      </c>
      <c r="C104" s="249" t="s">
        <v>1068</v>
      </c>
      <c r="D104" s="249" t="s">
        <v>1080</v>
      </c>
      <c r="E104" s="249"/>
      <c r="F104" s="249"/>
      <c r="G104" s="243"/>
      <c r="H104" s="249"/>
      <c r="I104" s="249"/>
      <c r="J104" s="243"/>
      <c r="K104" s="249" t="s">
        <v>904</v>
      </c>
      <c r="L104" s="252" t="s">
        <v>909</v>
      </c>
    </row>
    <row r="105" spans="1:12" x14ac:dyDescent="0.35">
      <c r="A105" s="246">
        <v>100</v>
      </c>
      <c r="B105" s="243" t="s">
        <v>1081</v>
      </c>
      <c r="C105" s="249" t="s">
        <v>1068</v>
      </c>
      <c r="D105" s="249" t="s">
        <v>1082</v>
      </c>
      <c r="E105" s="249" t="s">
        <v>1083</v>
      </c>
      <c r="F105" s="249" t="s">
        <v>901</v>
      </c>
      <c r="G105" s="243"/>
      <c r="H105" s="249"/>
      <c r="I105" s="249"/>
      <c r="J105" s="243"/>
      <c r="K105" s="249" t="s">
        <v>904</v>
      </c>
      <c r="L105" s="252" t="s">
        <v>905</v>
      </c>
    </row>
    <row r="106" spans="1:12" x14ac:dyDescent="0.35">
      <c r="A106" s="246">
        <v>101</v>
      </c>
      <c r="B106" s="243" t="s">
        <v>1084</v>
      </c>
      <c r="C106" s="249" t="s">
        <v>1068</v>
      </c>
      <c r="D106" s="249" t="s">
        <v>1085</v>
      </c>
      <c r="E106" s="249"/>
      <c r="F106" s="249"/>
      <c r="G106" s="243"/>
      <c r="H106" s="249"/>
      <c r="I106" s="249"/>
      <c r="J106" s="243"/>
      <c r="K106" s="249" t="s">
        <v>904</v>
      </c>
      <c r="L106" s="252" t="s">
        <v>909</v>
      </c>
    </row>
    <row r="107" spans="1:12" x14ac:dyDescent="0.35">
      <c r="A107" s="246">
        <v>102</v>
      </c>
      <c r="B107" s="243" t="s">
        <v>1086</v>
      </c>
      <c r="C107" s="249" t="s">
        <v>1068</v>
      </c>
      <c r="D107" s="249" t="s">
        <v>1087</v>
      </c>
      <c r="E107" s="249" t="s">
        <v>1088</v>
      </c>
      <c r="F107" s="249"/>
      <c r="G107" s="243"/>
      <c r="H107" s="249"/>
      <c r="I107" s="249"/>
      <c r="J107" s="243"/>
      <c r="K107" s="249" t="s">
        <v>904</v>
      </c>
      <c r="L107" s="252" t="s">
        <v>907</v>
      </c>
    </row>
    <row r="108" spans="1:12" x14ac:dyDescent="0.35">
      <c r="A108" s="246">
        <v>103</v>
      </c>
      <c r="B108" s="243" t="s">
        <v>1089</v>
      </c>
      <c r="C108" s="249" t="s">
        <v>1068</v>
      </c>
      <c r="D108" s="249" t="s">
        <v>1076</v>
      </c>
      <c r="E108" s="249"/>
      <c r="F108" s="249"/>
      <c r="G108" s="243"/>
      <c r="H108" s="249"/>
      <c r="I108" s="249"/>
      <c r="J108" s="243"/>
      <c r="K108" s="249" t="s">
        <v>904</v>
      </c>
      <c r="L108" s="252" t="s">
        <v>909</v>
      </c>
    </row>
    <row r="109" spans="1:12" x14ac:dyDescent="0.35">
      <c r="A109" s="246">
        <v>104</v>
      </c>
      <c r="B109" s="243" t="s">
        <v>1090</v>
      </c>
      <c r="C109" s="249" t="s">
        <v>1068</v>
      </c>
      <c r="D109" s="249" t="s">
        <v>1091</v>
      </c>
      <c r="E109" s="249"/>
      <c r="F109" s="249"/>
      <c r="G109" s="243"/>
      <c r="H109" s="249"/>
      <c r="I109" s="249"/>
      <c r="J109" s="243"/>
      <c r="K109" s="249" t="s">
        <v>904</v>
      </c>
      <c r="L109" s="252" t="s">
        <v>909</v>
      </c>
    </row>
    <row r="110" spans="1:12" x14ac:dyDescent="0.35">
      <c r="A110" s="246">
        <v>105</v>
      </c>
      <c r="B110" s="243" t="s">
        <v>1092</v>
      </c>
      <c r="C110" s="249" t="s">
        <v>1068</v>
      </c>
      <c r="D110" s="249" t="s">
        <v>1078</v>
      </c>
      <c r="E110" s="249"/>
      <c r="F110" s="249"/>
      <c r="G110" s="243"/>
      <c r="H110" s="249"/>
      <c r="I110" s="249"/>
      <c r="J110" s="243"/>
      <c r="K110" s="249" t="s">
        <v>904</v>
      </c>
      <c r="L110" s="252" t="s">
        <v>909</v>
      </c>
    </row>
    <row r="111" spans="1:12" x14ac:dyDescent="0.35">
      <c r="A111" s="246">
        <v>106</v>
      </c>
      <c r="B111" s="243" t="s">
        <v>1093</v>
      </c>
      <c r="C111" s="249" t="s">
        <v>1068</v>
      </c>
      <c r="D111" s="249" t="s">
        <v>1076</v>
      </c>
      <c r="E111" s="249"/>
      <c r="F111" s="249"/>
      <c r="G111" s="243"/>
      <c r="H111" s="249"/>
      <c r="I111" s="249"/>
      <c r="J111" s="243"/>
      <c r="K111" s="249" t="s">
        <v>904</v>
      </c>
      <c r="L111" s="252" t="s">
        <v>909</v>
      </c>
    </row>
    <row r="112" spans="1:12" x14ac:dyDescent="0.35">
      <c r="A112" s="246">
        <v>107</v>
      </c>
      <c r="B112" s="243" t="s">
        <v>1094</v>
      </c>
      <c r="C112" s="249" t="s">
        <v>1068</v>
      </c>
      <c r="D112" s="249" t="s">
        <v>1078</v>
      </c>
      <c r="E112" s="249"/>
      <c r="F112" s="249"/>
      <c r="G112" s="243"/>
      <c r="H112" s="249"/>
      <c r="I112" s="249"/>
      <c r="J112" s="243"/>
      <c r="K112" s="249" t="s">
        <v>904</v>
      </c>
      <c r="L112" s="252" t="s">
        <v>909</v>
      </c>
    </row>
    <row r="113" spans="1:12" x14ac:dyDescent="0.35">
      <c r="A113" s="246">
        <v>108</v>
      </c>
      <c r="B113" s="243" t="s">
        <v>1095</v>
      </c>
      <c r="C113" s="249" t="s">
        <v>1068</v>
      </c>
      <c r="D113" s="249" t="s">
        <v>1078</v>
      </c>
      <c r="E113" s="249"/>
      <c r="F113" s="249"/>
      <c r="G113" s="243"/>
      <c r="H113" s="249"/>
      <c r="I113" s="249"/>
      <c r="J113" s="243"/>
      <c r="K113" s="249" t="s">
        <v>904</v>
      </c>
      <c r="L113" s="252" t="s">
        <v>909</v>
      </c>
    </row>
    <row r="114" spans="1:12" x14ac:dyDescent="0.35">
      <c r="A114" s="247">
        <v>109</v>
      </c>
      <c r="B114" s="244" t="s">
        <v>1096</v>
      </c>
      <c r="C114" s="250" t="s">
        <v>1068</v>
      </c>
      <c r="D114" s="250" t="s">
        <v>1097</v>
      </c>
      <c r="E114" s="250"/>
      <c r="F114" s="250"/>
      <c r="G114" s="244"/>
      <c r="H114" s="250"/>
      <c r="I114" s="250"/>
      <c r="J114" s="244"/>
      <c r="K114" s="250" t="s">
        <v>904</v>
      </c>
      <c r="L114" s="253" t="s">
        <v>909</v>
      </c>
    </row>
  </sheetData>
  <mergeCells count="2">
    <mergeCell ref="A1:L1"/>
    <mergeCell ref="A2:L3"/>
  </mergeCells>
  <conditionalFormatting sqref="E6:E114">
    <cfRule type="expression" dxfId="5" priority="1">
      <formula>E6&lt;&gt;""</formula>
    </cfRule>
  </conditionalFormatting>
  <conditionalFormatting sqref="F6:F114">
    <cfRule type="expression" dxfId="4" priority="2">
      <formula>F6&lt;&gt;""</formula>
    </cfRule>
  </conditionalFormatting>
  <conditionalFormatting sqref="K6:K114">
    <cfRule type="expression" dxfId="3" priority="3">
      <formula>LEFT(K6,5)="Khớp "</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
  <sheetViews>
    <sheetView workbookViewId="0"/>
  </sheetViews>
  <sheetFormatPr defaultRowHeight="14.5" x14ac:dyDescent="0.35"/>
  <cols>
    <col min="1" max="1" width="6" customWidth="1"/>
    <col min="2" max="2" width="32" customWidth="1"/>
    <col min="3" max="3" width="56" customWidth="1"/>
    <col min="4" max="4" width="54" customWidth="1"/>
    <col min="5" max="5" width="48" customWidth="1"/>
    <col min="6" max="6" width="18" customWidth="1"/>
  </cols>
  <sheetData>
    <row r="1" spans="1:6" ht="17.5" x14ac:dyDescent="0.35">
      <c r="A1" s="376" t="s">
        <v>1098</v>
      </c>
      <c r="B1" s="376"/>
      <c r="C1" s="376"/>
      <c r="D1" s="376"/>
      <c r="E1" s="376"/>
      <c r="F1" s="376"/>
    </row>
    <row r="3" spans="1:6" x14ac:dyDescent="0.35">
      <c r="A3" s="239" t="s">
        <v>3</v>
      </c>
      <c r="B3" s="240" t="s">
        <v>722</v>
      </c>
      <c r="C3" s="240" t="s">
        <v>1099</v>
      </c>
      <c r="D3" s="240" t="s">
        <v>1100</v>
      </c>
      <c r="E3" s="240" t="s">
        <v>1101</v>
      </c>
      <c r="F3" s="241" t="s">
        <v>1102</v>
      </c>
    </row>
    <row r="4" spans="1:6" ht="28" x14ac:dyDescent="0.35">
      <c r="A4" s="245">
        <v>1</v>
      </c>
      <c r="B4" s="242" t="s">
        <v>1103</v>
      </c>
      <c r="C4" s="242" t="s">
        <v>1104</v>
      </c>
      <c r="D4" s="242" t="s">
        <v>1105</v>
      </c>
      <c r="E4" s="242" t="s">
        <v>1106</v>
      </c>
      <c r="F4" s="251" t="s">
        <v>1107</v>
      </c>
    </row>
    <row r="5" spans="1:6" ht="28" x14ac:dyDescent="0.35">
      <c r="A5" s="246">
        <v>2</v>
      </c>
      <c r="B5" s="243" t="s">
        <v>1108</v>
      </c>
      <c r="C5" s="243" t="s">
        <v>1109</v>
      </c>
      <c r="D5" s="243" t="s">
        <v>1110</v>
      </c>
      <c r="E5" s="243" t="s">
        <v>1111</v>
      </c>
      <c r="F5" s="252" t="s">
        <v>1112</v>
      </c>
    </row>
    <row r="6" spans="1:6" ht="42" x14ac:dyDescent="0.35">
      <c r="A6" s="246">
        <v>3</v>
      </c>
      <c r="B6" s="243" t="s">
        <v>1113</v>
      </c>
      <c r="C6" s="243" t="s">
        <v>1114</v>
      </c>
      <c r="D6" s="243" t="s">
        <v>1115</v>
      </c>
      <c r="E6" s="243" t="s">
        <v>1116</v>
      </c>
      <c r="F6" s="252" t="s">
        <v>1107</v>
      </c>
    </row>
    <row r="7" spans="1:6" ht="28" x14ac:dyDescent="0.35">
      <c r="A7" s="246">
        <v>4</v>
      </c>
      <c r="B7" s="243" t="s">
        <v>1117</v>
      </c>
      <c r="C7" s="243" t="s">
        <v>1118</v>
      </c>
      <c r="D7" s="243" t="s">
        <v>1119</v>
      </c>
      <c r="E7" s="243" t="s">
        <v>1120</v>
      </c>
      <c r="F7" s="252" t="s">
        <v>1121</v>
      </c>
    </row>
    <row r="8" spans="1:6" ht="28" x14ac:dyDescent="0.35">
      <c r="A8" s="246">
        <v>5</v>
      </c>
      <c r="B8" s="243" t="s">
        <v>1122</v>
      </c>
      <c r="C8" s="243" t="s">
        <v>1123</v>
      </c>
      <c r="D8" s="243" t="s">
        <v>1124</v>
      </c>
      <c r="E8" s="243" t="s">
        <v>1125</v>
      </c>
      <c r="F8" s="252" t="s">
        <v>1121</v>
      </c>
    </row>
    <row r="9" spans="1:6" ht="42" x14ac:dyDescent="0.35">
      <c r="A9" s="246">
        <v>6</v>
      </c>
      <c r="B9" s="243" t="s">
        <v>1126</v>
      </c>
      <c r="C9" s="243" t="s">
        <v>1127</v>
      </c>
      <c r="D9" s="243" t="s">
        <v>1128</v>
      </c>
      <c r="E9" s="243" t="s">
        <v>1129</v>
      </c>
      <c r="F9" s="252" t="s">
        <v>1107</v>
      </c>
    </row>
    <row r="10" spans="1:6" ht="42" x14ac:dyDescent="0.35">
      <c r="A10" s="246">
        <v>7</v>
      </c>
      <c r="B10" s="243" t="s">
        <v>1130</v>
      </c>
      <c r="C10" s="243" t="s">
        <v>1131</v>
      </c>
      <c r="D10" s="243" t="s">
        <v>1128</v>
      </c>
      <c r="E10" s="243" t="s">
        <v>1132</v>
      </c>
      <c r="F10" s="252" t="s">
        <v>1107</v>
      </c>
    </row>
    <row r="11" spans="1:6" ht="28" x14ac:dyDescent="0.35">
      <c r="A11" s="246">
        <v>8</v>
      </c>
      <c r="B11" s="243" t="s">
        <v>1133</v>
      </c>
      <c r="C11" s="243" t="s">
        <v>1134</v>
      </c>
      <c r="D11" s="243" t="s">
        <v>1135</v>
      </c>
      <c r="E11" s="243" t="s">
        <v>1136</v>
      </c>
      <c r="F11" s="252" t="s">
        <v>1107</v>
      </c>
    </row>
    <row r="12" spans="1:6" ht="42" x14ac:dyDescent="0.35">
      <c r="A12" s="246">
        <v>9</v>
      </c>
      <c r="B12" s="243" t="s">
        <v>1137</v>
      </c>
      <c r="C12" s="243" t="s">
        <v>1138</v>
      </c>
      <c r="D12" s="243" t="s">
        <v>1128</v>
      </c>
      <c r="E12" s="243" t="s">
        <v>1139</v>
      </c>
      <c r="F12" s="252" t="s">
        <v>1107</v>
      </c>
    </row>
    <row r="13" spans="1:6" ht="42" x14ac:dyDescent="0.35">
      <c r="A13" s="247">
        <v>10</v>
      </c>
      <c r="B13" s="244" t="s">
        <v>1140</v>
      </c>
      <c r="C13" s="244" t="s">
        <v>1141</v>
      </c>
      <c r="D13" s="244" t="s">
        <v>1142</v>
      </c>
      <c r="E13" s="244" t="s">
        <v>1143</v>
      </c>
      <c r="F13" s="253" t="s">
        <v>1144</v>
      </c>
    </row>
  </sheetData>
  <mergeCells count="1">
    <mergeCell ref="A1:F1"/>
  </mergeCells>
  <conditionalFormatting sqref="F4:F13">
    <cfRule type="expression" dxfId="2" priority="1">
      <formula>$F4="QUAN TRỌNG"</formula>
    </cfRule>
    <cfRule type="expression" dxfId="1" priority="2">
      <formula>$F4="CẦN XÁC NHẬN"</formula>
    </cfRule>
    <cfRule type="expression" dxfId="0" priority="3">
      <formula>$F4="ĐÃ ĐỒNG BỘ"</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Tổng hợp</vt:lpstr>
      <vt:lpstr>CN</vt:lpstr>
      <vt:lpstr>PL12</vt:lpstr>
      <vt:lpstr>PL11</vt:lpstr>
      <vt:lpstr>PL10</vt:lpstr>
      <vt:lpstr>TCVH</vt:lpstr>
      <vt:lpstr>CĐ</vt:lpstr>
      <vt:lpstr>TN</vt:lpstr>
      <vt:lpstr>TCTC</vt:lpstr>
      <vt:lpstr>Phân tiết</vt:lpstr>
      <vt:lpstr>RA_SOAT</vt:lpstr>
      <vt:lpstr>MAP_TNHN</vt:lpstr>
      <vt:lpstr>GHI_CHU_08_09</vt:lpstr>
      <vt:lpstr>DONG_BO_CHUC_VU_NS</vt:lpstr>
      <vt:lpstr>CAN_RA_SOAT_QD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Đình Khoa</cp:lastModifiedBy>
  <dcterms:modified xsi:type="dcterms:W3CDTF">2026-09-28T17:51:02Z</dcterms:modified>
</cp:coreProperties>
</file>