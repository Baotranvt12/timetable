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C7CCCA7-EA74-4E6D-826B-7E4B8EA74E0B}" xr6:coauthVersionLast="45" xr6:coauthVersionMax="45" xr10:uidLastSave="{00000000-0000-0000-0000-000000000000}"/>
  <bookViews>
    <workbookView xWindow="-120" yWindow="-120" windowWidth="19440" windowHeight="15000" xr2:uid="{756727E1-4506-4272-9186-3DA29756E790}"/>
  </bookViews>
  <sheets>
    <sheet name="TKBS" sheetId="1" r:id="rId1"/>
    <sheet name="TKBC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10A1" localSheetId="1">TKBC!$C$3:$CB$33</definedName>
    <definedName name="_xlnm._FilterDatabase" localSheetId="1" hidden="1">TKBC!$H$3:$K$33</definedName>
    <definedName name="_xlnm._FilterDatabase" localSheetId="0" hidden="1">TKBS!$A$37:$EI$91</definedName>
    <definedName name="_NG9">'[2]DANH SACH'!#REF!</definedName>
    <definedName name="ải6">#REF!</definedName>
    <definedName name="BC">#REF!</definedName>
    <definedName name="BS">#REF!</definedName>
    <definedName name="cnghiep">'[2]DANH SACH'!$F$17:$I$26</definedName>
    <definedName name="DanhSach">[1]DanhSach!$C$4:$H$205</definedName>
    <definedName name="dia">'[2]DANH SACH'!$F$27:$I$30</definedName>
    <definedName name="DS">#REF!</definedName>
    <definedName name="DSLop">[1]DSLop!$C$4:$E$588</definedName>
    <definedName name="gdcd">'[2]DANH SACH'!$F$13:$I$16</definedName>
    <definedName name="LPC">[3]LAYPC!$C$4:$M$114</definedName>
    <definedName name="NGHE">'[2]DANH SACH'!$F$99:$I$103</definedName>
    <definedName name="_xlnm.Print_Area" localSheetId="1">TKBC!$A$35:$BX$67</definedName>
    <definedName name="_xlnm.Print_Area" localSheetId="0">TKBS!$A$35:$BF$67</definedName>
    <definedName name="_xlnm.Print_Titles" localSheetId="1">TKBC!$A:$B,TKBC!$35:$35</definedName>
    <definedName name="_xlnm.Print_Titles" localSheetId="0">TKBS!$A:$B,TKBS!$35:$35</definedName>
    <definedName name="su">'[2]DANH SACH'!$F$50:$I$52</definedName>
    <definedName name="tduc">'[2]DANH SACH'!$F$74:$I$80</definedName>
    <definedName name="thoc">'[2]DANH SACH'!$F$94:$I$98</definedName>
    <definedName name="TINHOC">[4]TKBTo!#REF!</definedName>
    <definedName name="TKBC">TKBC!$C$3:$CB$33</definedName>
    <definedName name="TKBS">TKBS!$C$3:$BI$33</definedName>
    <definedName name="YC">[5]YEUCAU!$B$4:$E$115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CB4" i="1"/>
  <c r="CC1" i="1" s="1"/>
  <c r="CC4" i="1"/>
  <c r="CD4" i="1"/>
  <c r="CD2" i="1" s="1"/>
  <c r="CE4" i="1"/>
  <c r="CE2" i="1" s="1"/>
  <c r="CF4" i="1"/>
  <c r="CF2" i="1" s="1"/>
  <c r="CG4" i="1"/>
  <c r="CH4" i="1"/>
  <c r="CH2" i="1" s="1"/>
  <c r="CI4" i="1"/>
  <c r="CI2" i="1" s="1"/>
  <c r="CJ4" i="1"/>
  <c r="CJ2" i="1" s="1"/>
  <c r="CK4" i="1"/>
  <c r="CL4" i="1"/>
  <c r="CL2" i="1" s="1"/>
  <c r="CM4" i="1"/>
  <c r="CM2" i="1" s="1"/>
  <c r="CN4" i="1"/>
  <c r="CN2" i="1" s="1"/>
  <c r="CO4" i="1"/>
  <c r="CP4" i="1"/>
  <c r="CP2" i="1" s="1"/>
  <c r="CQ4" i="1"/>
  <c r="CQ2" i="1" s="1"/>
  <c r="CR4" i="1"/>
  <c r="CR2" i="1" s="1"/>
  <c r="CV4" i="1"/>
  <c r="CW4" i="1"/>
  <c r="CW2" i="1" s="1"/>
  <c r="CX4" i="1"/>
  <c r="CX2" i="1" s="1"/>
  <c r="CY4" i="1"/>
  <c r="CY2" i="1" s="1"/>
  <c r="CZ4" i="1"/>
  <c r="DA4" i="1"/>
  <c r="DA2" i="1" s="1"/>
  <c r="DB4" i="1"/>
  <c r="DB2" i="1" s="1"/>
  <c r="DC4" i="1"/>
  <c r="DC2" i="1" s="1"/>
  <c r="DD4" i="1"/>
  <c r="DE4" i="1"/>
  <c r="DE2" i="1" s="1"/>
  <c r="DF4" i="1"/>
  <c r="DF2" i="1" s="1"/>
  <c r="DG4" i="1"/>
  <c r="DG2" i="1" s="1"/>
  <c r="DH4" i="1"/>
  <c r="DI4" i="1"/>
  <c r="DI2" i="1" s="1"/>
  <c r="DJ4" i="1"/>
  <c r="DJ2" i="1" s="1"/>
  <c r="DK4" i="1"/>
  <c r="DK2" i="1" s="1"/>
  <c r="DL4" i="1"/>
  <c r="DM4" i="1"/>
  <c r="DM2" i="1" s="1"/>
  <c r="DN4" i="1"/>
  <c r="DN2" i="1" s="1"/>
  <c r="DO4" i="1"/>
  <c r="DO2" i="1" s="1"/>
  <c r="DP4" i="1"/>
  <c r="DQ4" i="1"/>
  <c r="DQ2" i="1" s="1"/>
  <c r="DR4" i="1"/>
  <c r="DR2" i="1" s="1"/>
  <c r="DS4" i="1"/>
  <c r="DS2" i="1" s="1"/>
  <c r="DT4" i="1"/>
  <c r="DU4" i="1"/>
  <c r="DU2" i="1" s="1"/>
  <c r="DV4" i="1"/>
  <c r="DV2" i="1" s="1"/>
  <c r="DW4" i="1"/>
  <c r="DW2" i="1" s="1"/>
  <c r="DX4" i="1"/>
  <c r="DY4" i="1"/>
  <c r="DY2" i="1" s="1"/>
  <c r="DZ4" i="1"/>
  <c r="DZ2" i="1" s="1"/>
  <c r="EA4" i="1"/>
  <c r="EA2" i="1" s="1"/>
  <c r="EB4" i="1"/>
  <c r="EC4" i="1"/>
  <c r="EC2" i="1" s="1"/>
  <c r="ED4" i="1"/>
  <c r="ED2" i="1" s="1"/>
  <c r="EE4" i="1"/>
  <c r="EE2" i="1" s="1"/>
  <c r="EF4" i="1"/>
  <c r="EG4" i="1"/>
  <c r="EH4" i="1"/>
  <c r="EI4" i="1"/>
  <c r="CB5" i="1"/>
  <c r="CA5" i="1" s="1"/>
  <c r="B5" i="1" s="1"/>
  <c r="CC5" i="1"/>
  <c r="CC2" i="1" s="1"/>
  <c r="CD5" i="1"/>
  <c r="CE5" i="1"/>
  <c r="CF5" i="1"/>
  <c r="CG5" i="1"/>
  <c r="CG2" i="1" s="1"/>
  <c r="CH5" i="1"/>
  <c r="CI5" i="1"/>
  <c r="CJ5" i="1"/>
  <c r="CK5" i="1"/>
  <c r="CK2" i="1" s="1"/>
  <c r="CL5" i="1"/>
  <c r="CM5" i="1"/>
  <c r="CN5" i="1"/>
  <c r="CO5" i="1"/>
  <c r="CO2" i="1" s="1"/>
  <c r="CP5" i="1"/>
  <c r="CQ5" i="1"/>
  <c r="CR5" i="1"/>
  <c r="CV5" i="1"/>
  <c r="CV2" i="1" s="1"/>
  <c r="CW5" i="1"/>
  <c r="CX5" i="1"/>
  <c r="CY5" i="1"/>
  <c r="CZ5" i="1"/>
  <c r="CZ2" i="1" s="1"/>
  <c r="DA5" i="1"/>
  <c r="DB5" i="1"/>
  <c r="DC5" i="1"/>
  <c r="DD5" i="1"/>
  <c r="DD2" i="1" s="1"/>
  <c r="DE5" i="1"/>
  <c r="DF5" i="1"/>
  <c r="DG5" i="1"/>
  <c r="DH5" i="1"/>
  <c r="DH2" i="1" s="1"/>
  <c r="DI5" i="1"/>
  <c r="DJ5" i="1"/>
  <c r="DK5" i="1"/>
  <c r="DL5" i="1"/>
  <c r="DL2" i="1" s="1"/>
  <c r="DM5" i="1"/>
  <c r="DN5" i="1"/>
  <c r="DO5" i="1"/>
  <c r="DP5" i="1"/>
  <c r="DP2" i="1" s="1"/>
  <c r="DQ5" i="1"/>
  <c r="DR5" i="1"/>
  <c r="DS5" i="1"/>
  <c r="DT5" i="1"/>
  <c r="DT2" i="1" s="1"/>
  <c r="DU5" i="1"/>
  <c r="DV5" i="1"/>
  <c r="DW5" i="1"/>
  <c r="DX5" i="1"/>
  <c r="DX2" i="1" s="1"/>
  <c r="DY5" i="1"/>
  <c r="DZ5" i="1"/>
  <c r="EA5" i="1"/>
  <c r="EB5" i="1"/>
  <c r="EB2" i="1" s="1"/>
  <c r="EC5" i="1"/>
  <c r="ED5" i="1"/>
  <c r="EE5" i="1"/>
  <c r="EF5" i="1"/>
  <c r="EF2" i="1" s="1"/>
  <c r="EG5" i="1"/>
  <c r="EH5" i="1"/>
  <c r="EI5" i="1"/>
  <c r="CB6" i="1"/>
  <c r="CA6" i="1" s="1"/>
  <c r="B6" i="1" s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CB7" i="1"/>
  <c r="CC7" i="1"/>
  <c r="CD7" i="1"/>
  <c r="CE7" i="1"/>
  <c r="CA7" i="1" s="1"/>
  <c r="B7" i="1" s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CB8" i="1"/>
  <c r="CA8" i="1" s="1"/>
  <c r="B8" i="1" s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CB9" i="1"/>
  <c r="CA9" i="1" s="1"/>
  <c r="B9" i="1" s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CB10" i="1"/>
  <c r="CA10" i="1" s="1"/>
  <c r="B10" i="1" s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CB11" i="1"/>
  <c r="CC11" i="1"/>
  <c r="CD11" i="1"/>
  <c r="CE11" i="1"/>
  <c r="CA11" i="1" s="1"/>
  <c r="B11" i="1" s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CB12" i="1"/>
  <c r="CA12" i="1" s="1"/>
  <c r="B12" i="1" s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CB13" i="1"/>
  <c r="CA13" i="1" s="1"/>
  <c r="B13" i="1" s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CB14" i="1"/>
  <c r="CC14" i="1"/>
  <c r="CD14" i="1"/>
  <c r="CA14" i="1" s="1"/>
  <c r="B14" i="1" s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CB15" i="1"/>
  <c r="CC15" i="1"/>
  <c r="CD15" i="1"/>
  <c r="CE15" i="1"/>
  <c r="CA15" i="1" s="1"/>
  <c r="B15" i="1" s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CB16" i="1"/>
  <c r="CA16" i="1" s="1"/>
  <c r="B16" i="1" s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CB17" i="1"/>
  <c r="CC17" i="1"/>
  <c r="CA17" i="1" s="1"/>
  <c r="B17" i="1" s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CB18" i="1"/>
  <c r="CC18" i="1"/>
  <c r="CD18" i="1"/>
  <c r="CA18" i="1" s="1"/>
  <c r="B18" i="1" s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CB19" i="1"/>
  <c r="CC19" i="1"/>
  <c r="CD19" i="1"/>
  <c r="CE19" i="1"/>
  <c r="CA19" i="1" s="1"/>
  <c r="B19" i="1" s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CB20" i="1"/>
  <c r="CA20" i="1" s="1"/>
  <c r="B20" i="1" s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CB21" i="1"/>
  <c r="CA21" i="1" s="1"/>
  <c r="B21" i="1" s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CB22" i="1"/>
  <c r="CC22" i="1"/>
  <c r="CD22" i="1"/>
  <c r="CA22" i="1" s="1"/>
  <c r="B22" i="1" s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CB23" i="1"/>
  <c r="CC23" i="1"/>
  <c r="CD23" i="1"/>
  <c r="CE23" i="1"/>
  <c r="CA23" i="1" s="1"/>
  <c r="B23" i="1" s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CB24" i="1"/>
  <c r="CA24" i="1" s="1"/>
  <c r="B24" i="1" s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CB25" i="1"/>
  <c r="CA25" i="1" s="1"/>
  <c r="B25" i="1" s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CB26" i="1"/>
  <c r="CC26" i="1"/>
  <c r="CD26" i="1"/>
  <c r="CA26" i="1" s="1"/>
  <c r="B26" i="1" s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CB27" i="1"/>
  <c r="CC27" i="1"/>
  <c r="CD27" i="1"/>
  <c r="CE27" i="1"/>
  <c r="CA27" i="1" s="1"/>
  <c r="B27" i="1" s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CB28" i="1"/>
  <c r="CA28" i="1" s="1"/>
  <c r="B28" i="1" s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CB29" i="1"/>
  <c r="CC29" i="1"/>
  <c r="CA29" i="1" s="1"/>
  <c r="B29" i="1" s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CB30" i="1"/>
  <c r="CC30" i="1"/>
  <c r="CD30" i="1"/>
  <c r="CA30" i="1" s="1"/>
  <c r="B30" i="1" s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CB31" i="1"/>
  <c r="CC31" i="1"/>
  <c r="CD31" i="1"/>
  <c r="CE31" i="1"/>
  <c r="CA31" i="1" s="1"/>
  <c r="B31" i="1" s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CB32" i="1"/>
  <c r="CA32" i="1" s="1"/>
  <c r="B32" i="1" s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CB33" i="1"/>
  <c r="CC33" i="1"/>
  <c r="CA33" i="1" s="1"/>
  <c r="B33" i="1" s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AT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35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B33" i="2" s="1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D32" i="2" s="1"/>
  <c r="B32" i="2" s="1"/>
  <c r="CF32" i="2"/>
  <c r="CE32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 s="1"/>
  <c r="B31" i="2" s="1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 s="1"/>
  <c r="B30" i="2" s="1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B29" i="2" s="1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D28" i="2" s="1"/>
  <c r="B28" i="2" s="1"/>
  <c r="CF28" i="2"/>
  <c r="CE28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 s="1"/>
  <c r="B27" i="2" s="1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 s="1"/>
  <c r="B26" i="2" s="1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B25" i="2" s="1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 s="1"/>
  <c r="B24" i="2" s="1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D23" i="2" s="1"/>
  <c r="B23" i="2" s="1"/>
  <c r="CE23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 s="1"/>
  <c r="B22" i="2" s="1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D21" i="2" s="1"/>
  <c r="B21" i="2" s="1"/>
  <c r="CE21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 s="1"/>
  <c r="B20" i="2" s="1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B19" i="2" s="1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 s="1"/>
  <c r="B18" i="2" s="1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D17" i="2" s="1"/>
  <c r="B17" i="2" s="1"/>
  <c r="CE17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 s="1"/>
  <c r="B16" i="2" s="1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CD15" i="2" s="1"/>
  <c r="B15" i="2" s="1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 s="1"/>
  <c r="B14" i="2" s="1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D13" i="2" s="1"/>
  <c r="B13" i="2" s="1"/>
  <c r="CE13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 s="1"/>
  <c r="B12" i="2" s="1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D11" i="2" s="1"/>
  <c r="B11" i="2" s="1"/>
  <c r="CK11" i="2"/>
  <c r="CJ11" i="2"/>
  <c r="CI11" i="2"/>
  <c r="CH11" i="2"/>
  <c r="CG11" i="2"/>
  <c r="CF11" i="2"/>
  <c r="CE11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 s="1"/>
  <c r="B10" i="2" s="1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D9" i="2" s="1"/>
  <c r="B9" i="2" s="1"/>
  <c r="CE9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 s="1"/>
  <c r="B8" i="2" s="1"/>
  <c r="EM7" i="2"/>
  <c r="EL7" i="2"/>
  <c r="EK7" i="2"/>
  <c r="EJ7" i="2"/>
  <c r="EI7" i="2"/>
  <c r="EH7" i="2"/>
  <c r="EH2" i="2" s="1"/>
  <c r="EG7" i="2"/>
  <c r="EF7" i="2"/>
  <c r="EE7" i="2"/>
  <c r="ED7" i="2"/>
  <c r="ED2" i="2" s="1"/>
  <c r="EC7" i="2"/>
  <c r="EB7" i="2"/>
  <c r="EA7" i="2"/>
  <c r="DZ7" i="2"/>
  <c r="DZ2" i="2" s="1"/>
  <c r="DY7" i="2"/>
  <c r="DX7" i="2"/>
  <c r="DW7" i="2"/>
  <c r="DV7" i="2"/>
  <c r="DV2" i="2" s="1"/>
  <c r="DU7" i="2"/>
  <c r="DT7" i="2"/>
  <c r="DS7" i="2"/>
  <c r="DR7" i="2"/>
  <c r="DR2" i="2" s="1"/>
  <c r="DQ7" i="2"/>
  <c r="DP7" i="2"/>
  <c r="DO7" i="2"/>
  <c r="DN7" i="2"/>
  <c r="DN2" i="2" s="1"/>
  <c r="DM7" i="2"/>
  <c r="DL7" i="2"/>
  <c r="DK7" i="2"/>
  <c r="DJ7" i="2"/>
  <c r="DJ2" i="2" s="1"/>
  <c r="DI7" i="2"/>
  <c r="DH7" i="2"/>
  <c r="DG7" i="2"/>
  <c r="DF7" i="2"/>
  <c r="DF2" i="2" s="1"/>
  <c r="DE7" i="2"/>
  <c r="DD7" i="2"/>
  <c r="DC7" i="2"/>
  <c r="DB7" i="2"/>
  <c r="DB2" i="2" s="1"/>
  <c r="DA7" i="2"/>
  <c r="CZ7" i="2"/>
  <c r="CY7" i="2"/>
  <c r="CX7" i="2"/>
  <c r="CW7" i="2"/>
  <c r="CV7" i="2"/>
  <c r="CU7" i="2"/>
  <c r="CT7" i="2"/>
  <c r="CT2" i="2" s="1"/>
  <c r="CS7" i="2"/>
  <c r="CR7" i="2"/>
  <c r="CQ7" i="2"/>
  <c r="CP7" i="2"/>
  <c r="CP2" i="2" s="1"/>
  <c r="CO7" i="2"/>
  <c r="CN7" i="2"/>
  <c r="CM7" i="2"/>
  <c r="CL7" i="2"/>
  <c r="CL2" i="2" s="1"/>
  <c r="CK7" i="2"/>
  <c r="CJ7" i="2"/>
  <c r="CI7" i="2"/>
  <c r="CH7" i="2"/>
  <c r="CH2" i="2" s="1"/>
  <c r="CG7" i="2"/>
  <c r="CF7" i="2"/>
  <c r="CE7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 s="1"/>
  <c r="B6" i="2" s="1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D5" i="2" s="1"/>
  <c r="B5" i="2" s="1"/>
  <c r="CE5" i="2"/>
  <c r="EM4" i="2"/>
  <c r="EL4" i="2"/>
  <c r="EK4" i="2"/>
  <c r="EJ4" i="2"/>
  <c r="EI4" i="2"/>
  <c r="EI2" i="2" s="1"/>
  <c r="EH4" i="2"/>
  <c r="EG4" i="2"/>
  <c r="EG2" i="2" s="1"/>
  <c r="EF4" i="2"/>
  <c r="EE4" i="2"/>
  <c r="EE2" i="2" s="1"/>
  <c r="ED4" i="2"/>
  <c r="EC4" i="2"/>
  <c r="EC2" i="2" s="1"/>
  <c r="EB4" i="2"/>
  <c r="EA4" i="2"/>
  <c r="EA2" i="2" s="1"/>
  <c r="DZ4" i="2"/>
  <c r="DY4" i="2"/>
  <c r="DY2" i="2" s="1"/>
  <c r="DX4" i="2"/>
  <c r="DW4" i="2"/>
  <c r="DW2" i="2" s="1"/>
  <c r="DV4" i="2"/>
  <c r="DU4" i="2"/>
  <c r="DU2" i="2" s="1"/>
  <c r="DT4" i="2"/>
  <c r="DS4" i="2"/>
  <c r="DS2" i="2" s="1"/>
  <c r="DR4" i="2"/>
  <c r="DQ4" i="2"/>
  <c r="DQ2" i="2" s="1"/>
  <c r="DP4" i="2"/>
  <c r="DO4" i="2"/>
  <c r="DO2" i="2" s="1"/>
  <c r="DN4" i="2"/>
  <c r="DM4" i="2"/>
  <c r="DM2" i="2" s="1"/>
  <c r="DL4" i="2"/>
  <c r="DK4" i="2"/>
  <c r="DK2" i="2" s="1"/>
  <c r="DJ4" i="2"/>
  <c r="DI4" i="2"/>
  <c r="DI2" i="2" s="1"/>
  <c r="DH4" i="2"/>
  <c r="DG4" i="2"/>
  <c r="DG2" i="2" s="1"/>
  <c r="DF4" i="2"/>
  <c r="DE4" i="2"/>
  <c r="DE2" i="2" s="1"/>
  <c r="DD4" i="2"/>
  <c r="DC4" i="2"/>
  <c r="DC2" i="2" s="1"/>
  <c r="DB4" i="2"/>
  <c r="DA4" i="2"/>
  <c r="DA2" i="2" s="1"/>
  <c r="CZ4" i="2"/>
  <c r="CY4" i="2"/>
  <c r="CX4" i="2"/>
  <c r="CW4" i="2"/>
  <c r="CV4" i="2"/>
  <c r="CU4" i="2"/>
  <c r="CU2" i="2" s="1"/>
  <c r="CT4" i="2"/>
  <c r="CS4" i="2"/>
  <c r="CS2" i="2" s="1"/>
  <c r="CR4" i="2"/>
  <c r="CQ4" i="2"/>
  <c r="CQ2" i="2" s="1"/>
  <c r="CP4" i="2"/>
  <c r="CO4" i="2"/>
  <c r="CO2" i="2" s="1"/>
  <c r="CN4" i="2"/>
  <c r="CM4" i="2"/>
  <c r="CM2" i="2" s="1"/>
  <c r="CL4" i="2"/>
  <c r="CK4" i="2"/>
  <c r="CK2" i="2" s="1"/>
  <c r="CJ4" i="2"/>
  <c r="CI4" i="2"/>
  <c r="CI2" i="2" s="1"/>
  <c r="CH4" i="2"/>
  <c r="CG4" i="2"/>
  <c r="CG2" i="2" s="1"/>
  <c r="CF4" i="2"/>
  <c r="CE4" i="2"/>
  <c r="CD4" i="2" s="1"/>
  <c r="B4" i="2" s="1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EJ2" i="2"/>
  <c r="EF2" i="2"/>
  <c r="EB2" i="2"/>
  <c r="DX2" i="2"/>
  <c r="DT2" i="2"/>
  <c r="DP2" i="2"/>
  <c r="DL2" i="2"/>
  <c r="DH2" i="2"/>
  <c r="DD2" i="2"/>
  <c r="CZ2" i="2"/>
  <c r="CR2" i="2"/>
  <c r="CN2" i="2"/>
  <c r="CJ2" i="2"/>
  <c r="CF2" i="2"/>
  <c r="A1" i="2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A62" i="1"/>
  <c r="AZ62" i="1"/>
  <c r="AY62" i="1"/>
  <c r="AX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A57" i="1"/>
  <c r="AZ57" i="1"/>
  <c r="AY57" i="1"/>
  <c r="AX57" i="1"/>
  <c r="AW57" i="1"/>
  <c r="AV57" i="1"/>
  <c r="AU57" i="1"/>
  <c r="AT57" i="1"/>
  <c r="AS57" i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C35" i="1"/>
  <c r="CA4" i="1" l="1"/>
  <c r="B4" i="1" s="1"/>
  <c r="CA2" i="1"/>
  <c r="CD7" i="2"/>
  <c r="B7" i="2" s="1"/>
  <c r="CF1" i="2"/>
  <c r="CD2" i="2"/>
  <c r="CE2" i="2"/>
</calcChain>
</file>

<file path=xl/sharedStrings.xml><?xml version="1.0" encoding="utf-8"?>
<sst xmlns="http://schemas.openxmlformats.org/spreadsheetml/2006/main" count="2013" uniqueCount="280">
  <si>
    <t>TRUØNG</t>
  </si>
  <si>
    <t>THỨ</t>
  </si>
  <si>
    <t>TIẾT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</si>
  <si>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</si>
  <si>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</si>
  <si>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</si>
  <si>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</si>
  <si>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</si>
  <si>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</si>
  <si>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</si>
  <si>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</si>
  <si>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</si>
  <si>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</si>
  <si>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</si>
  <si>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</si>
  <si>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</si>
  <si>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12A14</t>
  </si>
  <si>
    <t>12A15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</si>
  <si>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</si>
  <si>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</si>
  <si>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</si>
  <si>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</si>
  <si>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</si>
  <si>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</si>
  <si>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</si>
  <si>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</si>
  <si>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</si>
  <si>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</si>
  <si>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</si>
  <si>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</si>
  <si>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11A13</t>
  </si>
  <si>
    <t>11A14</t>
  </si>
  <si>
    <t>11A15</t>
  </si>
  <si>
    <t>11A16</t>
  </si>
  <si>
    <t>11A17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</si>
  <si>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</si>
  <si>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</si>
  <si>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</si>
  <si>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</si>
  <si>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</si>
  <si>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</si>
  <si>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</si>
  <si>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</si>
  <si>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</si>
  <si>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</si>
  <si>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</si>
  <si>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</si>
  <si>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10A13</t>
  </si>
  <si>
    <t>10A14</t>
  </si>
  <si>
    <t>10A15</t>
  </si>
  <si>
    <t>10A16</t>
  </si>
  <si>
    <t>10A17</t>
  </si>
  <si>
    <t>10A18</t>
  </si>
  <si>
    <t>10A19</t>
  </si>
  <si>
    <t>10A20</t>
  </si>
  <si>
    <t>10A21</t>
  </si>
  <si>
    <t>11A18</t>
  </si>
  <si>
    <t>11A19</t>
  </si>
  <si>
    <t>11A20</t>
  </si>
  <si>
    <t>HAI</t>
  </si>
  <si>
    <t>H7HN</t>
  </si>
  <si>
    <t>T2HN</t>
  </si>
  <si>
    <t>T12HN</t>
  </si>
  <si>
    <t>L11HN</t>
  </si>
  <si>
    <t>T4HN</t>
  </si>
  <si>
    <t>V8HN</t>
  </si>
  <si>
    <t>V10HN</t>
  </si>
  <si>
    <t>A4HN</t>
  </si>
  <si>
    <t>A7HN</t>
  </si>
  <si>
    <t>E1HN</t>
  </si>
  <si>
    <t>T14HN</t>
  </si>
  <si>
    <t>A2HN</t>
  </si>
  <si>
    <t>V9HN</t>
  </si>
  <si>
    <t>A11HN</t>
  </si>
  <si>
    <t>V4HN</t>
  </si>
  <si>
    <t>S7HN</t>
  </si>
  <si>
    <t>V13HN</t>
  </si>
  <si>
    <t>E3HN</t>
  </si>
  <si>
    <t>H9HN</t>
  </si>
  <si>
    <t>T13HN</t>
  </si>
  <si>
    <t>H5HN</t>
  </si>
  <si>
    <t>M8HN</t>
  </si>
  <si>
    <t>H6HN</t>
  </si>
  <si>
    <t>L7HN</t>
  </si>
  <si>
    <t>L10HN</t>
  </si>
  <si>
    <t>V3HN</t>
  </si>
  <si>
    <t>T18HN</t>
  </si>
  <si>
    <t>T10HN</t>
  </si>
  <si>
    <t>G6HN</t>
  </si>
  <si>
    <t>E7HN</t>
  </si>
  <si>
    <t>E6HN</t>
  </si>
  <si>
    <t>A5HN</t>
  </si>
  <si>
    <t>L4HN</t>
  </si>
  <si>
    <t>H1HN</t>
  </si>
  <si>
    <t>A8HN</t>
  </si>
  <si>
    <t>H2HN</t>
  </si>
  <si>
    <t>A6HN</t>
  </si>
  <si>
    <t>Q3HN</t>
  </si>
  <si>
    <t>V7HN</t>
  </si>
  <si>
    <t>V5HN</t>
  </si>
  <si>
    <t>L3HN</t>
  </si>
  <si>
    <t>A10HN</t>
  </si>
  <si>
    <t>T8HN</t>
  </si>
  <si>
    <t>L1HN</t>
  </si>
  <si>
    <t>T5HN</t>
  </si>
  <si>
    <t>E8HN</t>
  </si>
  <si>
    <t>T3HN</t>
  </si>
  <si>
    <t>T6HN</t>
  </si>
  <si>
    <t>G5HN</t>
  </si>
  <si>
    <t>T15HN</t>
  </si>
  <si>
    <t>H7</t>
  </si>
  <si>
    <t>V4</t>
  </si>
  <si>
    <t>V8</t>
  </si>
  <si>
    <t>A4</t>
  </si>
  <si>
    <t>A5</t>
  </si>
  <si>
    <t>V10</t>
  </si>
  <si>
    <t>V7</t>
  </si>
  <si>
    <t>T4</t>
  </si>
  <si>
    <t>T6</t>
  </si>
  <si>
    <t>V9</t>
  </si>
  <si>
    <t>T12</t>
  </si>
  <si>
    <t>G5</t>
  </si>
  <si>
    <t>V13</t>
  </si>
  <si>
    <t>A3</t>
  </si>
  <si>
    <t>H6</t>
  </si>
  <si>
    <t>D2</t>
  </si>
  <si>
    <t>E3</t>
  </si>
  <si>
    <t>E7GD</t>
  </si>
  <si>
    <t>A6</t>
  </si>
  <si>
    <t>H5</t>
  </si>
  <si>
    <t>H2</t>
  </si>
  <si>
    <t>A11</t>
  </si>
  <si>
    <t>A10</t>
  </si>
  <si>
    <t>Q3</t>
  </si>
  <si>
    <t>V3</t>
  </si>
  <si>
    <t>A7</t>
  </si>
  <si>
    <t>T10</t>
  </si>
  <si>
    <t>M8</t>
  </si>
  <si>
    <t>T1</t>
  </si>
  <si>
    <t>L1</t>
  </si>
  <si>
    <t>V1</t>
  </si>
  <si>
    <t>L4</t>
  </si>
  <si>
    <t>T13</t>
  </si>
  <si>
    <t>V14</t>
  </si>
  <si>
    <t>L7</t>
  </si>
  <si>
    <t>V5</t>
  </si>
  <si>
    <t>T3</t>
  </si>
  <si>
    <t>T9</t>
  </si>
  <si>
    <t>A1</t>
  </si>
  <si>
    <t>T14</t>
  </si>
  <si>
    <t>L9</t>
  </si>
  <si>
    <t>E6</t>
  </si>
  <si>
    <t>T5</t>
  </si>
  <si>
    <t>H9</t>
  </si>
  <si>
    <t>E1</t>
  </si>
  <si>
    <t>S7</t>
  </si>
  <si>
    <t>A2</t>
  </si>
  <si>
    <t>L11</t>
  </si>
  <si>
    <t>H1</t>
  </si>
  <si>
    <t>A8</t>
  </si>
  <si>
    <t>Q1HN</t>
  </si>
  <si>
    <t>T2</t>
  </si>
  <si>
    <t>E8</t>
  </si>
  <si>
    <t>G6</t>
  </si>
  <si>
    <t>T15</t>
  </si>
  <si>
    <t>S2</t>
  </si>
  <si>
    <t>T8</t>
  </si>
  <si>
    <t>H4</t>
  </si>
  <si>
    <t>D5</t>
  </si>
  <si>
    <t>T18</t>
  </si>
  <si>
    <t>E6GD</t>
  </si>
  <si>
    <t>Q1</t>
  </si>
  <si>
    <t>C4</t>
  </si>
  <si>
    <t>L10</t>
  </si>
  <si>
    <t>BA</t>
  </si>
  <si>
    <t>V6</t>
  </si>
  <si>
    <t>Q2</t>
  </si>
  <si>
    <t>M6</t>
  </si>
  <si>
    <t>E2GD</t>
  </si>
  <si>
    <t>S5</t>
  </si>
  <si>
    <t>S1</t>
  </si>
  <si>
    <t>V2</t>
  </si>
  <si>
    <t>C2</t>
  </si>
  <si>
    <t>GD10</t>
  </si>
  <si>
    <t>L1GD</t>
  </si>
  <si>
    <t>G3</t>
  </si>
  <si>
    <t>M1GD</t>
  </si>
  <si>
    <t>M5</t>
  </si>
  <si>
    <t>A1HN</t>
  </si>
  <si>
    <t>D3</t>
  </si>
  <si>
    <t>L6</t>
  </si>
  <si>
    <t>G2</t>
  </si>
  <si>
    <t>M2</t>
  </si>
  <si>
    <t>THÖÙ</t>
  </si>
  <si>
    <t>E2HN</t>
  </si>
  <si>
    <t>HN10</t>
  </si>
  <si>
    <t>V1HN</t>
  </si>
  <si>
    <t>L3</t>
  </si>
  <si>
    <t>E2</t>
  </si>
  <si>
    <t>L8</t>
  </si>
  <si>
    <t>V12HN</t>
  </si>
  <si>
    <t>E8GD</t>
  </si>
  <si>
    <t>L4GD</t>
  </si>
  <si>
    <t>TƯ</t>
  </si>
  <si>
    <t>E3GD</t>
  </si>
  <si>
    <t>S3</t>
  </si>
  <si>
    <t>M4</t>
  </si>
  <si>
    <t>E1GD</t>
  </si>
  <si>
    <t>D4</t>
  </si>
  <si>
    <t>U6</t>
  </si>
  <si>
    <t>U7</t>
  </si>
  <si>
    <t>U8</t>
  </si>
  <si>
    <t>U2</t>
  </si>
  <si>
    <t>L5GD</t>
  </si>
  <si>
    <t>U1</t>
  </si>
  <si>
    <t>M1HN</t>
  </si>
  <si>
    <t>E7</t>
  </si>
  <si>
    <t>TÖ</t>
  </si>
  <si>
    <t>U4</t>
  </si>
  <si>
    <t>NĂM</t>
  </si>
  <si>
    <t>L9HN</t>
  </si>
  <si>
    <t>Q1GD</t>
  </si>
  <si>
    <t>L5HN</t>
  </si>
  <si>
    <t>NAÊM</t>
  </si>
  <si>
    <t>L12HN</t>
  </si>
  <si>
    <t>L6HN</t>
  </si>
  <si>
    <t>SÁU</t>
  </si>
  <si>
    <t>H5GD</t>
  </si>
  <si>
    <t>V11</t>
  </si>
  <si>
    <t>Q3GD</t>
  </si>
  <si>
    <t>SAÙU</t>
  </si>
  <si>
    <t>BẢY</t>
  </si>
  <si>
    <t>L3hn</t>
  </si>
  <si>
    <t>BAÛY</t>
  </si>
  <si>
    <t>KHỐI 12</t>
  </si>
  <si>
    <t>KHỐI 11</t>
  </si>
  <si>
    <t>KHỐI 10</t>
  </si>
  <si>
    <t>SH</t>
  </si>
  <si>
    <t>TNHN</t>
    <phoneticPr fontId="0" type="noConversion"/>
  </si>
  <si>
    <t>Trái buổi</t>
  </si>
  <si>
    <t>10A22</t>
  </si>
  <si>
    <t>12A16</t>
  </si>
  <si>
    <t>12A17</t>
  </si>
  <si>
    <t>ĐỊA 1</t>
  </si>
  <si>
    <t>KT_THI</t>
  </si>
  <si>
    <t>7B</t>
  </si>
  <si>
    <t>8B</t>
  </si>
  <si>
    <t>5B</t>
  </si>
  <si>
    <t>6B</t>
  </si>
  <si>
    <t>10B</t>
  </si>
  <si>
    <t>1B</t>
  </si>
  <si>
    <t>2B</t>
  </si>
  <si>
    <t>9B</t>
  </si>
  <si>
    <t>13B</t>
  </si>
  <si>
    <t>11B</t>
  </si>
  <si>
    <t>12B</t>
  </si>
  <si>
    <t>14B</t>
  </si>
  <si>
    <t>15B</t>
  </si>
  <si>
    <t>AV1</t>
  </si>
  <si>
    <t>M4QT</t>
  </si>
  <si>
    <t>ghép STEM</t>
  </si>
  <si>
    <t>ghép AVBN</t>
  </si>
  <si>
    <t>ghép THQT</t>
  </si>
  <si>
    <t>GV2</t>
  </si>
  <si>
    <t>M2QT</t>
  </si>
  <si>
    <t>AV3</t>
  </si>
  <si>
    <t>GV1</t>
  </si>
  <si>
    <t>AV2</t>
  </si>
  <si>
    <t>L8HN</t>
  </si>
  <si>
    <t>AV4</t>
  </si>
  <si>
    <t>M3QT</t>
  </si>
  <si>
    <t>M8QT</t>
  </si>
  <si>
    <t>M6QT</t>
  </si>
  <si>
    <t>M5QT</t>
  </si>
  <si>
    <t>U3</t>
  </si>
  <si>
    <t>H1GD</t>
  </si>
  <si>
    <t>Ghép AVBN</t>
  </si>
  <si>
    <t>Ghép THQT</t>
  </si>
  <si>
    <t>B109</t>
  </si>
  <si>
    <t>A103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</si>
</sst>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VNI-Times"/>
    </font>
    <font>
      <b/>
      <i/>
      <sz val="11"/>
      <color rgb="FF800000"/>
      <name val="VNI-Times"/>
    </font>
    <font>
      <b/>
      <sz val="11"/>
      <color indexed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VNI-Tekon"/>
    </font>
    <font>
      <sz val="11"/>
      <color indexed="12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color indexed="60"/>
      <name val="Arial"/>
      <family val="2"/>
    </font>
    <font>
      <sz val="8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2"/>
      </right>
      <top/>
      <bottom style="hair">
        <color indexed="64"/>
      </bottom>
      <diagonal/>
    </border>
    <border>
      <left style="thin">
        <color indexed="62"/>
      </left>
      <right style="thin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2"/>
      </left>
      <right style="thin">
        <color indexed="62"/>
      </right>
      <top/>
      <bottom style="hair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hair">
        <color indexed="62"/>
      </bottom>
      <diagonal/>
    </border>
    <border>
      <left style="thin">
        <color indexed="64"/>
      </left>
      <right style="thin">
        <color indexed="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2"/>
      </right>
      <top style="hair">
        <color indexed="64"/>
      </top>
      <bottom style="medium">
        <color indexed="64"/>
      </bottom>
      <diagonal/>
    </border>
    <border>
      <left style="thin">
        <color indexed="62"/>
      </left>
      <right style="thin">
        <color indexed="62"/>
      </right>
      <top style="hair">
        <color indexed="62"/>
      </top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2060"/>
      </left>
      <right style="hair">
        <color indexed="64"/>
      </right>
      <top style="thin">
        <color indexed="64"/>
      </top>
      <bottom/>
      <diagonal/>
    </border>
    <border>
      <left style="thin">
        <color indexed="62"/>
      </left>
      <right/>
      <top style="hair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hair">
        <color indexed="62"/>
      </top>
      <bottom/>
      <diagonal/>
    </border>
    <border>
      <left style="thin">
        <color indexed="62"/>
      </left>
      <right/>
      <top style="hair">
        <color indexed="62"/>
      </top>
      <bottom style="hair">
        <color indexed="62"/>
      </bottom>
      <diagonal/>
    </border>
    <border>
      <left style="thin">
        <color indexed="64"/>
      </left>
      <right style="thin">
        <color indexed="62"/>
      </right>
      <top style="medium">
        <color indexed="62"/>
      </top>
      <bottom style="hair">
        <color indexed="64"/>
      </bottom>
      <diagonal/>
    </border>
    <border>
      <left style="thin">
        <color indexed="64"/>
      </left>
      <right/>
      <top style="medium">
        <color indexed="62"/>
      </top>
      <bottom style="hair">
        <color indexed="64"/>
      </bottom>
      <diagonal/>
    </border>
    <border>
      <left style="thin">
        <color rgb="FF002060"/>
      </left>
      <right style="thin">
        <color indexed="62"/>
      </right>
      <top style="medium">
        <color indexed="62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2060"/>
      </left>
      <right style="thin">
        <color indexed="62"/>
      </right>
      <top style="hair">
        <color indexed="64"/>
      </top>
      <bottom style="hair">
        <color indexed="64"/>
      </bottom>
      <diagonal/>
    </border>
    <border>
      <left style="thin">
        <color rgb="FF002060"/>
      </left>
      <right style="thin">
        <color indexed="62"/>
      </right>
      <top style="hair">
        <color indexed="62"/>
      </top>
      <bottom style="hair">
        <color indexed="62"/>
      </bottom>
      <diagonal/>
    </border>
    <border>
      <left style="thin">
        <color rgb="FF002060"/>
      </left>
      <right style="thin">
        <color indexed="62"/>
      </right>
      <top style="hair">
        <color indexed="62"/>
      </top>
      <bottom style="medium">
        <color indexed="62"/>
      </bottom>
      <diagonal/>
    </border>
    <border>
      <left style="thin">
        <color rgb="FF002060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 tint="0.39994506668294322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9" fillId="5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 textRotation="90"/>
    </xf>
    <xf numFmtId="0" fontId="9" fillId="5" borderId="13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 textRotation="90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 vertical="center" textRotation="90"/>
    </xf>
    <xf numFmtId="0" fontId="11" fillId="5" borderId="7" xfId="0" applyFont="1" applyFill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11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textRotation="90"/>
    </xf>
    <xf numFmtId="0" fontId="11" fillId="5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textRotation="90"/>
    </xf>
    <xf numFmtId="0" fontId="11" fillId="5" borderId="16" xfId="0" applyFont="1" applyFill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1" fillId="5" borderId="1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2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6" borderId="21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6" borderId="19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7" fillId="2" borderId="6" xfId="0" applyFont="1" applyFill="1" applyBorder="1" applyAlignment="1">
      <alignment horizontal="center" vertical="center" textRotation="90"/>
    </xf>
    <xf numFmtId="0" fontId="18" fillId="5" borderId="7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7" fillId="2" borderId="12" xfId="0" applyFont="1" applyFill="1" applyBorder="1" applyAlignment="1">
      <alignment horizontal="center" vertical="center" textRotation="90"/>
    </xf>
    <xf numFmtId="0" fontId="18" fillId="5" borderId="13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7" fillId="2" borderId="15" xfId="0" applyFont="1" applyFill="1" applyBorder="1" applyAlignment="1">
      <alignment horizontal="center" vertical="center" textRotation="90"/>
    </xf>
    <xf numFmtId="0" fontId="18" fillId="5" borderId="16" xfId="0" applyFont="1" applyFill="1" applyBorder="1" applyAlignment="1">
      <alignment horizontal="center"/>
    </xf>
    <xf numFmtId="0" fontId="18" fillId="5" borderId="17" xfId="0" applyFont="1" applyFill="1" applyBorder="1" applyAlignment="1">
      <alignment horizontal="center"/>
    </xf>
    <xf numFmtId="0" fontId="18" fillId="5" borderId="18" xfId="0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/>
    <xf numFmtId="0" fontId="13" fillId="0" borderId="0" xfId="0" applyFont="1" applyAlignment="1">
      <alignment shrinkToFit="1"/>
    </xf>
    <xf numFmtId="0" fontId="11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17" fillId="2" borderId="33" xfId="0" applyFont="1" applyFill="1" applyBorder="1" applyAlignment="1">
      <alignment horizontal="center" shrinkToFit="1"/>
    </xf>
    <xf numFmtId="0" fontId="17" fillId="2" borderId="34" xfId="0" applyFont="1" applyFill="1" applyBorder="1" applyAlignment="1">
      <alignment horizontal="center" shrinkToFit="1"/>
    </xf>
    <xf numFmtId="0" fontId="17" fillId="2" borderId="35" xfId="0" applyFont="1" applyFill="1" applyBorder="1" applyAlignment="1">
      <alignment horizontal="center" shrinkToFit="1"/>
    </xf>
    <xf numFmtId="0" fontId="17" fillId="2" borderId="36" xfId="0" applyFont="1" applyFill="1" applyBorder="1" applyAlignment="1">
      <alignment horizontal="center" shrinkToFit="1"/>
    </xf>
    <xf numFmtId="0" fontId="17" fillId="2" borderId="6" xfId="0" applyFont="1" applyFill="1" applyBorder="1" applyAlignment="1">
      <alignment horizontal="center" vertical="center" textRotation="90" shrinkToFit="1"/>
    </xf>
    <xf numFmtId="0" fontId="18" fillId="5" borderId="7" xfId="0" applyFont="1" applyFill="1" applyBorder="1" applyAlignment="1">
      <alignment horizont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5" borderId="11" xfId="0" applyFont="1" applyFill="1" applyBorder="1" applyAlignment="1">
      <alignment horizontal="center" shrinkToFit="1"/>
    </xf>
    <xf numFmtId="0" fontId="13" fillId="0" borderId="8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7" fillId="2" borderId="12" xfId="0" applyFont="1" applyFill="1" applyBorder="1" applyAlignment="1">
      <alignment horizontal="center" vertical="center" textRotation="90" shrinkToFit="1"/>
    </xf>
    <xf numFmtId="0" fontId="18" fillId="5" borderId="13" xfId="0" applyFont="1" applyFill="1" applyBorder="1" applyAlignment="1">
      <alignment horizontal="center" shrinkToFit="1"/>
    </xf>
    <xf numFmtId="0" fontId="13" fillId="0" borderId="14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0" fontId="17" fillId="2" borderId="15" xfId="0" applyFont="1" applyFill="1" applyBorder="1" applyAlignment="1">
      <alignment horizontal="center" vertical="center" textRotation="90" shrinkToFit="1"/>
    </xf>
    <xf numFmtId="0" fontId="18" fillId="5" borderId="16" xfId="0" applyFont="1" applyFill="1" applyBorder="1" applyAlignment="1">
      <alignment horizontal="center" shrinkToFit="1"/>
    </xf>
    <xf numFmtId="0" fontId="18" fillId="5" borderId="17" xfId="0" applyFont="1" applyFill="1" applyBorder="1" applyAlignment="1">
      <alignment horizontal="center" shrinkToFit="1"/>
    </xf>
    <xf numFmtId="0" fontId="18" fillId="5" borderId="18" xfId="0" applyFont="1" applyFill="1" applyBorder="1" applyAlignment="1">
      <alignment horizontal="center" shrinkToFit="1"/>
    </xf>
    <xf numFmtId="0" fontId="8" fillId="2" borderId="6" xfId="0" applyFont="1" applyFill="1" applyBorder="1" applyAlignment="1">
      <alignment horizontal="center" vertical="center" textRotation="90"/>
    </xf>
    <xf numFmtId="0" fontId="8" fillId="2" borderId="12" xfId="0" applyFont="1" applyFill="1" applyBorder="1" applyAlignment="1">
      <alignment horizontal="center" vertical="center" textRotation="90"/>
    </xf>
    <xf numFmtId="0" fontId="8" fillId="2" borderId="1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">
    <dxf>
      <font>
        <b/>
        <i val="0"/>
        <condense val="0"/>
        <extend val="0"/>
        <u/>
        <color indexed="43"/>
      </font>
      <fill>
        <patternFill>
          <bgColor indexed="10"/>
        </patternFill>
      </fill>
    </dxf>
    <dxf>
      <font>
        <b/>
        <i val="0"/>
        <condense val="0"/>
        <extend val="0"/>
        <u/>
        <color indexed="43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19050</xdr:colOff>
          <xdr:row>0</xdr:row>
          <xdr:rowOff>19050</xdr:rowOff>
        </xdr:from>
        <xdr:to>
          <xdr:col>1</xdr:col>
          <xdr:colOff>314325</xdr:colOff>
          <xdr:row>1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D906889-B023-4608-8A4D-2FD1C23FD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1" i="1" u="none" strike="noStrike" baseline="0">
                  <a:solidFill>
                    <a:srgbClr val="800000"/>
                  </a:solidFill>
                  <a:latin typeface="VNI-Times"/>
                </a:rPr>
                <a:t>IN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0</xdr:row>
          <xdr:rowOff>19050</xdr:rowOff>
        </xdr:from>
        <xdr:to>
          <xdr:col>2</xdr:col>
          <xdr:colOff>133350</xdr:colOff>
          <xdr:row>1</xdr:row>
          <xdr:rowOff>38100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4766578-8062-4D4F-826B-FAA5D694E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1" i="1" u="none" strike="noStrike" baseline="0">
                  <a:solidFill>
                    <a:srgbClr val="800000"/>
                  </a:solidFill>
                  <a:latin typeface="VNI-Times"/>
                </a:rPr>
                <a:t>IN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uan\26-27\DAY%20DU\thang%2010\TKB%20AP%20DUNG%20V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5-26\1.XEP%20TKB\HK2%2025-26\TKB%20AP%20DUNG%20THANG%2004-2026\2.BANG%20TKB%20%20AP%20DUNG%2024-03-25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tum\OneDrive\&#12487;&#12473;&#12463;&#12488;&#12483;&#12503;\HOC%20KY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tum\OneDrive\&#12487;&#12473;&#12463;&#12488;&#12483;&#12503;\TKB%20AP%20DUNG%2018-10-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M%20HK2_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BC (3)"/>
      <sheetName val="TKBS (3)"/>
      <sheetName val="TKBS (4)"/>
      <sheetName val="TKBC (2)"/>
      <sheetName val="TKBC (4)"/>
      <sheetName val="TKBS (2)"/>
      <sheetName val="TKBC (5)"/>
      <sheetName val="TKBS (5)"/>
      <sheetName val="DanhSach"/>
      <sheetName val="DSLop"/>
      <sheetName val="TKBTo"/>
      <sheetName val="TKBGV"/>
      <sheetName val="TKBL"/>
      <sheetName val="TKBS"/>
      <sheetName val="TKBC"/>
      <sheetName val="SD SANG"/>
      <sheetName val="SD CHIEU"/>
      <sheetName val="IN SANG"/>
      <sheetName val="IN CHIEU"/>
      <sheetName val="XE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F1" t="str">
            <v>12-10-2026</v>
          </cell>
        </row>
        <row r="4">
          <cell r="C4" t="str">
            <v>A1</v>
          </cell>
          <cell r="D4" t="str">
            <v>Đoàn Văn Chất</v>
          </cell>
          <cell r="E4" t="str">
            <v>Doan Van Chat</v>
          </cell>
          <cell r="F4" t="str">
            <v>CHẤT</v>
          </cell>
          <cell r="G4" t="str">
            <v>CHAT</v>
          </cell>
          <cell r="H4" t="str">
            <v>ANH</v>
          </cell>
        </row>
        <row r="5">
          <cell r="C5" t="str">
            <v>A10</v>
          </cell>
          <cell r="D5" t="str">
            <v>Văn Huỳnh Bảo Phương</v>
          </cell>
          <cell r="E5" t="str">
            <v>Bao Phuong</v>
          </cell>
          <cell r="F5" t="str">
            <v>Bao Phuong</v>
          </cell>
          <cell r="G5" t="str">
            <v>Bao Phuong</v>
          </cell>
          <cell r="H5" t="str">
            <v>ANH</v>
          </cell>
        </row>
        <row r="6">
          <cell r="C6" t="str">
            <v>A11</v>
          </cell>
          <cell r="D6" t="str">
            <v>Phạm Thị Phương Điền</v>
          </cell>
          <cell r="E6" t="str">
            <v>Pham Thi Phuong Dien</v>
          </cell>
          <cell r="F6" t="str">
            <v>ĐIỀN</v>
          </cell>
          <cell r="G6" t="str">
            <v>DIEN</v>
          </cell>
          <cell r="H6" t="str">
            <v>ANH</v>
          </cell>
        </row>
        <row r="7">
          <cell r="C7" t="str">
            <v>A2</v>
          </cell>
          <cell r="D7" t="str">
            <v>Nguyễn Thị Thùy Dương</v>
          </cell>
          <cell r="E7" t="str">
            <v>Nguyen Thi Thuy Duong</v>
          </cell>
          <cell r="F7" t="str">
            <v>DƯƠNG</v>
          </cell>
          <cell r="G7" t="str">
            <v>DUONG</v>
          </cell>
          <cell r="H7" t="str">
            <v>ANH</v>
          </cell>
        </row>
        <row r="8">
          <cell r="C8" t="str">
            <v>A3</v>
          </cell>
          <cell r="D8" t="str">
            <v>Nguyễn Văn Hùng</v>
          </cell>
          <cell r="E8" t="str">
            <v>Nguyen Van Hung</v>
          </cell>
          <cell r="F8" t="str">
            <v>HÙNG (AV)</v>
          </cell>
          <cell r="G8" t="str">
            <v>HUNG.A</v>
          </cell>
          <cell r="H8" t="str">
            <v>ANH</v>
          </cell>
        </row>
        <row r="9">
          <cell r="C9" t="str">
            <v>A4</v>
          </cell>
          <cell r="D9" t="str">
            <v>Nguyễn Thị Tường Vy</v>
          </cell>
          <cell r="E9" t="str">
            <v>Nguyễn Thị Tường Vy</v>
          </cell>
          <cell r="F9" t="str">
            <v>Vy</v>
          </cell>
          <cell r="G9" t="str">
            <v>Vy</v>
          </cell>
          <cell r="H9" t="str">
            <v>ANH</v>
          </cell>
        </row>
        <row r="10">
          <cell r="C10" t="str">
            <v>A5</v>
          </cell>
          <cell r="D10" t="str">
            <v>Nguyễn Minh Thanh Tùng</v>
          </cell>
          <cell r="E10" t="str">
            <v>Nguyễn Minh Thanh Tùng</v>
          </cell>
          <cell r="F10" t="str">
            <v>Tùng</v>
          </cell>
          <cell r="G10" t="str">
            <v>Tùng</v>
          </cell>
          <cell r="H10" t="str">
            <v>ANH</v>
          </cell>
        </row>
        <row r="11">
          <cell r="C11" t="str">
            <v>A6</v>
          </cell>
          <cell r="D11" t="str">
            <v>Mai Lan Anh</v>
          </cell>
          <cell r="E11" t="str">
            <v>Mai Lan Anh</v>
          </cell>
          <cell r="F11" t="str">
            <v>L.Anh</v>
          </cell>
          <cell r="G11" t="str">
            <v>L.ANH</v>
          </cell>
          <cell r="H11" t="str">
            <v>ANH</v>
          </cell>
        </row>
        <row r="12">
          <cell r="C12" t="str">
            <v>A7</v>
          </cell>
          <cell r="D12" t="str">
            <v>Trần Thị Mỹ Thanh</v>
          </cell>
          <cell r="E12" t="str">
            <v>Tran Thi My Thanh</v>
          </cell>
          <cell r="F12" t="str">
            <v>M. THANH</v>
          </cell>
          <cell r="G12" t="str">
            <v>M. THANH</v>
          </cell>
          <cell r="H12" t="str">
            <v>ANH</v>
          </cell>
        </row>
        <row r="13">
          <cell r="C13" t="str">
            <v>A8</v>
          </cell>
          <cell r="D13" t="str">
            <v>Nguyễn Xuân Thu</v>
          </cell>
          <cell r="E13" t="str">
            <v>Nguyen Xuan Thu</v>
          </cell>
          <cell r="F13" t="str">
            <v>THU (AV)</v>
          </cell>
          <cell r="G13" t="str">
            <v>THU (AV)</v>
          </cell>
          <cell r="H13" t="str">
            <v>ANH</v>
          </cell>
        </row>
        <row r="14">
          <cell r="C14" t="str">
            <v>AV1</v>
          </cell>
          <cell r="D14" t="str">
            <v>Tiếng Anh 1</v>
          </cell>
          <cell r="E14" t="str">
            <v>AVBN</v>
          </cell>
          <cell r="F14" t="str">
            <v>AVBN</v>
          </cell>
          <cell r="G14" t="str">
            <v>AVBN</v>
          </cell>
          <cell r="H14" t="str">
            <v>AVBN</v>
          </cell>
        </row>
        <row r="15">
          <cell r="C15" t="str">
            <v>AV2</v>
          </cell>
          <cell r="D15" t="str">
            <v>Tiếng Anh 2</v>
          </cell>
          <cell r="E15" t="str">
            <v>AVBN</v>
          </cell>
          <cell r="F15" t="str">
            <v>AVBN</v>
          </cell>
          <cell r="G15" t="str">
            <v>AVBN</v>
          </cell>
          <cell r="H15" t="str">
            <v>AVBN</v>
          </cell>
        </row>
        <row r="16">
          <cell r="C16" t="str">
            <v>AV3</v>
          </cell>
          <cell r="D16" t="str">
            <v>Tiếng Anh 3</v>
          </cell>
          <cell r="E16" t="str">
            <v>AVBN</v>
          </cell>
          <cell r="F16" t="str">
            <v>AVBN</v>
          </cell>
          <cell r="G16" t="str">
            <v>AVBN</v>
          </cell>
          <cell r="H16" t="str">
            <v>AVBN</v>
          </cell>
        </row>
        <row r="17">
          <cell r="C17" t="str">
            <v>AV4</v>
          </cell>
          <cell r="D17" t="str">
            <v>Tiếng Anh 4</v>
          </cell>
          <cell r="E17" t="str">
            <v>AVBN</v>
          </cell>
          <cell r="F17" t="str">
            <v>AVBN</v>
          </cell>
          <cell r="G17" t="str">
            <v>AVBN</v>
          </cell>
          <cell r="H17" t="str">
            <v>AVBN</v>
          </cell>
        </row>
        <row r="18">
          <cell r="C18" t="str">
            <v>C2</v>
          </cell>
          <cell r="D18" t="str">
            <v>Trần Như Thảo</v>
          </cell>
          <cell r="E18" t="str">
            <v>Tran Nhu Thao</v>
          </cell>
          <cell r="F18" t="str">
            <v>THẢO (CN)</v>
          </cell>
          <cell r="G18" t="str">
            <v>THAO (CN)</v>
          </cell>
          <cell r="H18" t="str">
            <v>C. NGHỆ</v>
          </cell>
        </row>
        <row r="19">
          <cell r="C19" t="str">
            <v>C3</v>
          </cell>
          <cell r="D19" t="str">
            <v>Nguyễn Thị Tuyết Nhung</v>
          </cell>
          <cell r="E19" t="str">
            <v>Nguyễn Thị Tuyết Nhung</v>
          </cell>
          <cell r="F19" t="str">
            <v>NHUNG</v>
          </cell>
          <cell r="G19" t="str">
            <v>NHUNG</v>
          </cell>
          <cell r="H19" t="str">
            <v>C. NGHỆ</v>
          </cell>
        </row>
        <row r="20">
          <cell r="C20" t="str">
            <v>C4</v>
          </cell>
          <cell r="D20" t="str">
            <v>Vũ Đình Hoài Thanh</v>
          </cell>
          <cell r="E20" t="str">
            <v>Vu Dinh Hoai Thanh</v>
          </cell>
          <cell r="F20" t="str">
            <v>H.THANH</v>
          </cell>
          <cell r="G20" t="str">
            <v>H.THANH</v>
          </cell>
          <cell r="H20" t="str">
            <v>C. NGHỆ</v>
          </cell>
        </row>
        <row r="21">
          <cell r="C21" t="str">
            <v>D2</v>
          </cell>
          <cell r="D21" t="str">
            <v>Phạm Thị Thu Hường</v>
          </cell>
          <cell r="E21" t="str">
            <v>Phạm Thị Thu Hường</v>
          </cell>
          <cell r="F21" t="str">
            <v>HƯỜNG</v>
          </cell>
          <cell r="G21" t="str">
            <v>HƯƠNG</v>
          </cell>
          <cell r="H21" t="str">
            <v>ĐỊA</v>
          </cell>
        </row>
        <row r="22">
          <cell r="C22" t="str">
            <v>D3</v>
          </cell>
          <cell r="D22" t="str">
            <v>Bùi Thị Thủy Tiên</v>
          </cell>
          <cell r="E22" t="str">
            <v>Bui Thi Thuy Tien</v>
          </cell>
          <cell r="F22" t="str">
            <v>TIÊN</v>
          </cell>
          <cell r="G22" t="str">
            <v>TIEN</v>
          </cell>
          <cell r="H22" t="str">
            <v>ĐỊA</v>
          </cell>
        </row>
        <row r="23">
          <cell r="C23" t="str">
            <v>D4</v>
          </cell>
          <cell r="D23" t="str">
            <v>Đào Thị  Thành</v>
          </cell>
          <cell r="E23" t="str">
            <v>Dao Thi Thanh</v>
          </cell>
          <cell r="F23" t="str">
            <v>THÀNH (Đ)</v>
          </cell>
          <cell r="G23" t="str">
            <v>THANH (Đ)</v>
          </cell>
          <cell r="H23" t="str">
            <v>ĐỊA</v>
          </cell>
        </row>
        <row r="24">
          <cell r="C24" t="str">
            <v>D5</v>
          </cell>
          <cell r="D24" t="str">
            <v xml:space="preserve">Huỳnh Thị Bích Huyền </v>
          </cell>
          <cell r="E24" t="str">
            <v>Huynh Thi Bich Huyen</v>
          </cell>
          <cell r="F24" t="str">
            <v>HUYỀN</v>
          </cell>
          <cell r="G24" t="str">
            <v>HUYEN</v>
          </cell>
          <cell r="H24" t="str">
            <v>ĐỊA</v>
          </cell>
        </row>
        <row r="25">
          <cell r="C25" t="str">
            <v>D3GD</v>
          </cell>
          <cell r="D25" t="str">
            <v>Bùi Thị Thủy Tiên</v>
          </cell>
          <cell r="E25" t="str">
            <v>Bui Thi Thuy Tien</v>
          </cell>
          <cell r="F25" t="str">
            <v>TIÊN</v>
          </cell>
          <cell r="G25" t="str">
            <v>TIEN</v>
          </cell>
          <cell r="H25" t="str">
            <v>GDĐP</v>
          </cell>
        </row>
        <row r="26">
          <cell r="C26" t="str">
            <v>E1GD</v>
          </cell>
          <cell r="D26" t="str">
            <v>Nguyễn Thị Tuyết Nhung</v>
          </cell>
          <cell r="E26" t="str">
            <v>Nguyễn Thị Tuyết Nhung</v>
          </cell>
          <cell r="F26" t="str">
            <v>NHUNG</v>
          </cell>
          <cell r="G26" t="str">
            <v>NHUNG</v>
          </cell>
          <cell r="H26" t="str">
            <v>GDĐP</v>
          </cell>
        </row>
        <row r="27">
          <cell r="C27" t="str">
            <v>E2GD</v>
          </cell>
          <cell r="D27" t="str">
            <v>Trần Thị Mỹ Sương</v>
          </cell>
          <cell r="E27" t="str">
            <v>Tran Thi My Suong</v>
          </cell>
          <cell r="F27" t="str">
            <v>SƯƠNG</v>
          </cell>
          <cell r="G27" t="str">
            <v>SUONG (GD)</v>
          </cell>
          <cell r="H27" t="str">
            <v>GDĐP</v>
          </cell>
        </row>
        <row r="28">
          <cell r="C28" t="str">
            <v>E3GD</v>
          </cell>
          <cell r="D28" t="str">
            <v>Mã Thị Minh Thi</v>
          </cell>
          <cell r="E28" t="str">
            <v>THI</v>
          </cell>
          <cell r="F28" t="str">
            <v>M.THI</v>
          </cell>
          <cell r="G28" t="str">
            <v>THI</v>
          </cell>
          <cell r="H28" t="str">
            <v>GDĐP</v>
          </cell>
        </row>
        <row r="29">
          <cell r="C29" t="str">
            <v>E6GD</v>
          </cell>
          <cell r="D29" t="str">
            <v xml:space="preserve">Trần Thị Khuyên </v>
          </cell>
          <cell r="E29" t="str">
            <v>Tran Thi Khuyen</v>
          </cell>
          <cell r="F29" t="str">
            <v>KHUYÊN</v>
          </cell>
          <cell r="G29" t="str">
            <v>KHUYÊN</v>
          </cell>
          <cell r="H29" t="str">
            <v>GDĐP</v>
          </cell>
        </row>
        <row r="30">
          <cell r="C30" t="str">
            <v>E7GD</v>
          </cell>
          <cell r="D30" t="str">
            <v>NGUYỄN THỊ QUỲNH DIỄM</v>
          </cell>
          <cell r="E30" t="str">
            <v>DIỄM</v>
          </cell>
          <cell r="F30" t="str">
            <v>DIỄM</v>
          </cell>
          <cell r="G30" t="str">
            <v>DIỄM</v>
          </cell>
          <cell r="H30" t="str">
            <v>GDĐP</v>
          </cell>
        </row>
        <row r="31">
          <cell r="C31" t="str">
            <v>E8GD</v>
          </cell>
          <cell r="D31" t="str">
            <v>Nguyễn Bảo Trang</v>
          </cell>
          <cell r="E31" t="str">
            <v>Nguyen Bao Trang</v>
          </cell>
          <cell r="F31" t="str">
            <v>B.Trang</v>
          </cell>
          <cell r="G31" t="str">
            <v>Trang (Si)</v>
          </cell>
          <cell r="H31" t="str">
            <v>GDĐP</v>
          </cell>
        </row>
        <row r="32">
          <cell r="C32" t="str">
            <v>GD10</v>
          </cell>
          <cell r="D32" t="str">
            <v>Nguyễn Thụy Diễm Linh</v>
          </cell>
          <cell r="E32" t="str">
            <v>Nguyen Thuy Diem Linh</v>
          </cell>
          <cell r="F32" t="str">
            <v>Linh (TV)</v>
          </cell>
          <cell r="G32" t="str">
            <v>Linh (TV)</v>
          </cell>
          <cell r="H32" t="str">
            <v>GDĐP</v>
          </cell>
        </row>
        <row r="33">
          <cell r="C33" t="str">
            <v>L10GD</v>
          </cell>
          <cell r="D33" t="str">
            <v>VŨ THANH VÂN</v>
          </cell>
          <cell r="E33" t="str">
            <v>VÂN</v>
          </cell>
          <cell r="F33" t="str">
            <v>VÂN</v>
          </cell>
          <cell r="G33" t="str">
            <v>VÂN</v>
          </cell>
          <cell r="H33" t="str">
            <v>GDĐP</v>
          </cell>
        </row>
        <row r="34">
          <cell r="C34" t="str">
            <v>L12GD</v>
          </cell>
          <cell r="D34" t="str">
            <v>Nguyễn Tường Thịnh</v>
          </cell>
          <cell r="E34" t="str">
            <v>Nguyen Tuong Thinh</v>
          </cell>
          <cell r="F34" t="str">
            <v>THINH</v>
          </cell>
          <cell r="G34" t="str">
            <v>THINH</v>
          </cell>
          <cell r="H34" t="str">
            <v>GDĐP</v>
          </cell>
        </row>
        <row r="35">
          <cell r="C35" t="str">
            <v>L1GD</v>
          </cell>
          <cell r="D35" t="str">
            <v>Trần Hồng Uyên</v>
          </cell>
          <cell r="E35" t="str">
            <v>Trần Hồng Uyên</v>
          </cell>
          <cell r="F35" t="str">
            <v>UYÊN</v>
          </cell>
          <cell r="G35" t="str">
            <v>UYEN</v>
          </cell>
          <cell r="H35" t="str">
            <v>GDĐP</v>
          </cell>
        </row>
        <row r="36">
          <cell r="C36" t="str">
            <v>L3GD</v>
          </cell>
          <cell r="D36" t="str">
            <v>Nguyễn Thị Xuân Hương</v>
          </cell>
          <cell r="E36" t="str">
            <v>Nguyen Thi Xuan Huong</v>
          </cell>
          <cell r="F36" t="str">
            <v>HƯƠNG (L)</v>
          </cell>
          <cell r="G36" t="str">
            <v>HUONG</v>
          </cell>
          <cell r="H36" t="str">
            <v>GDĐP</v>
          </cell>
        </row>
        <row r="37">
          <cell r="C37" t="str">
            <v>L5GD</v>
          </cell>
          <cell r="D37" t="str">
            <v>Cao Đình Trung Hậu</v>
          </cell>
          <cell r="E37" t="str">
            <v>HẬU</v>
          </cell>
          <cell r="F37" t="str">
            <v>HẬU</v>
          </cell>
          <cell r="G37" t="str">
            <v>HẬU (GD)</v>
          </cell>
          <cell r="H37" t="str">
            <v>GDĐP</v>
          </cell>
        </row>
        <row r="38">
          <cell r="C38" t="str">
            <v>L7GD</v>
          </cell>
          <cell r="D38" t="str">
            <v>TRẦN THỊ HẠNH</v>
          </cell>
          <cell r="E38" t="str">
            <v>HẠNH</v>
          </cell>
          <cell r="F38" t="str">
            <v>HẠNH</v>
          </cell>
          <cell r="G38" t="str">
            <v>HẠNH</v>
          </cell>
          <cell r="H38" t="str">
            <v>GDĐP</v>
          </cell>
        </row>
        <row r="39">
          <cell r="C39" t="str">
            <v>M1GD</v>
          </cell>
          <cell r="D39" t="str">
            <v>Tưởng Đông Diệm</v>
          </cell>
          <cell r="E39" t="str">
            <v>Tuong Dong Diem</v>
          </cell>
          <cell r="F39" t="str">
            <v>DIỆM (DP)</v>
          </cell>
          <cell r="G39" t="str">
            <v>DIỆM (GD)</v>
          </cell>
          <cell r="H39" t="str">
            <v>GDĐP</v>
          </cell>
        </row>
        <row r="40">
          <cell r="C40" t="str">
            <v>S2GD</v>
          </cell>
          <cell r="D40" t="str">
            <v>Ngô Thúy Duy</v>
          </cell>
          <cell r="E40" t="str">
            <v>Ngô Thuy Duy</v>
          </cell>
          <cell r="F40" t="str">
            <v>Duy</v>
          </cell>
          <cell r="G40" t="str">
            <v>Duy (GD)</v>
          </cell>
          <cell r="H40" t="str">
            <v>GDĐP</v>
          </cell>
        </row>
        <row r="41">
          <cell r="C41" t="str">
            <v>S3GD</v>
          </cell>
          <cell r="D41" t="str">
            <v xml:space="preserve">Lê Thị Nhật Thảo </v>
          </cell>
          <cell r="E41" t="str">
            <v>Le Thi Nhat Thao</v>
          </cell>
          <cell r="F41" t="str">
            <v>THẢO</v>
          </cell>
          <cell r="G41" t="str">
            <v>THAO</v>
          </cell>
          <cell r="H41" t="str">
            <v>GDĐP</v>
          </cell>
        </row>
        <row r="42">
          <cell r="C42" t="str">
            <v>S7GD</v>
          </cell>
          <cell r="D42" t="str">
            <v>Nguyễn Phước Khôi</v>
          </cell>
          <cell r="E42" t="str">
            <v>Nguyễn Phước Khôi</v>
          </cell>
          <cell r="F42" t="str">
            <v>KHÔI</v>
          </cell>
          <cell r="G42" t="str">
            <v>KHÔI (GD)</v>
          </cell>
          <cell r="H42" t="str">
            <v>GDĐP</v>
          </cell>
        </row>
        <row r="43">
          <cell r="C43" t="str">
            <v>T5GD</v>
          </cell>
          <cell r="D43" t="str">
            <v>Nguyễn Việt Phương</v>
          </cell>
          <cell r="E43" t="str">
            <v>Nguyễn Việt Phương</v>
          </cell>
          <cell r="F43" t="str">
            <v>V.PHƯƠNG</v>
          </cell>
          <cell r="G43" t="str">
            <v>Phuong</v>
          </cell>
          <cell r="H43" t="str">
            <v>GDĐP</v>
          </cell>
        </row>
        <row r="44">
          <cell r="C44" t="str">
            <v>V11GD</v>
          </cell>
          <cell r="D44" t="str">
            <v>Nguyễn Đình Khoa</v>
          </cell>
          <cell r="E44" t="str">
            <v>Nguyen Dinh Khoa</v>
          </cell>
          <cell r="F44" t="str">
            <v>KHOA</v>
          </cell>
          <cell r="G44" t="str">
            <v>KHOA</v>
          </cell>
          <cell r="H44" t="str">
            <v>GDĐP</v>
          </cell>
        </row>
        <row r="45">
          <cell r="C45" t="str">
            <v>V12GD</v>
          </cell>
          <cell r="D45" t="str">
            <v>Lê Thị Phượng</v>
          </cell>
          <cell r="E45" t="str">
            <v>PHƯỢNG</v>
          </cell>
          <cell r="F45" t="str">
            <v>PHƯỢNG</v>
          </cell>
          <cell r="G45" t="str">
            <v>PHUONG</v>
          </cell>
          <cell r="H45" t="str">
            <v>GDĐP</v>
          </cell>
        </row>
        <row r="46">
          <cell r="C46" t="str">
            <v>Q1</v>
          </cell>
          <cell r="D46" t="str">
            <v>Hoàng Thị Tứ</v>
          </cell>
          <cell r="E46" t="str">
            <v>Hoang Thi Tu</v>
          </cell>
          <cell r="F46" t="str">
            <v>TỨ</v>
          </cell>
          <cell r="G46" t="str">
            <v>TU</v>
          </cell>
          <cell r="H46" t="str">
            <v>GDQP</v>
          </cell>
        </row>
        <row r="47">
          <cell r="C47" t="str">
            <v>Q1GD</v>
          </cell>
          <cell r="D47" t="str">
            <v>Hoàng Thị Tứ</v>
          </cell>
          <cell r="E47" t="str">
            <v>Hoang Thi Tu</v>
          </cell>
          <cell r="F47" t="str">
            <v>TỨ</v>
          </cell>
          <cell r="G47" t="str">
            <v>TU</v>
          </cell>
          <cell r="H47" t="str">
            <v>GDQP</v>
          </cell>
        </row>
        <row r="48">
          <cell r="C48" t="str">
            <v>Q2</v>
          </cell>
          <cell r="D48" t="str">
            <v>Hồ Văn Vĩnh</v>
          </cell>
          <cell r="E48" t="str">
            <v>Ho Van Vinh</v>
          </cell>
          <cell r="F48" t="str">
            <v>VĨNH</v>
          </cell>
          <cell r="G48" t="str">
            <v>VINH</v>
          </cell>
          <cell r="H48" t="str">
            <v>GDQP</v>
          </cell>
        </row>
        <row r="49">
          <cell r="C49" t="str">
            <v>Q3</v>
          </cell>
          <cell r="D49" t="str">
            <v>Hồ Phương Thảo</v>
          </cell>
          <cell r="E49" t="str">
            <v>Hồ Phương Thảo</v>
          </cell>
          <cell r="F49" t="str">
            <v>THẢO (QP)</v>
          </cell>
          <cell r="G49" t="str">
            <v>THẢO (QP)</v>
          </cell>
          <cell r="H49" t="str">
            <v>GDQP</v>
          </cell>
        </row>
        <row r="50">
          <cell r="C50" t="str">
            <v>Q3GD</v>
          </cell>
          <cell r="D50" t="str">
            <v>Hồ Phương Thảo</v>
          </cell>
          <cell r="E50" t="str">
            <v>Hồ Phương Thảo</v>
          </cell>
          <cell r="F50" t="str">
            <v>THẢO (QP)</v>
          </cell>
          <cell r="G50" t="str">
            <v>THẢO (QP)</v>
          </cell>
          <cell r="H50" t="str">
            <v>GDQP</v>
          </cell>
        </row>
        <row r="51">
          <cell r="C51" t="str">
            <v>H1</v>
          </cell>
          <cell r="D51" t="str">
            <v>Lâm Gia Hân</v>
          </cell>
          <cell r="E51" t="str">
            <v>Lâm Gia Hân</v>
          </cell>
          <cell r="F51" t="str">
            <v>HÂN</v>
          </cell>
          <cell r="G51" t="str">
            <v>HAN</v>
          </cell>
          <cell r="H51" t="str">
            <v>HÓA</v>
          </cell>
        </row>
        <row r="52">
          <cell r="C52" t="str">
            <v>H2</v>
          </cell>
          <cell r="D52" t="str">
            <v>Nguyễn Trần Mai Thanh</v>
          </cell>
          <cell r="E52" t="str">
            <v>Nguyen Tran Mai Thanh</v>
          </cell>
          <cell r="F52" t="str">
            <v>THANH (H)</v>
          </cell>
          <cell r="G52" t="str">
            <v>THANH(H)</v>
          </cell>
          <cell r="H52" t="str">
            <v>HÓA</v>
          </cell>
        </row>
        <row r="53">
          <cell r="C53" t="str">
            <v>H4</v>
          </cell>
          <cell r="D53" t="str">
            <v>Nguyễn Quốc Dũng</v>
          </cell>
          <cell r="E53" t="str">
            <v>Nguyen Quoc Dung</v>
          </cell>
          <cell r="F53" t="str">
            <v>DŨNG</v>
          </cell>
          <cell r="G53" t="str">
            <v>DUNG</v>
          </cell>
          <cell r="H53" t="str">
            <v>HÓA</v>
          </cell>
        </row>
        <row r="54">
          <cell r="C54" t="str">
            <v>H5</v>
          </cell>
          <cell r="D54" t="str">
            <v>Nguyễn Văn Trọng</v>
          </cell>
          <cell r="E54" t="str">
            <v>Nguyen Van Trong</v>
          </cell>
          <cell r="F54" t="str">
            <v>TRỌNG</v>
          </cell>
          <cell r="G54" t="str">
            <v>TRONG</v>
          </cell>
          <cell r="H54" t="str">
            <v>HÓA</v>
          </cell>
        </row>
        <row r="55">
          <cell r="C55" t="str">
            <v>H6</v>
          </cell>
          <cell r="D55" t="str">
            <v>Nguyễn Thị Ngọc Minh</v>
          </cell>
          <cell r="E55" t="str">
            <v>Nguyen Thi Ngoc Minh</v>
          </cell>
          <cell r="F55" t="str">
            <v>MINH (H)</v>
          </cell>
          <cell r="G55" t="str">
            <v>MINH</v>
          </cell>
          <cell r="H55" t="str">
            <v>HÓA</v>
          </cell>
        </row>
        <row r="56">
          <cell r="C56" t="str">
            <v>H7</v>
          </cell>
          <cell r="D56" t="str">
            <v>Truương Ngọc Anh Luân</v>
          </cell>
          <cell r="E56" t="str">
            <v>Truong Ngoc Anh Luân</v>
          </cell>
          <cell r="F56" t="str">
            <v>LUÂN</v>
          </cell>
          <cell r="G56" t="str">
            <v>LUAN</v>
          </cell>
          <cell r="H56" t="str">
            <v>HÓA</v>
          </cell>
        </row>
        <row r="57">
          <cell r="C57" t="str">
            <v>H9</v>
          </cell>
          <cell r="D57" t="str">
            <v>Nguyễn Thị Diến</v>
          </cell>
          <cell r="E57" t="str">
            <v>Nguyen Thi Dien</v>
          </cell>
          <cell r="F57" t="str">
            <v>DIẾN</v>
          </cell>
          <cell r="G57" t="str">
            <v>DIEN</v>
          </cell>
          <cell r="H57" t="str">
            <v>HÓA</v>
          </cell>
        </row>
        <row r="58">
          <cell r="C58" t="str">
            <v>G2</v>
          </cell>
          <cell r="D58" t="str">
            <v>Trần Thị Xuân Đào</v>
          </cell>
          <cell r="E58" t="str">
            <v>Tran Thi Xuan Dao</v>
          </cell>
          <cell r="F58" t="str">
            <v>ĐÀO</v>
          </cell>
          <cell r="G58" t="str">
            <v>DAO</v>
          </cell>
          <cell r="H58" t="str">
            <v>KT&amp;PL</v>
          </cell>
        </row>
        <row r="59">
          <cell r="C59" t="str">
            <v>G3</v>
          </cell>
          <cell r="D59" t="str">
            <v>Mai Thị Bích Phương</v>
          </cell>
          <cell r="E59" t="str">
            <v>Mai Thi Bich Phuong</v>
          </cell>
          <cell r="F59" t="str">
            <v>B.PHƯƠNG</v>
          </cell>
          <cell r="G59" t="str">
            <v>B.PHUONG</v>
          </cell>
          <cell r="H59" t="str">
            <v>KT&amp;PL</v>
          </cell>
        </row>
        <row r="60">
          <cell r="C60" t="str">
            <v>G5</v>
          </cell>
          <cell r="D60" t="str">
            <v>Lê Thị Tuyết Thu</v>
          </cell>
          <cell r="E60" t="str">
            <v>Lê Thị Tuyết Thu</v>
          </cell>
          <cell r="F60" t="str">
            <v>THU (KTPL)</v>
          </cell>
          <cell r="G60" t="str">
            <v>THU (KTPL)</v>
          </cell>
          <cell r="H60" t="str">
            <v>KT&amp;PL</v>
          </cell>
        </row>
        <row r="61">
          <cell r="C61" t="str">
            <v>G6</v>
          </cell>
          <cell r="D61" t="str">
            <v>Trần Thị Hằng</v>
          </cell>
          <cell r="E61" t="str">
            <v>Trần Thị Hằng</v>
          </cell>
          <cell r="F61" t="str">
            <v>HẰNG (KTPL)</v>
          </cell>
          <cell r="G61" t="str">
            <v>HẰNG (KTPL)</v>
          </cell>
          <cell r="H61" t="str">
            <v>KT&amp;PL</v>
          </cell>
        </row>
        <row r="62">
          <cell r="C62" t="str">
            <v>L1</v>
          </cell>
          <cell r="D62" t="str">
            <v>Trần Hồng Uyên</v>
          </cell>
          <cell r="E62" t="str">
            <v>Trần Hồng Uyên</v>
          </cell>
          <cell r="F62" t="str">
            <v>UYÊN</v>
          </cell>
          <cell r="G62" t="str">
            <v>UYEN</v>
          </cell>
          <cell r="H62" t="str">
            <v>LÝ</v>
          </cell>
        </row>
        <row r="63">
          <cell r="C63" t="str">
            <v>L10</v>
          </cell>
          <cell r="D63" t="str">
            <v>Vũ Thanh Vân</v>
          </cell>
          <cell r="E63" t="str">
            <v>Vu Thanh Van</v>
          </cell>
          <cell r="F63" t="str">
            <v>VÂN (L)</v>
          </cell>
          <cell r="G63" t="str">
            <v>T.VAN</v>
          </cell>
          <cell r="H63" t="str">
            <v>LÝ</v>
          </cell>
        </row>
        <row r="64">
          <cell r="C64" t="str">
            <v>L11</v>
          </cell>
          <cell r="D64" t="str">
            <v>Hồ Văn Bình</v>
          </cell>
          <cell r="E64" t="str">
            <v>Ho Van Binh</v>
          </cell>
          <cell r="F64" t="str">
            <v>BÌNH</v>
          </cell>
          <cell r="G64" t="str">
            <v>BINH</v>
          </cell>
          <cell r="H64" t="str">
            <v>LÝ</v>
          </cell>
        </row>
        <row r="65">
          <cell r="C65" t="str">
            <v>L12</v>
          </cell>
          <cell r="D65" t="str">
            <v>Nguyễn Tường Thịnh</v>
          </cell>
          <cell r="E65" t="str">
            <v>Nguyen Tuong Thinh</v>
          </cell>
          <cell r="F65" t="str">
            <v>THINH</v>
          </cell>
          <cell r="G65" t="str">
            <v>THINH</v>
          </cell>
          <cell r="H65" t="str">
            <v>LÝ</v>
          </cell>
        </row>
        <row r="66">
          <cell r="C66" t="str">
            <v>L3</v>
          </cell>
          <cell r="D66" t="str">
            <v>Nguyễn Thị Xuân Hương</v>
          </cell>
          <cell r="E66" t="str">
            <v>Nguyen Thi Xuan Huong</v>
          </cell>
          <cell r="F66" t="str">
            <v>HƯƠNG (L)</v>
          </cell>
          <cell r="G66" t="str">
            <v>HUONG</v>
          </cell>
          <cell r="H66" t="str">
            <v>LÝ</v>
          </cell>
        </row>
        <row r="67">
          <cell r="C67" t="str">
            <v>L4</v>
          </cell>
          <cell r="D67" t="str">
            <v xml:space="preserve">Trần Thị Lam Hồng </v>
          </cell>
          <cell r="E67" t="str">
            <v>Tran Thi Lam Hong</v>
          </cell>
          <cell r="F67" t="str">
            <v>L.HỒNG</v>
          </cell>
          <cell r="G67" t="str">
            <v>HONG</v>
          </cell>
          <cell r="H67" t="str">
            <v>LÝ</v>
          </cell>
        </row>
        <row r="68">
          <cell r="C68" t="str">
            <v>L5</v>
          </cell>
          <cell r="D68" t="str">
            <v>Cao Đình Trung Hậu</v>
          </cell>
          <cell r="E68" t="str">
            <v>HẬU</v>
          </cell>
          <cell r="F68" t="str">
            <v>HẬU</v>
          </cell>
          <cell r="G68" t="str">
            <v>HẬU</v>
          </cell>
          <cell r="H68" t="str">
            <v>LÝ</v>
          </cell>
        </row>
        <row r="69">
          <cell r="C69" t="str">
            <v>L6</v>
          </cell>
          <cell r="D69" t="str">
            <v>Ngô Phát Thương</v>
          </cell>
          <cell r="E69" t="str">
            <v>Ngo Phat Thuong</v>
          </cell>
          <cell r="F69" t="str">
            <v>THƯƠNG</v>
          </cell>
          <cell r="G69" t="str">
            <v>THUONG</v>
          </cell>
          <cell r="H69" t="str">
            <v>LÝ</v>
          </cell>
        </row>
        <row r="70">
          <cell r="C70" t="str">
            <v>L7</v>
          </cell>
          <cell r="D70" t="str">
            <v>Trần Thị Hạnh</v>
          </cell>
          <cell r="E70" t="str">
            <v>Tran Thi Hanh</v>
          </cell>
          <cell r="F70" t="str">
            <v>HẠNH (L)</v>
          </cell>
          <cell r="G70" t="str">
            <v>HANH(L)</v>
          </cell>
          <cell r="H70" t="str">
            <v>LÝ</v>
          </cell>
        </row>
        <row r="71">
          <cell r="C71" t="str">
            <v>L8</v>
          </cell>
          <cell r="D71" t="str">
            <v>Nguyễn Minh Hoàng</v>
          </cell>
          <cell r="E71" t="str">
            <v>Nguyen Minh Hoang</v>
          </cell>
          <cell r="F71" t="str">
            <v>HOÀNG</v>
          </cell>
          <cell r="G71" t="str">
            <v>HOANG</v>
          </cell>
          <cell r="H71" t="str">
            <v>LÝ</v>
          </cell>
        </row>
        <row r="72">
          <cell r="C72" t="str">
            <v>L9</v>
          </cell>
          <cell r="D72" t="str">
            <v>Dương Anh Quang</v>
          </cell>
          <cell r="E72" t="str">
            <v>Duong Anh Quang</v>
          </cell>
          <cell r="F72" t="str">
            <v>QUANG (L)</v>
          </cell>
          <cell r="G72" t="str">
            <v>QUANG</v>
          </cell>
          <cell r="H72" t="str">
            <v>LÝ</v>
          </cell>
        </row>
        <row r="73">
          <cell r="C73" t="str">
            <v>E1</v>
          </cell>
          <cell r="D73" t="str">
            <v>Nguyễn Thị Tuyết Nhung</v>
          </cell>
          <cell r="E73" t="str">
            <v>Nguyễn Thị Tuyết Nhung</v>
          </cell>
          <cell r="F73" t="str">
            <v>NHUNG</v>
          </cell>
          <cell r="G73" t="str">
            <v>NHUNG</v>
          </cell>
          <cell r="H73" t="str">
            <v>SINH</v>
          </cell>
        </row>
        <row r="74">
          <cell r="C74" t="str">
            <v>E2</v>
          </cell>
          <cell r="D74" t="str">
            <v>Trần Thị Mỹ Sương</v>
          </cell>
          <cell r="E74" t="str">
            <v>Tran Thi My Suong</v>
          </cell>
          <cell r="F74" t="str">
            <v>SƯƠNG</v>
          </cell>
          <cell r="G74" t="str">
            <v>SUONG</v>
          </cell>
          <cell r="H74" t="str">
            <v>SINH</v>
          </cell>
        </row>
        <row r="75">
          <cell r="C75" t="str">
            <v>E3</v>
          </cell>
          <cell r="D75" t="str">
            <v>Mã Thị Minh Thi</v>
          </cell>
          <cell r="E75" t="str">
            <v>THI</v>
          </cell>
          <cell r="F75" t="str">
            <v>M.THI</v>
          </cell>
          <cell r="G75" t="str">
            <v>THI</v>
          </cell>
          <cell r="H75" t="str">
            <v>SINH</v>
          </cell>
        </row>
        <row r="76">
          <cell r="C76" t="str">
            <v>E6</v>
          </cell>
          <cell r="D76" t="str">
            <v xml:space="preserve">Trần Thị Khuyên </v>
          </cell>
          <cell r="E76" t="str">
            <v>Tran Thi Khuyen</v>
          </cell>
          <cell r="F76" t="str">
            <v>KHUYÊN</v>
          </cell>
          <cell r="G76" t="str">
            <v>KHUYEN</v>
          </cell>
          <cell r="H76" t="str">
            <v>SINH</v>
          </cell>
        </row>
        <row r="77">
          <cell r="C77" t="str">
            <v>E7</v>
          </cell>
          <cell r="D77" t="str">
            <v>Nguyễn Thị Quỳnh Diễm</v>
          </cell>
          <cell r="E77" t="str">
            <v>Nguyễn Thị Quỳnh Diễm</v>
          </cell>
          <cell r="F77" t="str">
            <v>DIỄM</v>
          </cell>
          <cell r="G77" t="str">
            <v>DIỄM</v>
          </cell>
          <cell r="H77" t="str">
            <v>SINH</v>
          </cell>
        </row>
        <row r="78">
          <cell r="C78" t="str">
            <v>E8</v>
          </cell>
          <cell r="D78" t="str">
            <v>Nguyễn Bảo Trang</v>
          </cell>
          <cell r="E78" t="str">
            <v>Nguyen Bao Trang</v>
          </cell>
          <cell r="F78" t="str">
            <v>B.Trang</v>
          </cell>
          <cell r="G78" t="str">
            <v>Trang (Si)</v>
          </cell>
          <cell r="H78" t="str">
            <v>SINH</v>
          </cell>
        </row>
        <row r="79">
          <cell r="C79" t="str">
            <v>S1</v>
          </cell>
          <cell r="D79" t="str">
            <v>Nguyễn Thị Diệp Lài</v>
          </cell>
          <cell r="E79" t="str">
            <v>Nguyen Thi Diep Lai</v>
          </cell>
          <cell r="F79" t="str">
            <v>LÀI</v>
          </cell>
          <cell r="G79" t="str">
            <v>LAI</v>
          </cell>
          <cell r="H79" t="str">
            <v>SỬ</v>
          </cell>
        </row>
        <row r="80">
          <cell r="C80" t="str">
            <v>S2</v>
          </cell>
          <cell r="D80" t="str">
            <v>Ngô Thúy Duy</v>
          </cell>
          <cell r="E80" t="str">
            <v>Ngô Thuy Duy</v>
          </cell>
          <cell r="F80" t="str">
            <v>Duy</v>
          </cell>
          <cell r="G80" t="str">
            <v>Duy</v>
          </cell>
          <cell r="H80" t="str">
            <v>SỬ</v>
          </cell>
        </row>
        <row r="81">
          <cell r="C81" t="str">
            <v>S3</v>
          </cell>
          <cell r="D81" t="str">
            <v xml:space="preserve">Lê Thị Nhật Thảo </v>
          </cell>
          <cell r="E81" t="str">
            <v>Le Thi Nhat Thao</v>
          </cell>
          <cell r="F81" t="str">
            <v>THẢO</v>
          </cell>
          <cell r="G81" t="str">
            <v>THAO</v>
          </cell>
          <cell r="H81" t="str">
            <v>SỬ</v>
          </cell>
        </row>
        <row r="82">
          <cell r="C82" t="str">
            <v>S5</v>
          </cell>
          <cell r="D82" t="str">
            <v>Phạm Văn Hải</v>
          </cell>
          <cell r="E82" t="str">
            <v>Pham Van Hai</v>
          </cell>
          <cell r="F82" t="str">
            <v>HẢI ( SỬ)</v>
          </cell>
          <cell r="G82" t="str">
            <v>HAI (SU)</v>
          </cell>
          <cell r="H82" t="str">
            <v>SỬ</v>
          </cell>
        </row>
        <row r="83">
          <cell r="C83" t="str">
            <v>S7</v>
          </cell>
          <cell r="D83" t="str">
            <v>Nguyễn Phước Khôi</v>
          </cell>
          <cell r="E83" t="str">
            <v>Nguyễn Phước Khôi</v>
          </cell>
          <cell r="F83" t="str">
            <v>KHÔI</v>
          </cell>
          <cell r="G83" t="str">
            <v>KHÔI</v>
          </cell>
          <cell r="H83" t="str">
            <v>SỬ</v>
          </cell>
        </row>
        <row r="84">
          <cell r="C84" t="str">
            <v>U1</v>
          </cell>
          <cell r="D84" t="str">
            <v>Trương Văn Thơ</v>
          </cell>
          <cell r="E84" t="str">
            <v>Truong Van Tho</v>
          </cell>
          <cell r="F84" t="str">
            <v>THƠ</v>
          </cell>
          <cell r="G84" t="str">
            <v>THO TD</v>
          </cell>
          <cell r="H84" t="str">
            <v>THỂ DỤC</v>
          </cell>
        </row>
        <row r="85">
          <cell r="C85" t="str">
            <v>U2</v>
          </cell>
          <cell r="D85" t="str">
            <v>Đỗ Bá Khang</v>
          </cell>
          <cell r="E85" t="str">
            <v>Do Ba Khang</v>
          </cell>
          <cell r="F85" t="str">
            <v>KHANG</v>
          </cell>
          <cell r="G85" t="str">
            <v>KHANG</v>
          </cell>
          <cell r="H85" t="str">
            <v>THỂ DỤC</v>
          </cell>
        </row>
        <row r="86">
          <cell r="C86" t="str">
            <v>U4</v>
          </cell>
          <cell r="D86" t="str">
            <v>Nguyễn Hữu Hiệp</v>
          </cell>
          <cell r="E86" t="str">
            <v>Nguyen Huu Hiep</v>
          </cell>
          <cell r="F86" t="str">
            <v>HIỆP(TD)</v>
          </cell>
          <cell r="G86" t="str">
            <v>HIEP</v>
          </cell>
          <cell r="H86" t="str">
            <v>THỂ DỤC</v>
          </cell>
        </row>
        <row r="87">
          <cell r="C87" t="str">
            <v>U6</v>
          </cell>
          <cell r="D87" t="str">
            <v>Nguyễn Ngọc Tuấn</v>
          </cell>
          <cell r="E87" t="str">
            <v>Nguyen Ngoc Tuan</v>
          </cell>
          <cell r="F87" t="str">
            <v>TUAN (TD)</v>
          </cell>
          <cell r="G87" t="str">
            <v>TUAN (TD)</v>
          </cell>
          <cell r="H87" t="str">
            <v>THỂ DỤC</v>
          </cell>
        </row>
        <row r="88">
          <cell r="C88" t="str">
            <v>U7</v>
          </cell>
          <cell r="D88" t="str">
            <v>Diệp Kim Hải</v>
          </cell>
          <cell r="E88" t="str">
            <v>Diep Kim Hai</v>
          </cell>
          <cell r="F88" t="str">
            <v>HẢI (TD)</v>
          </cell>
          <cell r="G88" t="str">
            <v>HAI (TD)</v>
          </cell>
          <cell r="H88" t="str">
            <v>THỂ DỤC</v>
          </cell>
        </row>
        <row r="89">
          <cell r="C89" t="str">
            <v>U8</v>
          </cell>
          <cell r="D89" t="str">
            <v>Bùi Văn Cường</v>
          </cell>
          <cell r="E89" t="str">
            <v>Bui Van Cuong</v>
          </cell>
          <cell r="F89" t="str">
            <v>CƯỜNG (TD)</v>
          </cell>
          <cell r="G89" t="str">
            <v>CUONG</v>
          </cell>
          <cell r="H89" t="str">
            <v>THỂ DỤC</v>
          </cell>
        </row>
        <row r="90">
          <cell r="C90" t="str">
            <v>M2QT</v>
          </cell>
          <cell r="D90" t="str">
            <v>Trương Văn Phúc</v>
          </cell>
          <cell r="E90" t="str">
            <v>Truong Van Phuc</v>
          </cell>
          <cell r="F90" t="str">
            <v>PHÚC (QT)</v>
          </cell>
          <cell r="G90" t="str">
            <v>PHÚC (QT)</v>
          </cell>
          <cell r="H90" t="str">
            <v>THQT</v>
          </cell>
        </row>
        <row r="91">
          <cell r="C91" t="str">
            <v>M3QT</v>
          </cell>
          <cell r="D91" t="str">
            <v>Đặng Thị Xuân</v>
          </cell>
          <cell r="E91" t="str">
            <v>Dang Thi Xuan</v>
          </cell>
          <cell r="F91" t="str">
            <v>XUÂN (QT)</v>
          </cell>
          <cell r="G91" t="str">
            <v>XUÂN (QT)</v>
          </cell>
          <cell r="H91" t="str">
            <v>THQT</v>
          </cell>
        </row>
        <row r="92">
          <cell r="C92" t="str">
            <v>M4QT</v>
          </cell>
          <cell r="D92" t="str">
            <v>Nguyễn Phi Hùng</v>
          </cell>
          <cell r="E92" t="str">
            <v>Nguyen Phi Hung</v>
          </cell>
          <cell r="F92" t="str">
            <v>HÙNG (QT)</v>
          </cell>
          <cell r="G92" t="str">
            <v>HÙNG (QT)</v>
          </cell>
          <cell r="H92" t="str">
            <v>THQT</v>
          </cell>
        </row>
        <row r="93">
          <cell r="C93" t="str">
            <v>M5QT</v>
          </cell>
          <cell r="D93" t="str">
            <v>Huỳnh Chí Cường</v>
          </cell>
          <cell r="E93" t="str">
            <v>Huynh Chi Cuong</v>
          </cell>
          <cell r="F93" t="str">
            <v>CƯỜNG (QT)</v>
          </cell>
          <cell r="G93" t="str">
            <v>CƯỜNG (QT)</v>
          </cell>
          <cell r="H93" t="str">
            <v>THQT</v>
          </cell>
        </row>
        <row r="94">
          <cell r="C94" t="str">
            <v>M6QT</v>
          </cell>
          <cell r="D94" t="str">
            <v>Nguyễn Ngọc Bảo Trân</v>
          </cell>
          <cell r="E94" t="str">
            <v>Bao TraN</v>
          </cell>
          <cell r="F94" t="str">
            <v>TRÂN</v>
          </cell>
          <cell r="G94" t="str">
            <v>TRAN</v>
          </cell>
          <cell r="H94" t="str">
            <v>THQT</v>
          </cell>
        </row>
        <row r="95">
          <cell r="C95" t="str">
            <v>M8QT</v>
          </cell>
          <cell r="D95" t="str">
            <v>Kim Vĩnh Anh Khoa</v>
          </cell>
          <cell r="E95" t="str">
            <v>Kim Vĩnh Anh Khoa</v>
          </cell>
          <cell r="F95" t="str">
            <v>KHOA (THQT)</v>
          </cell>
          <cell r="G95" t="str">
            <v>KHOA (THQT)</v>
          </cell>
          <cell r="H95" t="str">
            <v>THQT</v>
          </cell>
        </row>
        <row r="96">
          <cell r="C96" t="str">
            <v>M2</v>
          </cell>
          <cell r="D96" t="str">
            <v>Trương Văn Phúc</v>
          </cell>
          <cell r="E96" t="str">
            <v>Truong Van Phuc</v>
          </cell>
          <cell r="F96" t="str">
            <v>PHÚC(TH)</v>
          </cell>
          <cell r="G96" t="str">
            <v>PHUC</v>
          </cell>
          <cell r="H96" t="str">
            <v>TIN HỌC</v>
          </cell>
        </row>
        <row r="97">
          <cell r="C97" t="str">
            <v>M4</v>
          </cell>
          <cell r="D97" t="str">
            <v>Nguyễn Phi Hùng</v>
          </cell>
          <cell r="E97" t="str">
            <v>Nguyen Phi Hung</v>
          </cell>
          <cell r="F97" t="str">
            <v>HÙNG (TH)</v>
          </cell>
          <cell r="G97" t="str">
            <v>HUNG</v>
          </cell>
          <cell r="H97" t="str">
            <v>TIN HỌC</v>
          </cell>
        </row>
        <row r="98">
          <cell r="C98" t="str">
            <v>M5</v>
          </cell>
          <cell r="D98" t="str">
            <v>Huỳnh Chí Cường</v>
          </cell>
          <cell r="E98" t="str">
            <v>Huynh Chi Cuong</v>
          </cell>
          <cell r="F98" t="str">
            <v>CƯỜNG (TH)</v>
          </cell>
          <cell r="G98" t="str">
            <v>CUONG</v>
          </cell>
          <cell r="H98" t="str">
            <v>TIN HỌC</v>
          </cell>
        </row>
        <row r="99">
          <cell r="C99" t="str">
            <v>M6</v>
          </cell>
          <cell r="D99" t="str">
            <v>Nguyễn Ngọc Bảo Trân</v>
          </cell>
          <cell r="E99" t="str">
            <v>Bao TraN</v>
          </cell>
          <cell r="F99" t="str">
            <v>TRAN</v>
          </cell>
          <cell r="G99" t="str">
            <v>TRAN</v>
          </cell>
          <cell r="H99" t="str">
            <v>TIN HỌC</v>
          </cell>
        </row>
        <row r="100">
          <cell r="C100" t="str">
            <v>M8</v>
          </cell>
          <cell r="D100" t="str">
            <v>Kim Vĩnh Anh Khoa</v>
          </cell>
          <cell r="E100" t="str">
            <v>Kim Vĩnh Anh Khoa</v>
          </cell>
          <cell r="F100" t="str">
            <v>KHOA (TIN)</v>
          </cell>
          <cell r="G100" t="str">
            <v>KHOA (TIN)</v>
          </cell>
          <cell r="H100" t="str">
            <v>TIN HỌC</v>
          </cell>
        </row>
        <row r="101">
          <cell r="C101" t="str">
            <v>A10HN</v>
          </cell>
          <cell r="D101" t="str">
            <v>Văn Huỳnh Bảo Phương</v>
          </cell>
          <cell r="E101" t="str">
            <v>Bao Phuong</v>
          </cell>
          <cell r="F101" t="str">
            <v>Bao Phuong</v>
          </cell>
          <cell r="G101" t="str">
            <v>Bao Phuong</v>
          </cell>
          <cell r="H101" t="str">
            <v>TNHN</v>
          </cell>
        </row>
        <row r="102">
          <cell r="C102" t="str">
            <v>A11HN</v>
          </cell>
          <cell r="D102" t="str">
            <v>Phạm Thị Phương Điền</v>
          </cell>
          <cell r="E102" t="str">
            <v>Pham Thi Phuong Dien</v>
          </cell>
          <cell r="F102" t="str">
            <v>ĐIỀN</v>
          </cell>
          <cell r="G102" t="str">
            <v>DIEN</v>
          </cell>
          <cell r="H102" t="str">
            <v>TNHN</v>
          </cell>
        </row>
        <row r="103">
          <cell r="C103" t="str">
            <v>A1HN</v>
          </cell>
          <cell r="D103" t="str">
            <v>Đoàn Văn Chất</v>
          </cell>
          <cell r="E103" t="str">
            <v>Doan Van Chat</v>
          </cell>
          <cell r="F103" t="str">
            <v>CHẤT</v>
          </cell>
          <cell r="G103" t="str">
            <v>CHAT</v>
          </cell>
          <cell r="H103" t="str">
            <v>TNHN</v>
          </cell>
        </row>
        <row r="104">
          <cell r="C104" t="str">
            <v>A2HN</v>
          </cell>
          <cell r="D104" t="str">
            <v>Nguyễn Thị Thùy Dương</v>
          </cell>
          <cell r="E104" t="str">
            <v>Nguyen Thi Thuy Duong</v>
          </cell>
          <cell r="F104" t="str">
            <v>DƯƠNG</v>
          </cell>
          <cell r="G104" t="str">
            <v>DƯƠNG</v>
          </cell>
          <cell r="H104" t="str">
            <v>TNHN</v>
          </cell>
        </row>
        <row r="105">
          <cell r="C105" t="str">
            <v>A4HN</v>
          </cell>
          <cell r="D105" t="str">
            <v>Nguyễn Thị Tường Vy</v>
          </cell>
          <cell r="E105" t="str">
            <v>Nguyễn Thị Tường Vy</v>
          </cell>
          <cell r="F105" t="str">
            <v>Vy</v>
          </cell>
          <cell r="G105" t="str">
            <v>Vy</v>
          </cell>
          <cell r="H105" t="str">
            <v>TNHN</v>
          </cell>
        </row>
        <row r="106">
          <cell r="C106" t="str">
            <v>A5HN</v>
          </cell>
          <cell r="D106" t="str">
            <v>Nguyễn Minh Thanh Tùng</v>
          </cell>
          <cell r="E106" t="str">
            <v>Nguyễn Minh Thanh Tùng</v>
          </cell>
          <cell r="F106" t="str">
            <v>Tùng</v>
          </cell>
          <cell r="G106" t="str">
            <v>Tùng</v>
          </cell>
          <cell r="H106" t="str">
            <v>TNHN</v>
          </cell>
        </row>
        <row r="107">
          <cell r="C107" t="str">
            <v>A7HN</v>
          </cell>
          <cell r="D107" t="str">
            <v>Trần Thị Mỹ Thanh</v>
          </cell>
          <cell r="E107" t="str">
            <v>Tran Thi My Thanh</v>
          </cell>
          <cell r="F107" t="str">
            <v>M. THANH</v>
          </cell>
          <cell r="G107" t="str">
            <v>M. THANH</v>
          </cell>
          <cell r="H107" t="str">
            <v>TNHN</v>
          </cell>
        </row>
        <row r="108">
          <cell r="C108" t="str">
            <v>A8HN</v>
          </cell>
          <cell r="D108" t="str">
            <v>Nguyễn Xuân Thu</v>
          </cell>
          <cell r="E108" t="str">
            <v>Nguyen Xuan Thu</v>
          </cell>
          <cell r="F108" t="str">
            <v>THU (AV)</v>
          </cell>
          <cell r="G108" t="str">
            <v>THU (AV)</v>
          </cell>
          <cell r="H108" t="str">
            <v>TNHN</v>
          </cell>
        </row>
        <row r="109">
          <cell r="C109" t="str">
            <v>E1HN</v>
          </cell>
          <cell r="D109" t="str">
            <v>Nguyễn Thị Tuyết Nhung</v>
          </cell>
          <cell r="E109" t="str">
            <v>Nguyễn Thị Tuyết Nhung</v>
          </cell>
          <cell r="F109" t="str">
            <v>NHUNG</v>
          </cell>
          <cell r="G109" t="str">
            <v>NHUNG</v>
          </cell>
          <cell r="H109" t="str">
            <v>TNHN</v>
          </cell>
        </row>
        <row r="110">
          <cell r="C110" t="str">
            <v>E2HN</v>
          </cell>
          <cell r="D110" t="str">
            <v>Trần Thị Mỹ Sương</v>
          </cell>
          <cell r="E110" t="str">
            <v>Tran Thi My Suong</v>
          </cell>
          <cell r="F110" t="str">
            <v>SƯƠNG</v>
          </cell>
          <cell r="G110" t="str">
            <v>SUONG</v>
          </cell>
          <cell r="H110" t="str">
            <v>TNHN</v>
          </cell>
        </row>
        <row r="111">
          <cell r="C111" t="str">
            <v>E3HN</v>
          </cell>
          <cell r="D111" t="str">
            <v>Mã Thị Minh Thi</v>
          </cell>
          <cell r="E111" t="str">
            <v>THI</v>
          </cell>
          <cell r="F111" t="str">
            <v>M.THI</v>
          </cell>
          <cell r="G111" t="str">
            <v>M.THI</v>
          </cell>
          <cell r="H111" t="str">
            <v>TNHN</v>
          </cell>
        </row>
        <row r="112">
          <cell r="C112" t="str">
            <v>E6HN</v>
          </cell>
          <cell r="D112" t="str">
            <v xml:space="preserve">Trần Thị Khuyên </v>
          </cell>
          <cell r="E112" t="str">
            <v>Tran Thi Khuyen</v>
          </cell>
          <cell r="F112" t="str">
            <v>KHUYÊN</v>
          </cell>
          <cell r="G112" t="str">
            <v>KHUYÊN</v>
          </cell>
          <cell r="H112" t="str">
            <v>TNHN</v>
          </cell>
        </row>
        <row r="113">
          <cell r="C113" t="str">
            <v>E7HN</v>
          </cell>
          <cell r="D113" t="str">
            <v>Nguyễn Thị Quỳnh Diễm</v>
          </cell>
          <cell r="E113" t="str">
            <v>Nguyễn Thị Quỳnh Diễm</v>
          </cell>
          <cell r="F113" t="str">
            <v>DIỄM</v>
          </cell>
          <cell r="G113" t="str">
            <v>DIỄM</v>
          </cell>
          <cell r="H113" t="str">
            <v>TNHN</v>
          </cell>
        </row>
        <row r="114">
          <cell r="C114" t="str">
            <v>E8HN</v>
          </cell>
          <cell r="D114" t="str">
            <v>NGUYỄN BẢO TRANG</v>
          </cell>
          <cell r="E114" t="str">
            <v>NGUYỄN BẢO TRANG</v>
          </cell>
          <cell r="F114" t="str">
            <v>B. TRANG</v>
          </cell>
          <cell r="G114" t="str">
            <v>TRANG (SI)</v>
          </cell>
          <cell r="H114" t="str">
            <v>TNHN</v>
          </cell>
        </row>
        <row r="115">
          <cell r="C115" t="str">
            <v>G5HN</v>
          </cell>
          <cell r="D115" t="str">
            <v>Lê Thị Tuyết Thu</v>
          </cell>
          <cell r="E115" t="str">
            <v>Lê Thị Tuyết Thu</v>
          </cell>
          <cell r="F115" t="str">
            <v>THU (KTPL)</v>
          </cell>
          <cell r="G115" t="str">
            <v>THU (KTPL)</v>
          </cell>
          <cell r="H115" t="str">
            <v>TNHN</v>
          </cell>
        </row>
        <row r="116">
          <cell r="C116" t="str">
            <v>G6HN</v>
          </cell>
          <cell r="D116" t="str">
            <v>Trần Thị Hằng</v>
          </cell>
          <cell r="E116" t="str">
            <v>Trần Thị Hằng</v>
          </cell>
          <cell r="F116" t="str">
            <v>HẰNG (KTPL)</v>
          </cell>
          <cell r="G116" t="str">
            <v>HẰNG (KTPL)</v>
          </cell>
          <cell r="H116" t="str">
            <v>TNHN</v>
          </cell>
        </row>
        <row r="117">
          <cell r="C117" t="str">
            <v>H1HN</v>
          </cell>
          <cell r="D117" t="str">
            <v>Lâm Gia Hân</v>
          </cell>
          <cell r="E117" t="str">
            <v>Lâm Gia Hân</v>
          </cell>
          <cell r="F117" t="str">
            <v>HÂN</v>
          </cell>
          <cell r="G117" t="str">
            <v>HÂN</v>
          </cell>
          <cell r="H117" t="str">
            <v>TNHN</v>
          </cell>
        </row>
        <row r="118">
          <cell r="C118" t="str">
            <v>H2HN</v>
          </cell>
          <cell r="D118" t="str">
            <v>Nguyễn Trần Mai Thanh</v>
          </cell>
          <cell r="E118" t="str">
            <v>Nguyen Tran Mai Thanh</v>
          </cell>
          <cell r="F118" t="str">
            <v>THANH (H)</v>
          </cell>
          <cell r="G118" t="str">
            <v>THANH (H)</v>
          </cell>
          <cell r="H118" t="str">
            <v>TNHN</v>
          </cell>
        </row>
        <row r="119">
          <cell r="C119" t="str">
            <v>H4HN</v>
          </cell>
          <cell r="D119" t="str">
            <v>Nguyễn Quốc Dũng</v>
          </cell>
          <cell r="E119" t="str">
            <v>Nguyen Quoc Dung</v>
          </cell>
          <cell r="F119" t="str">
            <v>DŨNG</v>
          </cell>
          <cell r="G119" t="str">
            <v>DUNG</v>
          </cell>
          <cell r="H119" t="str">
            <v>TNHN</v>
          </cell>
        </row>
        <row r="120">
          <cell r="C120" t="str">
            <v>H5HN</v>
          </cell>
          <cell r="D120" t="str">
            <v>Nguyễn Văn Trọng</v>
          </cell>
          <cell r="E120" t="str">
            <v>Nguyen Van Trong</v>
          </cell>
          <cell r="F120" t="str">
            <v>TRỌNG</v>
          </cell>
          <cell r="G120" t="str">
            <v>TRỌNG</v>
          </cell>
          <cell r="H120" t="str">
            <v>TNHN</v>
          </cell>
        </row>
        <row r="121">
          <cell r="C121" t="str">
            <v>H6HN</v>
          </cell>
          <cell r="D121" t="str">
            <v>Nguyễn Thị Ngọc Minh</v>
          </cell>
          <cell r="E121" t="str">
            <v>Nguyen Thi Ngoc Minh</v>
          </cell>
          <cell r="F121" t="str">
            <v>MINH (H)</v>
          </cell>
          <cell r="G121" t="str">
            <v>MINH (H)</v>
          </cell>
          <cell r="H121" t="str">
            <v>TNHN</v>
          </cell>
        </row>
        <row r="122">
          <cell r="C122" t="str">
            <v>H7HN</v>
          </cell>
          <cell r="D122" t="str">
            <v>Truương Ngọc Anh Luân</v>
          </cell>
          <cell r="E122" t="str">
            <v>Truong Ngoc Anh Luân</v>
          </cell>
          <cell r="F122" t="str">
            <v>LUÂN</v>
          </cell>
          <cell r="G122" t="str">
            <v>LUÂN</v>
          </cell>
          <cell r="H122" t="str">
            <v>TNHN</v>
          </cell>
        </row>
        <row r="123">
          <cell r="C123" t="str">
            <v>H9HN</v>
          </cell>
          <cell r="D123" t="str">
            <v>Nguyễn Thị Diến</v>
          </cell>
          <cell r="E123" t="str">
            <v>Nguyen Thi Dien</v>
          </cell>
          <cell r="F123" t="str">
            <v>DIẾN</v>
          </cell>
          <cell r="G123" t="str">
            <v>DIẾN</v>
          </cell>
          <cell r="H123" t="str">
            <v>TNHN</v>
          </cell>
        </row>
        <row r="124">
          <cell r="C124" t="str">
            <v>HN10</v>
          </cell>
          <cell r="D124" t="str">
            <v>Nguyễn Thụy Diễm Linh</v>
          </cell>
          <cell r="E124" t="str">
            <v>Nguyen Thuy Diem Linh</v>
          </cell>
          <cell r="F124" t="str">
            <v>Linh (TV)(HN)</v>
          </cell>
          <cell r="G124" t="str">
            <v>Linh (TV)</v>
          </cell>
          <cell r="H124" t="str">
            <v>TNHN</v>
          </cell>
        </row>
        <row r="125">
          <cell r="C125" t="str">
            <v>L10HN</v>
          </cell>
          <cell r="D125" t="str">
            <v>Vũ Thanh Vân</v>
          </cell>
          <cell r="E125" t="str">
            <v>Vu Thanh Van</v>
          </cell>
          <cell r="F125" t="str">
            <v>VÂN (L)</v>
          </cell>
          <cell r="G125" t="str">
            <v>VÂN (L)</v>
          </cell>
          <cell r="H125" t="str">
            <v>TNHN</v>
          </cell>
        </row>
        <row r="126">
          <cell r="C126" t="str">
            <v>L3HN</v>
          </cell>
          <cell r="D126" t="str">
            <v>Nguyễn Thị Xuân Hương</v>
          </cell>
          <cell r="E126" t="str">
            <v>Nguyen Thi Xuan Huong</v>
          </cell>
          <cell r="F126" t="str">
            <v>HƯƠNG (L)</v>
          </cell>
          <cell r="G126" t="str">
            <v>HUONG</v>
          </cell>
          <cell r="H126" t="str">
            <v>TNHN</v>
          </cell>
        </row>
        <row r="127">
          <cell r="C127" t="str">
            <v>L4HN</v>
          </cell>
          <cell r="D127" t="str">
            <v xml:space="preserve">Trần Thị Lam Hồng </v>
          </cell>
          <cell r="E127" t="str">
            <v>Tran Thi Lam Hong</v>
          </cell>
          <cell r="F127" t="str">
            <v>L.HỒNG</v>
          </cell>
          <cell r="G127" t="str">
            <v>L.HỒNG</v>
          </cell>
          <cell r="H127" t="str">
            <v>TNHN</v>
          </cell>
        </row>
        <row r="128">
          <cell r="C128" t="str">
            <v>L5HN</v>
          </cell>
          <cell r="D128" t="str">
            <v>Cao Đình Trung Hậu</v>
          </cell>
          <cell r="E128" t="str">
            <v>HẬU</v>
          </cell>
          <cell r="F128" t="str">
            <v>HẬU</v>
          </cell>
          <cell r="G128" t="str">
            <v>HẬU</v>
          </cell>
          <cell r="H128" t="str">
            <v>TNHN</v>
          </cell>
        </row>
        <row r="129">
          <cell r="C129" t="str">
            <v>L6HN</v>
          </cell>
          <cell r="D129" t="str">
            <v>Ngô Phát Thương</v>
          </cell>
          <cell r="E129" t="str">
            <v>Ngo Phat Thuong</v>
          </cell>
          <cell r="F129" t="str">
            <v>THƯƠNG</v>
          </cell>
          <cell r="G129" t="str">
            <v>THƯƠNG</v>
          </cell>
          <cell r="H129" t="str">
            <v>TNHN</v>
          </cell>
        </row>
        <row r="130">
          <cell r="C130" t="str">
            <v>L7HN</v>
          </cell>
          <cell r="D130" t="str">
            <v>Trần Thị Hạnh</v>
          </cell>
          <cell r="E130" t="str">
            <v>Tran Thi Hanh</v>
          </cell>
          <cell r="F130" t="str">
            <v>HẠNH (L)</v>
          </cell>
          <cell r="G130" t="str">
            <v>HẠNH (L)</v>
          </cell>
          <cell r="H130" t="str">
            <v>TNHN</v>
          </cell>
        </row>
        <row r="131">
          <cell r="C131" t="str">
            <v>L8HN</v>
          </cell>
          <cell r="D131" t="str">
            <v>Nguyễn Minh Hoàng</v>
          </cell>
          <cell r="E131" t="str">
            <v>Nguyen Minh Hoang</v>
          </cell>
          <cell r="F131" t="str">
            <v>HOÀNG</v>
          </cell>
          <cell r="G131" t="str">
            <v>HOANG</v>
          </cell>
          <cell r="H131" t="str">
            <v>TNHN</v>
          </cell>
        </row>
        <row r="132">
          <cell r="C132" t="str">
            <v>L9HN</v>
          </cell>
          <cell r="D132" t="str">
            <v>Dương Anh Quang</v>
          </cell>
          <cell r="E132" t="str">
            <v>Duong Anh Quang</v>
          </cell>
          <cell r="F132" t="str">
            <v>QUANG (L)</v>
          </cell>
          <cell r="G132" t="str">
            <v>QUANG</v>
          </cell>
          <cell r="H132" t="str">
            <v>TNHN</v>
          </cell>
        </row>
        <row r="133">
          <cell r="C133" t="str">
            <v>M1HN</v>
          </cell>
          <cell r="D133" t="str">
            <v>Tưởng Đông Diệm</v>
          </cell>
          <cell r="E133" t="str">
            <v>Tuong Dong Diem</v>
          </cell>
          <cell r="F133" t="str">
            <v>DIỆM (HN)</v>
          </cell>
          <cell r="G133" t="str">
            <v>DIỆM (QT)</v>
          </cell>
          <cell r="H133" t="str">
            <v>TNHN</v>
          </cell>
        </row>
        <row r="134">
          <cell r="C134" t="str">
            <v>M4HN</v>
          </cell>
          <cell r="D134" t="str">
            <v>Nguyễn Phi Hùng</v>
          </cell>
          <cell r="E134" t="str">
            <v>Nguyen Phi Hung</v>
          </cell>
          <cell r="F134" t="str">
            <v>HÙNG (QT)</v>
          </cell>
          <cell r="G134" t="str">
            <v>HÙNG (QT)</v>
          </cell>
          <cell r="H134" t="str">
            <v>TNHN</v>
          </cell>
        </row>
        <row r="135">
          <cell r="C135" t="str">
            <v>M6HN</v>
          </cell>
          <cell r="D135" t="str">
            <v>Nguyễn Ngọc Bảo Trân</v>
          </cell>
          <cell r="E135" t="str">
            <v>Bao TraN</v>
          </cell>
          <cell r="F135" t="str">
            <v>TRÂN</v>
          </cell>
          <cell r="G135" t="str">
            <v>TRAN</v>
          </cell>
          <cell r="H135" t="str">
            <v>TNHN</v>
          </cell>
        </row>
        <row r="136">
          <cell r="C136" t="str">
            <v>M8HN</v>
          </cell>
          <cell r="D136" t="str">
            <v>Kim Vĩnh Anh Khoa</v>
          </cell>
          <cell r="E136" t="str">
            <v>Kim Vĩnh Anh Khoa</v>
          </cell>
          <cell r="F136" t="str">
            <v>KHOA (THQT)</v>
          </cell>
          <cell r="G136" t="str">
            <v>KHOA (THQT)</v>
          </cell>
          <cell r="H136" t="str">
            <v>TNHN</v>
          </cell>
        </row>
        <row r="137">
          <cell r="C137" t="str">
            <v>Q1HN</v>
          </cell>
          <cell r="D137" t="str">
            <v>Hoàng Thị Tứ</v>
          </cell>
          <cell r="E137" t="str">
            <v>Hoang Thi Tu</v>
          </cell>
          <cell r="F137" t="str">
            <v>TỨ</v>
          </cell>
          <cell r="G137" t="str">
            <v>TU</v>
          </cell>
          <cell r="H137" t="str">
            <v>TNHN</v>
          </cell>
        </row>
        <row r="138">
          <cell r="C138" t="str">
            <v>Q3HN</v>
          </cell>
          <cell r="D138" t="str">
            <v>Hồ Phương Thảo</v>
          </cell>
          <cell r="E138" t="str">
            <v>Hồ Phương Thảo</v>
          </cell>
          <cell r="F138" t="str">
            <v>THẢO (QP)</v>
          </cell>
          <cell r="G138" t="str">
            <v>THẢO (QP)</v>
          </cell>
          <cell r="H138" t="str">
            <v>TNHN</v>
          </cell>
        </row>
        <row r="139">
          <cell r="C139" t="str">
            <v>S7HN</v>
          </cell>
          <cell r="D139" t="str">
            <v>Nguyễn Phước Khôi</v>
          </cell>
          <cell r="E139" t="str">
            <v>Nguyễn Phước Khôi</v>
          </cell>
          <cell r="F139" t="str">
            <v>KHÔI</v>
          </cell>
          <cell r="G139" t="str">
            <v>KHÔI</v>
          </cell>
          <cell r="H139" t="str">
            <v>TNHN</v>
          </cell>
        </row>
        <row r="140">
          <cell r="C140" t="str">
            <v>T10HN</v>
          </cell>
          <cell r="D140" t="str">
            <v>Đỗ Ức Tuệ</v>
          </cell>
          <cell r="E140" t="str">
            <v>Do Uc Tue</v>
          </cell>
          <cell r="F140" t="str">
            <v>TUỆ</v>
          </cell>
          <cell r="G140" t="str">
            <v>TUE</v>
          </cell>
          <cell r="H140" t="str">
            <v>TNHN</v>
          </cell>
        </row>
        <row r="141">
          <cell r="C141" t="str">
            <v>T12HN</v>
          </cell>
          <cell r="D141" t="str">
            <v>Trương Thúc Quảng</v>
          </cell>
          <cell r="E141" t="str">
            <v>Truong Thuc Quang</v>
          </cell>
          <cell r="F141" t="str">
            <v>QUẢNG(T)</v>
          </cell>
          <cell r="G141" t="str">
            <v>QUẢNG(T)</v>
          </cell>
          <cell r="H141" t="str">
            <v>TNHN</v>
          </cell>
        </row>
        <row r="142">
          <cell r="C142" t="str">
            <v>T13HN</v>
          </cell>
          <cell r="D142" t="str">
            <v>Nguyễn Duy Hưng</v>
          </cell>
          <cell r="E142" t="str">
            <v>Nguyen Duy Hung</v>
          </cell>
          <cell r="F142" t="str">
            <v>HƯNG</v>
          </cell>
          <cell r="G142" t="str">
            <v>HƯNG</v>
          </cell>
          <cell r="H142" t="str">
            <v>TNHN</v>
          </cell>
        </row>
        <row r="143">
          <cell r="C143" t="str">
            <v>T14HN</v>
          </cell>
          <cell r="D143" t="str">
            <v>Đoàn Thị Kim Hạnh</v>
          </cell>
          <cell r="E143" t="str">
            <v>Doan Thi Kim Hanh</v>
          </cell>
          <cell r="F143" t="str">
            <v>HẠNH (T)</v>
          </cell>
          <cell r="G143" t="str">
            <v>HẠNH (T)</v>
          </cell>
          <cell r="H143" t="str">
            <v>TNHN</v>
          </cell>
        </row>
        <row r="144">
          <cell r="C144" t="str">
            <v>T15HN</v>
          </cell>
          <cell r="D144" t="str">
            <v>Huỳnh Thị Diễm Linh</v>
          </cell>
          <cell r="E144" t="str">
            <v>Huỳnh Thị Diễm Linh</v>
          </cell>
          <cell r="F144" t="str">
            <v>D.LINH (T)</v>
          </cell>
          <cell r="G144" t="str">
            <v>D.LINH (T)</v>
          </cell>
          <cell r="H144" t="str">
            <v>TNHN</v>
          </cell>
        </row>
        <row r="145">
          <cell r="C145" t="str">
            <v>T18HN</v>
          </cell>
          <cell r="D145" t="str">
            <v>Trần Đại Nghĩa</v>
          </cell>
          <cell r="E145" t="str">
            <v>Tran Dai Nghia</v>
          </cell>
          <cell r="F145" t="str">
            <v>NGHĨA</v>
          </cell>
          <cell r="G145" t="str">
            <v>NGHĨA</v>
          </cell>
          <cell r="H145" t="str">
            <v>TNHN</v>
          </cell>
        </row>
        <row r="146">
          <cell r="C146" t="str">
            <v>T2HN</v>
          </cell>
          <cell r="D146" t="str">
            <v>Trần Phương Như</v>
          </cell>
          <cell r="E146" t="str">
            <v>Tran Phuong Nhu</v>
          </cell>
          <cell r="F146" t="str">
            <v>NHƯ</v>
          </cell>
          <cell r="G146" t="str">
            <v>NHƯ</v>
          </cell>
          <cell r="H146" t="str">
            <v>TNHN</v>
          </cell>
        </row>
        <row r="147">
          <cell r="C147" t="str">
            <v>T3HN</v>
          </cell>
          <cell r="D147" t="str">
            <v>NGUYỄN VĂN TÂM</v>
          </cell>
          <cell r="E147" t="str">
            <v>NGUYỄN VĂN TÂM</v>
          </cell>
          <cell r="F147" t="str">
            <v>TÂM</v>
          </cell>
          <cell r="G147" t="str">
            <v>TAM</v>
          </cell>
          <cell r="H147" t="str">
            <v>TNHN</v>
          </cell>
        </row>
        <row r="148">
          <cell r="C148" t="str">
            <v>T4HN</v>
          </cell>
          <cell r="D148" t="str">
            <v>Nguyễn Thị Thu Ba</v>
          </cell>
          <cell r="E148" t="str">
            <v>Nguyen Thi Thu Ba</v>
          </cell>
          <cell r="F148" t="str">
            <v>THU BA</v>
          </cell>
          <cell r="G148" t="str">
            <v>THU BA</v>
          </cell>
          <cell r="H148" t="str">
            <v>TNHN</v>
          </cell>
        </row>
        <row r="149">
          <cell r="C149" t="str">
            <v>T6HN</v>
          </cell>
          <cell r="D149" t="str">
            <v>Phạm Lê Thùy Dung</v>
          </cell>
          <cell r="E149" t="str">
            <v>Thùy Dung</v>
          </cell>
          <cell r="F149" t="str">
            <v>DUNG</v>
          </cell>
          <cell r="G149" t="str">
            <v>DUNG</v>
          </cell>
          <cell r="H149" t="str">
            <v>TNHN</v>
          </cell>
        </row>
        <row r="150">
          <cell r="C150" t="str">
            <v>T7HN</v>
          </cell>
          <cell r="D150" t="str">
            <v>Nguyễn Thị Lý</v>
          </cell>
          <cell r="E150" t="str">
            <v>Nguyen Thi Ly</v>
          </cell>
          <cell r="F150" t="str">
            <v>LÝ</v>
          </cell>
          <cell r="G150" t="str">
            <v>LÝ</v>
          </cell>
          <cell r="H150" t="str">
            <v>TNHN</v>
          </cell>
        </row>
        <row r="151">
          <cell r="C151" t="str">
            <v>T8HN</v>
          </cell>
          <cell r="D151" t="str">
            <v>Phan Quang Ánh</v>
          </cell>
          <cell r="E151" t="str">
            <v>Phan Quang Anh</v>
          </cell>
          <cell r="F151" t="str">
            <v>ÁNH</v>
          </cell>
          <cell r="G151" t="str">
            <v>ÁNH</v>
          </cell>
          <cell r="H151" t="str">
            <v>TNHN</v>
          </cell>
        </row>
        <row r="152">
          <cell r="C152" t="str">
            <v>T9HN</v>
          </cell>
          <cell r="D152" t="str">
            <v>Trần Anh Nga My</v>
          </cell>
          <cell r="E152" t="str">
            <v>Nga My</v>
          </cell>
          <cell r="F152" t="str">
            <v>MY</v>
          </cell>
          <cell r="G152" t="str">
            <v>MY</v>
          </cell>
          <cell r="H152" t="str">
            <v>TNHN</v>
          </cell>
        </row>
        <row r="153">
          <cell r="C153" t="str">
            <v>V10HN</v>
          </cell>
          <cell r="D153" t="str">
            <v>Lưu Thị Anh Thư</v>
          </cell>
          <cell r="E153" t="str">
            <v>Luu Thi Anh Thu</v>
          </cell>
          <cell r="F153" t="str">
            <v>THƯ (V)</v>
          </cell>
          <cell r="G153" t="str">
            <v>THƯ (V)</v>
          </cell>
          <cell r="H153" t="str">
            <v>TNHN</v>
          </cell>
        </row>
        <row r="154">
          <cell r="C154" t="str">
            <v>V13HN</v>
          </cell>
          <cell r="D154" t="str">
            <v>Nguyễn Thị Ngân</v>
          </cell>
          <cell r="E154" t="str">
            <v>Nguyen Thi Ngan</v>
          </cell>
          <cell r="F154" t="str">
            <v>NGÂN</v>
          </cell>
          <cell r="G154" t="str">
            <v>NGÂN</v>
          </cell>
          <cell r="H154" t="str">
            <v>TNHN</v>
          </cell>
        </row>
        <row r="155">
          <cell r="C155" t="str">
            <v>V1HN</v>
          </cell>
          <cell r="D155" t="str">
            <v>Nguyễn Thị Giang</v>
          </cell>
          <cell r="E155" t="str">
            <v>Nguyễn Thị Giang</v>
          </cell>
          <cell r="F155" t="str">
            <v>T.GIANG</v>
          </cell>
          <cell r="G155" t="str">
            <v>T.GIANG</v>
          </cell>
          <cell r="H155" t="str">
            <v>TNHN</v>
          </cell>
        </row>
        <row r="156">
          <cell r="C156" t="str">
            <v>V3HN</v>
          </cell>
          <cell r="D156" t="str">
            <v>Nguyễn Hồng Giang</v>
          </cell>
          <cell r="E156" t="str">
            <v>H Giang</v>
          </cell>
          <cell r="F156" t="str">
            <v>H.GIANG</v>
          </cell>
          <cell r="G156" t="str">
            <v>H Giang</v>
          </cell>
          <cell r="H156" t="str">
            <v>TNHN</v>
          </cell>
        </row>
        <row r="157">
          <cell r="C157" t="str">
            <v>V4HN</v>
          </cell>
          <cell r="D157" t="str">
            <v>Quách Thị Thủy</v>
          </cell>
          <cell r="E157" t="str">
            <v>Thủy</v>
          </cell>
          <cell r="F157" t="str">
            <v>THUỶ</v>
          </cell>
          <cell r="G157" t="str">
            <v>THUỶ</v>
          </cell>
          <cell r="H157" t="str">
            <v>TNHN</v>
          </cell>
        </row>
        <row r="158">
          <cell r="C158" t="str">
            <v>V4HN</v>
          </cell>
          <cell r="D158" t="str">
            <v>Quách Thị Thủy</v>
          </cell>
          <cell r="E158" t="str">
            <v>Thủy</v>
          </cell>
          <cell r="F158" t="str">
            <v>THUỶ</v>
          </cell>
          <cell r="G158" t="str">
            <v>Thủy</v>
          </cell>
          <cell r="H158" t="str">
            <v>TNHN</v>
          </cell>
        </row>
        <row r="159">
          <cell r="C159" t="str">
            <v>V5HN</v>
          </cell>
          <cell r="D159" t="str">
            <v>Trương Thu Trang</v>
          </cell>
          <cell r="E159" t="str">
            <v>Thu Trang</v>
          </cell>
          <cell r="F159" t="str">
            <v>TRANG</v>
          </cell>
          <cell r="G159" t="str">
            <v>TRANG</v>
          </cell>
          <cell r="H159" t="str">
            <v>TNHN</v>
          </cell>
        </row>
        <row r="160">
          <cell r="C160" t="str">
            <v>V7HN</v>
          </cell>
          <cell r="D160" t="str">
            <v>Lưu Bích Hoài Thêm</v>
          </cell>
          <cell r="E160" t="str">
            <v>Them</v>
          </cell>
          <cell r="F160" t="str">
            <v>THÊM</v>
          </cell>
          <cell r="G160" t="str">
            <v>THÊM</v>
          </cell>
          <cell r="H160" t="str">
            <v>TNHN</v>
          </cell>
        </row>
        <row r="161">
          <cell r="C161" t="str">
            <v>V8HN</v>
          </cell>
          <cell r="D161" t="str">
            <v>Nguyễn Hữu Bắc</v>
          </cell>
          <cell r="E161" t="str">
            <v>Nguyen Huu Bac</v>
          </cell>
          <cell r="F161" t="str">
            <v>BẮC</v>
          </cell>
          <cell r="G161" t="str">
            <v>BAC</v>
          </cell>
          <cell r="H161" t="str">
            <v>TNHN</v>
          </cell>
        </row>
        <row r="162">
          <cell r="C162" t="str">
            <v>V9HN</v>
          </cell>
          <cell r="D162" t="str">
            <v xml:space="preserve">Hoàng Thị Hải Yến </v>
          </cell>
          <cell r="E162" t="str">
            <v>Hoang Thi Hai Yen</v>
          </cell>
          <cell r="F162" t="str">
            <v>YẾN</v>
          </cell>
          <cell r="G162" t="str">
            <v>H.YEN</v>
          </cell>
          <cell r="H162" t="str">
            <v>TNHN</v>
          </cell>
        </row>
        <row r="163">
          <cell r="C163" t="str">
            <v>T1</v>
          </cell>
          <cell r="D163" t="str">
            <v>Đinh Văn Trí</v>
          </cell>
          <cell r="E163" t="str">
            <v>Dinh Van Tri</v>
          </cell>
          <cell r="F163" t="str">
            <v>TRÍ</v>
          </cell>
          <cell r="G163" t="str">
            <v xml:space="preserve">TRI </v>
          </cell>
          <cell r="H163" t="str">
            <v>TOÁN</v>
          </cell>
        </row>
        <row r="164">
          <cell r="C164" t="str">
            <v>T10</v>
          </cell>
          <cell r="D164" t="str">
            <v>Đỗ Ức Tuệ</v>
          </cell>
          <cell r="E164" t="str">
            <v>Do Uc Tue</v>
          </cell>
          <cell r="F164" t="str">
            <v>TUỆ</v>
          </cell>
          <cell r="G164" t="str">
            <v>TUE</v>
          </cell>
          <cell r="H164" t="str">
            <v>TOÁN</v>
          </cell>
        </row>
        <row r="165">
          <cell r="C165" t="str">
            <v>T12</v>
          </cell>
          <cell r="D165" t="str">
            <v>Trương Thúc Quảng</v>
          </cell>
          <cell r="E165" t="str">
            <v>Truong Thuc Quang</v>
          </cell>
          <cell r="F165" t="str">
            <v>QUẢNG(T)</v>
          </cell>
          <cell r="G165" t="str">
            <v>QUANG(T)</v>
          </cell>
          <cell r="H165" t="str">
            <v>TOÁN</v>
          </cell>
        </row>
        <row r="166">
          <cell r="C166" t="str">
            <v>T13</v>
          </cell>
          <cell r="D166" t="str">
            <v>Nguyễn Duy Hưng</v>
          </cell>
          <cell r="E166" t="str">
            <v>Nguyen Duy Hung</v>
          </cell>
          <cell r="F166" t="str">
            <v>HƯNG</v>
          </cell>
          <cell r="G166" t="str">
            <v>HUNG</v>
          </cell>
          <cell r="H166" t="str">
            <v>TOÁN</v>
          </cell>
        </row>
        <row r="167">
          <cell r="C167" t="str">
            <v>T14</v>
          </cell>
          <cell r="D167" t="str">
            <v>Đoàn Thị Kim Hạnh</v>
          </cell>
          <cell r="E167" t="str">
            <v>Doan Thi Kim Hanh</v>
          </cell>
          <cell r="F167" t="str">
            <v>HẠNH (T)</v>
          </cell>
          <cell r="G167" t="str">
            <v>HANH (T)</v>
          </cell>
          <cell r="H167" t="str">
            <v>TOÁN</v>
          </cell>
        </row>
        <row r="168">
          <cell r="C168" t="str">
            <v>T15</v>
          </cell>
          <cell r="D168" t="str">
            <v>Huỳnh Thị Diễm Linh</v>
          </cell>
          <cell r="E168" t="str">
            <v>Huỳnh Thị Diễm Linh</v>
          </cell>
          <cell r="F168" t="str">
            <v>D.LINH (T)</v>
          </cell>
          <cell r="G168" t="str">
            <v>D.LINH(T)</v>
          </cell>
          <cell r="H168" t="str">
            <v>TOÁN</v>
          </cell>
        </row>
        <row r="169">
          <cell r="C169" t="str">
            <v>T18</v>
          </cell>
          <cell r="D169" t="str">
            <v>Trần Đại Nghĩa</v>
          </cell>
          <cell r="E169" t="str">
            <v>Tran Dai Nghia</v>
          </cell>
          <cell r="F169" t="str">
            <v>NGHĨA</v>
          </cell>
          <cell r="G169" t="str">
            <v>NGHIA</v>
          </cell>
          <cell r="H169" t="str">
            <v>TOÁN</v>
          </cell>
        </row>
        <row r="170">
          <cell r="C170" t="str">
            <v>T2</v>
          </cell>
          <cell r="D170" t="str">
            <v>Trần Phương Như</v>
          </cell>
          <cell r="E170" t="str">
            <v>Tran Phuong Nhu</v>
          </cell>
          <cell r="F170" t="str">
            <v>NHƯ</v>
          </cell>
          <cell r="G170" t="str">
            <v>Nhu</v>
          </cell>
          <cell r="H170" t="str">
            <v>TOÁN</v>
          </cell>
        </row>
        <row r="171">
          <cell r="C171" t="str">
            <v>T3</v>
          </cell>
          <cell r="D171" t="str">
            <v>Nguyễn Văn Tâm</v>
          </cell>
          <cell r="E171" t="str">
            <v>NGUYỄN VĂN TÂM</v>
          </cell>
          <cell r="F171" t="str">
            <v>TÂM</v>
          </cell>
          <cell r="G171" t="str">
            <v>TAM</v>
          </cell>
          <cell r="H171" t="str">
            <v>TOÁN</v>
          </cell>
        </row>
        <row r="172">
          <cell r="C172" t="str">
            <v>T4</v>
          </cell>
          <cell r="D172" t="str">
            <v>Nguyễn Thị Thu Ba</v>
          </cell>
          <cell r="E172" t="str">
            <v>Nguyen Thi Thu Ba</v>
          </cell>
          <cell r="F172" t="str">
            <v>THU BA</v>
          </cell>
          <cell r="G172" t="str">
            <v>THU BA</v>
          </cell>
          <cell r="H172" t="str">
            <v>TOÁN</v>
          </cell>
        </row>
        <row r="173">
          <cell r="C173" t="str">
            <v>T5</v>
          </cell>
          <cell r="D173" t="str">
            <v>Nguyễn Việt Phương</v>
          </cell>
          <cell r="E173" t="str">
            <v>Nguyễn Việt Phương</v>
          </cell>
          <cell r="F173" t="str">
            <v>V.PHƯƠNG</v>
          </cell>
          <cell r="G173" t="str">
            <v>Phuong</v>
          </cell>
          <cell r="H173" t="str">
            <v>TOÁN</v>
          </cell>
        </row>
        <row r="174">
          <cell r="C174" t="str">
            <v>T6</v>
          </cell>
          <cell r="D174" t="str">
            <v>Phạm Lê Thùy Dung</v>
          </cell>
          <cell r="E174" t="str">
            <v>Thùy Dung</v>
          </cell>
          <cell r="F174" t="str">
            <v>DUNG</v>
          </cell>
          <cell r="G174" t="str">
            <v>Thùy Dung</v>
          </cell>
          <cell r="H174" t="str">
            <v>TOÁN</v>
          </cell>
        </row>
        <row r="175">
          <cell r="C175" t="str">
            <v>T7</v>
          </cell>
          <cell r="D175" t="str">
            <v>Nguyễn Thị Lý</v>
          </cell>
          <cell r="E175" t="str">
            <v>Nguyen Thi Ly</v>
          </cell>
          <cell r="F175" t="str">
            <v>LÝ</v>
          </cell>
          <cell r="G175" t="str">
            <v>LY</v>
          </cell>
          <cell r="H175" t="str">
            <v>TOÁN</v>
          </cell>
        </row>
        <row r="176">
          <cell r="C176" t="str">
            <v>T8</v>
          </cell>
          <cell r="D176" t="str">
            <v>Phan Quang Ánh</v>
          </cell>
          <cell r="E176" t="str">
            <v>Phan Quang Anh</v>
          </cell>
          <cell r="F176" t="str">
            <v>ÁNH</v>
          </cell>
          <cell r="G176" t="str">
            <v>ANH</v>
          </cell>
          <cell r="H176" t="str">
            <v>TOÁN</v>
          </cell>
        </row>
        <row r="177">
          <cell r="C177" t="str">
            <v>T9</v>
          </cell>
          <cell r="D177" t="str">
            <v>Trần Anh Nga My</v>
          </cell>
          <cell r="E177" t="str">
            <v>Nga My</v>
          </cell>
          <cell r="F177" t="str">
            <v>MY</v>
          </cell>
          <cell r="G177" t="str">
            <v>MY</v>
          </cell>
          <cell r="H177" t="str">
            <v>TOÁN</v>
          </cell>
        </row>
        <row r="178">
          <cell r="C178" t="str">
            <v>V1</v>
          </cell>
          <cell r="D178" t="str">
            <v>Nguyễn Thị Giang</v>
          </cell>
          <cell r="E178" t="str">
            <v>Nguyễn Thị Giang</v>
          </cell>
          <cell r="F178" t="str">
            <v>T.GIANG</v>
          </cell>
          <cell r="G178" t="str">
            <v>T.GIANG</v>
          </cell>
          <cell r="H178" t="str">
            <v>VĂN</v>
          </cell>
        </row>
        <row r="179">
          <cell r="C179" t="str">
            <v>V10</v>
          </cell>
          <cell r="D179" t="str">
            <v>Lưu Thị Anh Thư</v>
          </cell>
          <cell r="E179" t="str">
            <v>Luu Thi Anh Thu</v>
          </cell>
          <cell r="F179" t="str">
            <v>THƯ (V)</v>
          </cell>
          <cell r="G179" t="str">
            <v>THU</v>
          </cell>
          <cell r="H179" t="str">
            <v>VĂN</v>
          </cell>
        </row>
        <row r="180">
          <cell r="C180" t="str">
            <v>V11</v>
          </cell>
          <cell r="D180" t="str">
            <v>Nguyễn Đình Khoa</v>
          </cell>
          <cell r="E180" t="str">
            <v>Nguyen Dinh Khoa</v>
          </cell>
          <cell r="F180" t="str">
            <v>KHOA</v>
          </cell>
          <cell r="G180" t="str">
            <v>KHOA</v>
          </cell>
          <cell r="H180" t="str">
            <v>VĂN</v>
          </cell>
        </row>
        <row r="181">
          <cell r="C181" t="str">
            <v>V13</v>
          </cell>
          <cell r="D181" t="str">
            <v>Nguyễn Thị Ngân</v>
          </cell>
          <cell r="E181" t="str">
            <v>Nguyen Thi Ngan</v>
          </cell>
          <cell r="F181" t="str">
            <v>NGÂN</v>
          </cell>
          <cell r="G181" t="str">
            <v>NGÂN</v>
          </cell>
          <cell r="H181" t="str">
            <v>VĂN</v>
          </cell>
        </row>
        <row r="182">
          <cell r="C182" t="str">
            <v>V14</v>
          </cell>
          <cell r="D182" t="str">
            <v>Phạm Chí Nguyện</v>
          </cell>
          <cell r="E182" t="str">
            <v>Pham Chi Nguyen</v>
          </cell>
          <cell r="F182" t="str">
            <v>Nguyện</v>
          </cell>
          <cell r="G182" t="str">
            <v>Nguyen</v>
          </cell>
          <cell r="H182" t="str">
            <v>VĂN</v>
          </cell>
        </row>
        <row r="183">
          <cell r="C183" t="str">
            <v>V2</v>
          </cell>
          <cell r="D183" t="str">
            <v>Dương Thị Thắm</v>
          </cell>
          <cell r="E183" t="str">
            <v>Duong Thi Tham</v>
          </cell>
          <cell r="F183" t="str">
            <v>THẮM</v>
          </cell>
          <cell r="G183" t="str">
            <v>THAM</v>
          </cell>
          <cell r="H183" t="str">
            <v>VĂN</v>
          </cell>
        </row>
        <row r="184">
          <cell r="C184" t="str">
            <v>V3</v>
          </cell>
          <cell r="D184" t="str">
            <v>Nguyễn Hồng Giang</v>
          </cell>
          <cell r="E184" t="str">
            <v>H Giang</v>
          </cell>
          <cell r="F184" t="str">
            <v>H.GIANG</v>
          </cell>
          <cell r="G184" t="str">
            <v>H Giang</v>
          </cell>
          <cell r="H184" t="str">
            <v>VĂN</v>
          </cell>
        </row>
        <row r="185">
          <cell r="C185" t="str">
            <v>V4</v>
          </cell>
          <cell r="D185" t="str">
            <v>Quách Thị Thủy</v>
          </cell>
          <cell r="E185" t="str">
            <v>Thủy</v>
          </cell>
          <cell r="F185" t="str">
            <v>THUỶ</v>
          </cell>
          <cell r="G185" t="str">
            <v>Thủy</v>
          </cell>
          <cell r="H185" t="str">
            <v>VĂN</v>
          </cell>
        </row>
        <row r="186">
          <cell r="C186" t="str">
            <v>V5</v>
          </cell>
          <cell r="D186" t="str">
            <v>Trương Thu Trang</v>
          </cell>
          <cell r="E186" t="str">
            <v>Thu Trang</v>
          </cell>
          <cell r="F186" t="str">
            <v>TRANG</v>
          </cell>
          <cell r="G186" t="str">
            <v>TRANG</v>
          </cell>
          <cell r="H186" t="str">
            <v>VĂN</v>
          </cell>
        </row>
        <row r="187">
          <cell r="C187" t="str">
            <v>V6</v>
          </cell>
          <cell r="D187" t="str">
            <v>Lý Diệp Trường Phú</v>
          </cell>
          <cell r="E187" t="str">
            <v>Lý Diệp Trường Phú</v>
          </cell>
          <cell r="F187" t="str">
            <v>Phú</v>
          </cell>
          <cell r="G187" t="str">
            <v>Phu</v>
          </cell>
          <cell r="H187" t="str">
            <v>VĂN</v>
          </cell>
        </row>
        <row r="188">
          <cell r="C188" t="str">
            <v>V7</v>
          </cell>
          <cell r="D188" t="str">
            <v>Lưu Bích Hoài Thêm</v>
          </cell>
          <cell r="E188" t="str">
            <v>Them</v>
          </cell>
          <cell r="F188" t="str">
            <v>THÊM</v>
          </cell>
          <cell r="G188" t="str">
            <v>THEM</v>
          </cell>
          <cell r="H188" t="str">
            <v>VĂN</v>
          </cell>
        </row>
        <row r="189">
          <cell r="C189" t="str">
            <v>V8</v>
          </cell>
          <cell r="D189" t="str">
            <v>Nguyễn Hữu Bắc</v>
          </cell>
          <cell r="E189" t="str">
            <v>Nguyen Huu Bac</v>
          </cell>
          <cell r="F189" t="str">
            <v>BẮC</v>
          </cell>
          <cell r="G189" t="str">
            <v>BAC</v>
          </cell>
          <cell r="H189" t="str">
            <v>VĂN</v>
          </cell>
        </row>
        <row r="190">
          <cell r="C190" t="str">
            <v>V9</v>
          </cell>
          <cell r="D190" t="str">
            <v xml:space="preserve">Hoàng Thị Hải Yến </v>
          </cell>
          <cell r="E190" t="str">
            <v>Hoang Thi Hai Yen</v>
          </cell>
          <cell r="F190" t="str">
            <v>YẾN</v>
          </cell>
          <cell r="G190" t="str">
            <v>H.YEN</v>
          </cell>
          <cell r="H190" t="str">
            <v>VĂN</v>
          </cell>
        </row>
        <row r="191">
          <cell r="C191" t="str">
            <v>H3</v>
          </cell>
          <cell r="D191" t="str">
            <v>Nguyễn Thành Trung</v>
          </cell>
          <cell r="E191" t="str">
            <v>Nguyen Thanh Trung</v>
          </cell>
          <cell r="F191" t="str">
            <v>TRUNG</v>
          </cell>
          <cell r="G191" t="str">
            <v>TRUNG</v>
          </cell>
          <cell r="H191" t="str">
            <v>HÓA</v>
          </cell>
        </row>
        <row r="192">
          <cell r="C192" t="str">
            <v>H8</v>
          </cell>
          <cell r="D192" t="str">
            <v>Nguyễn Quốc Bảo</v>
          </cell>
          <cell r="E192" t="str">
            <v>Nguyen Quoc Bao</v>
          </cell>
          <cell r="F192" t="str">
            <v>BAO</v>
          </cell>
          <cell r="G192" t="str">
            <v>BAO</v>
          </cell>
          <cell r="H192" t="str">
            <v>HÓA</v>
          </cell>
        </row>
        <row r="193">
          <cell r="C193" t="str">
            <v>G1</v>
          </cell>
          <cell r="D193" t="str">
            <v>Huỳnh Thị Bích Vân</v>
          </cell>
          <cell r="E193" t="str">
            <v>Huynh Thi Bich Van</v>
          </cell>
          <cell r="F193" t="str">
            <v>B.VÂN</v>
          </cell>
          <cell r="G193" t="str">
            <v>VAN</v>
          </cell>
          <cell r="H193" t="str">
            <v>KT&amp;PL</v>
          </cell>
        </row>
        <row r="194">
          <cell r="C194" t="str">
            <v>E5</v>
          </cell>
          <cell r="D194" t="str">
            <v>Nguyễn Thị Phượng Anh</v>
          </cell>
          <cell r="E194" t="str">
            <v>Nguyen Thi Phuong Anh</v>
          </cell>
          <cell r="F194" t="str">
            <v>P.ANH</v>
          </cell>
          <cell r="G194" t="str">
            <v>ANH (SI)</v>
          </cell>
          <cell r="H194" t="str">
            <v>SINH</v>
          </cell>
        </row>
        <row r="195">
          <cell r="C195" t="str">
            <v>S6</v>
          </cell>
          <cell r="D195" t="str">
            <v>Nguyễn Anh Khoa</v>
          </cell>
          <cell r="E195" t="str">
            <v>Nguyễn Anh Khoa</v>
          </cell>
          <cell r="F195" t="str">
            <v>KHOA ( SỬ)</v>
          </cell>
          <cell r="G195" t="str">
            <v>KHOA (SU)</v>
          </cell>
          <cell r="H195" t="str">
            <v>SỬ</v>
          </cell>
        </row>
        <row r="196">
          <cell r="C196" t="str">
            <v>M9QT</v>
          </cell>
          <cell r="D196" t="str">
            <v>Lương Sơn Dũng</v>
          </cell>
          <cell r="E196" t="str">
            <v>Luong Son Dung</v>
          </cell>
          <cell r="F196" t="str">
            <v>DUNG (QT)</v>
          </cell>
          <cell r="G196" t="str">
            <v>DUNG (QT)</v>
          </cell>
          <cell r="H196" t="str">
            <v>THQT</v>
          </cell>
        </row>
        <row r="197">
          <cell r="C197" t="str">
            <v>M1</v>
          </cell>
          <cell r="D197" t="str">
            <v>Tưởng Đông Diệm</v>
          </cell>
          <cell r="E197" t="str">
            <v>Tuong Dong Diem</v>
          </cell>
          <cell r="F197" t="str">
            <v>DIỆM (TH)</v>
          </cell>
          <cell r="G197" t="str">
            <v>DIEM</v>
          </cell>
          <cell r="H197" t="str">
            <v>TIN HỌC</v>
          </cell>
        </row>
        <row r="198">
          <cell r="C198" t="str">
            <v>M7</v>
          </cell>
          <cell r="D198" t="str">
            <v>Nguyễn Thị Thanh Thảo</v>
          </cell>
          <cell r="E198" t="str">
            <v>Nguyen Thi Thanh Thao</v>
          </cell>
          <cell r="F198" t="str">
            <v>THAO</v>
          </cell>
          <cell r="G198" t="str">
            <v>THAO</v>
          </cell>
          <cell r="H198" t="str">
            <v>TIN HỌC</v>
          </cell>
        </row>
        <row r="199">
          <cell r="C199" t="str">
            <v>E5HN</v>
          </cell>
          <cell r="D199" t="str">
            <v>Nguyễn Thị Phượng Anh</v>
          </cell>
          <cell r="E199" t="str">
            <v>Nguyen Thi Phuong Anh</v>
          </cell>
          <cell r="F199" t="str">
            <v>P.ANH</v>
          </cell>
          <cell r="G199" t="str">
            <v>ANH (SI)</v>
          </cell>
          <cell r="H199" t="str">
            <v>TNHN</v>
          </cell>
        </row>
        <row r="200">
          <cell r="C200" t="str">
            <v>V12</v>
          </cell>
          <cell r="D200" t="str">
            <v>Lê Thị Phượng</v>
          </cell>
          <cell r="E200" t="str">
            <v>PHƯỢNG</v>
          </cell>
          <cell r="F200" t="str">
            <v>PHƯỢNG</v>
          </cell>
          <cell r="G200" t="str">
            <v>PHUONG</v>
          </cell>
          <cell r="H200" t="str">
            <v>VĂN</v>
          </cell>
        </row>
        <row r="201">
          <cell r="C201" t="str">
            <v>E8HN</v>
          </cell>
          <cell r="D201" t="str">
            <v>Nguyễn Bảo Trang</v>
          </cell>
          <cell r="E201" t="str">
            <v>Nguyen Bao Trang</v>
          </cell>
          <cell r="F201" t="str">
            <v>B.Trang</v>
          </cell>
          <cell r="G201" t="str">
            <v>Trang (Si)</v>
          </cell>
          <cell r="H201" t="str">
            <v>TNHN</v>
          </cell>
        </row>
        <row r="202">
          <cell r="C202" t="str">
            <v>T5HN</v>
          </cell>
          <cell r="D202" t="str">
            <v>Nguyễn Việt Phương</v>
          </cell>
          <cell r="E202" t="str">
            <v>Nguyễn Việt Phương</v>
          </cell>
          <cell r="F202" t="str">
            <v>V.PHƯƠNG</v>
          </cell>
          <cell r="G202" t="str">
            <v>Phuong</v>
          </cell>
          <cell r="H202" t="str">
            <v>GDĐP</v>
          </cell>
        </row>
      </sheetData>
      <sheetData sheetId="9">
        <row r="4">
          <cell r="C4" t="str">
            <v>12A1</v>
          </cell>
          <cell r="D4" t="str">
            <v>Truương Ngọc Anh Luân</v>
          </cell>
          <cell r="E4" t="str">
            <v>S</v>
          </cell>
        </row>
        <row r="5">
          <cell r="C5" t="str">
            <v>12A2</v>
          </cell>
          <cell r="D5" t="str">
            <v>Trần Phương Như</v>
          </cell>
          <cell r="E5" t="str">
            <v>S</v>
          </cell>
        </row>
        <row r="6">
          <cell r="C6" t="str">
            <v>12A3</v>
          </cell>
          <cell r="D6" t="str">
            <v>Trương Thúc Quảng</v>
          </cell>
          <cell r="E6" t="str">
            <v>S</v>
          </cell>
        </row>
        <row r="7">
          <cell r="C7" t="str">
            <v>12A4</v>
          </cell>
          <cell r="D7" t="str">
            <v>Hồ Văn Bình</v>
          </cell>
          <cell r="E7" t="str">
            <v>S</v>
          </cell>
        </row>
        <row r="8">
          <cell r="C8" t="str">
            <v>12A5</v>
          </cell>
          <cell r="D8" t="str">
            <v>Nguyễn Thị Thu Ba</v>
          </cell>
          <cell r="E8" t="str">
            <v>S</v>
          </cell>
        </row>
        <row r="9">
          <cell r="C9" t="str">
            <v>12A6</v>
          </cell>
          <cell r="D9" t="str">
            <v>Quách Thị Thủy</v>
          </cell>
          <cell r="E9" t="str">
            <v>S</v>
          </cell>
        </row>
        <row r="10">
          <cell r="C10" t="str">
            <v>12A7</v>
          </cell>
          <cell r="D10" t="str">
            <v>Lưu Thị Anh Thư</v>
          </cell>
          <cell r="E10" t="str">
            <v>S</v>
          </cell>
        </row>
        <row r="11">
          <cell r="C11" t="str">
            <v>12A8</v>
          </cell>
          <cell r="D11" t="str">
            <v>Nguyễn Thị Tường Vy</v>
          </cell>
          <cell r="E11" t="str">
            <v>S</v>
          </cell>
        </row>
        <row r="12">
          <cell r="C12" t="str">
            <v>12A9</v>
          </cell>
          <cell r="D12" t="str">
            <v>Trần Thị Mỹ Thanh</v>
          </cell>
          <cell r="E12" t="str">
            <v>S</v>
          </cell>
        </row>
        <row r="13">
          <cell r="C13" t="str">
            <v>12A10</v>
          </cell>
          <cell r="D13" t="str">
            <v>Nguyễn Thị Tuyết Nhung</v>
          </cell>
          <cell r="E13" t="str">
            <v>S</v>
          </cell>
        </row>
        <row r="14">
          <cell r="C14" t="str">
            <v>12A11</v>
          </cell>
          <cell r="D14" t="str">
            <v>Đoàn Thị Kim Hạnh</v>
          </cell>
          <cell r="E14" t="str">
            <v>S</v>
          </cell>
        </row>
        <row r="15">
          <cell r="C15" t="str">
            <v>12A12</v>
          </cell>
          <cell r="D15" t="str">
            <v>Nguyễn Thị Thùy Dương</v>
          </cell>
          <cell r="E15" t="str">
            <v>S</v>
          </cell>
        </row>
        <row r="16">
          <cell r="C16" t="str">
            <v>12A13</v>
          </cell>
          <cell r="D16" t="str">
            <v xml:space="preserve">Hoàng Thị Hải Yến </v>
          </cell>
          <cell r="E16" t="str">
            <v>S</v>
          </cell>
        </row>
        <row r="17">
          <cell r="C17" t="str">
            <v>12A14</v>
          </cell>
          <cell r="D17" t="str">
            <v>Phạm Thị Phương Điền</v>
          </cell>
          <cell r="E17" t="str">
            <v>S</v>
          </cell>
        </row>
        <row r="18">
          <cell r="C18" t="str">
            <v>12A15</v>
          </cell>
          <cell r="D18" t="str">
            <v>Nguyễn Hữu Bắc</v>
          </cell>
          <cell r="E18" t="str">
            <v>S</v>
          </cell>
        </row>
        <row r="19">
          <cell r="C19" t="str">
            <v>12A16</v>
          </cell>
          <cell r="D19" t="str">
            <v/>
          </cell>
          <cell r="E19" t="str">
            <v>S</v>
          </cell>
        </row>
        <row r="20">
          <cell r="C20" t="str">
            <v>12A17</v>
          </cell>
          <cell r="D20" t="str">
            <v/>
          </cell>
          <cell r="E20" t="str">
            <v>S</v>
          </cell>
        </row>
        <row r="21">
          <cell r="C21" t="str">
            <v>12A18</v>
          </cell>
          <cell r="D21" t="str">
            <v/>
          </cell>
          <cell r="E21" t="str">
            <v>S</v>
          </cell>
        </row>
        <row r="22">
          <cell r="C22" t="str">
            <v>12A19</v>
          </cell>
          <cell r="D22" t="str">
            <v/>
          </cell>
          <cell r="E22" t="str">
            <v>S</v>
          </cell>
        </row>
        <row r="23">
          <cell r="C23" t="str">
            <v>12A20</v>
          </cell>
          <cell r="D23" t="str">
            <v/>
          </cell>
          <cell r="E23" t="str">
            <v>S</v>
          </cell>
        </row>
        <row r="24">
          <cell r="C24" t="str">
            <v>11A1</v>
          </cell>
          <cell r="D24" t="str">
            <v>Nguyễn Phước Khôi</v>
          </cell>
          <cell r="E24" t="str">
            <v>S</v>
          </cell>
        </row>
        <row r="25">
          <cell r="C25" t="str">
            <v>11A2</v>
          </cell>
          <cell r="D25" t="str">
            <v>Nguyễn Thị Ngân</v>
          </cell>
          <cell r="E25" t="str">
            <v>S</v>
          </cell>
        </row>
        <row r="26">
          <cell r="C26" t="str">
            <v>11A3</v>
          </cell>
          <cell r="D26" t="str">
            <v>Mã Thị Minh Thi</v>
          </cell>
          <cell r="E26" t="str">
            <v>S</v>
          </cell>
        </row>
        <row r="27">
          <cell r="C27" t="str">
            <v>11A4</v>
          </cell>
          <cell r="D27" t="str">
            <v>Nguyễn Thị Diến</v>
          </cell>
          <cell r="E27" t="str">
            <v>S</v>
          </cell>
        </row>
        <row r="28">
          <cell r="C28" t="str">
            <v>11A5</v>
          </cell>
          <cell r="D28" t="str">
            <v>Nguyễn Duy Hưng</v>
          </cell>
          <cell r="E28" t="str">
            <v>S</v>
          </cell>
        </row>
        <row r="29">
          <cell r="C29" t="str">
            <v>11A6</v>
          </cell>
          <cell r="D29" t="str">
            <v>Nguyễn Văn Trọng</v>
          </cell>
          <cell r="E29" t="str">
            <v>S</v>
          </cell>
        </row>
        <row r="30">
          <cell r="C30" t="str">
            <v>11A7</v>
          </cell>
          <cell r="D30" t="str">
            <v>Nguyễn Ngọc Bảo Trân</v>
          </cell>
          <cell r="E30" t="str">
            <v>S</v>
          </cell>
        </row>
        <row r="31">
          <cell r="C31" t="str">
            <v>11A8</v>
          </cell>
          <cell r="D31" t="str">
            <v>Nguyễn Thị Ngọc Minh</v>
          </cell>
          <cell r="E31" t="str">
            <v>S</v>
          </cell>
        </row>
        <row r="32">
          <cell r="C32" t="str">
            <v>11A9</v>
          </cell>
          <cell r="D32" t="str">
            <v>Trần Thị Hạnh</v>
          </cell>
          <cell r="E32" t="str">
            <v>S</v>
          </cell>
        </row>
        <row r="33">
          <cell r="C33" t="str">
            <v>11A10</v>
          </cell>
          <cell r="D33" t="str">
            <v>Vũ Thanh Vân</v>
          </cell>
          <cell r="E33" t="str">
            <v>S</v>
          </cell>
        </row>
        <row r="34">
          <cell r="C34" t="str">
            <v>11A11</v>
          </cell>
          <cell r="D34" t="str">
            <v>Nguyễn Hồng Giang</v>
          </cell>
          <cell r="E34" t="str">
            <v>S</v>
          </cell>
        </row>
        <row r="35">
          <cell r="C35" t="str">
            <v>11A12</v>
          </cell>
          <cell r="D35" t="str">
            <v>Trần Đại Nghĩa</v>
          </cell>
          <cell r="E35" t="str">
            <v>S</v>
          </cell>
        </row>
        <row r="36">
          <cell r="C36" t="str">
            <v>11A13</v>
          </cell>
          <cell r="D36" t="str">
            <v>Đỗ Ức Tuệ</v>
          </cell>
          <cell r="E36" t="str">
            <v>S</v>
          </cell>
        </row>
        <row r="37">
          <cell r="C37" t="str">
            <v>11A14</v>
          </cell>
          <cell r="D37" t="str">
            <v>Trần Thị Hằng</v>
          </cell>
          <cell r="E37" t="str">
            <v>S</v>
          </cell>
        </row>
        <row r="38">
          <cell r="C38" t="str">
            <v>11A15</v>
          </cell>
          <cell r="D38" t="str">
            <v/>
          </cell>
          <cell r="E38" t="str">
            <v>S</v>
          </cell>
        </row>
        <row r="39">
          <cell r="C39" t="str">
            <v>11A16</v>
          </cell>
          <cell r="D39" t="str">
            <v/>
          </cell>
          <cell r="E39" t="str">
            <v>S</v>
          </cell>
        </row>
        <row r="40">
          <cell r="C40" t="str">
            <v>11A17</v>
          </cell>
          <cell r="D40" t="str">
            <v/>
          </cell>
          <cell r="E40" t="str">
            <v>S</v>
          </cell>
        </row>
        <row r="41">
          <cell r="C41" t="str">
            <v>11A18</v>
          </cell>
          <cell r="D41" t="str">
            <v/>
          </cell>
          <cell r="E41" t="str">
            <v>S</v>
          </cell>
        </row>
        <row r="42">
          <cell r="C42" t="str">
            <v>11A19</v>
          </cell>
          <cell r="D42" t="str">
            <v/>
          </cell>
        </row>
        <row r="43">
          <cell r="C43" t="str">
            <v>11A20</v>
          </cell>
          <cell r="D43" t="str">
            <v/>
          </cell>
        </row>
        <row r="44">
          <cell r="C44" t="str">
            <v>10A1</v>
          </cell>
          <cell r="D44" t="str">
            <v>Nguyễn Thị Quỳnh Diễm</v>
          </cell>
          <cell r="E44" t="str">
            <v>S</v>
          </cell>
        </row>
        <row r="45">
          <cell r="C45" t="str">
            <v>10A2</v>
          </cell>
          <cell r="D45" t="str">
            <v xml:space="preserve">Trần Thị Khuyên </v>
          </cell>
          <cell r="E45" t="str">
            <v>S</v>
          </cell>
        </row>
        <row r="46">
          <cell r="C46" t="str">
            <v>10A3</v>
          </cell>
          <cell r="D46" t="str">
            <v>Nguyễn Minh Thanh Tùng</v>
          </cell>
          <cell r="E46" t="str">
            <v>S</v>
          </cell>
        </row>
        <row r="47">
          <cell r="C47" t="str">
            <v>10A4</v>
          </cell>
          <cell r="D47" t="str">
            <v xml:space="preserve">Trần Thị Lam Hồng </v>
          </cell>
          <cell r="E47" t="str">
            <v>S</v>
          </cell>
        </row>
        <row r="48">
          <cell r="C48" t="str">
            <v>10A5</v>
          </cell>
          <cell r="D48" t="str">
            <v>Lâm Gia Hân</v>
          </cell>
          <cell r="E48" t="str">
            <v>S</v>
          </cell>
        </row>
        <row r="49">
          <cell r="C49" t="str">
            <v>10A6</v>
          </cell>
          <cell r="D49" t="str">
            <v>Nguyễn Xuân Thu</v>
          </cell>
          <cell r="E49" t="str">
            <v>S</v>
          </cell>
        </row>
        <row r="50">
          <cell r="C50" t="str">
            <v>10A7</v>
          </cell>
          <cell r="D50" t="str">
            <v>Nguyễn Trần Mai Thanh</v>
          </cell>
          <cell r="E50" t="str">
            <v>S</v>
          </cell>
        </row>
        <row r="51">
          <cell r="C51" t="str">
            <v>10A8</v>
          </cell>
          <cell r="D51" t="str">
            <v>Mai Lan Anh</v>
          </cell>
          <cell r="E51" t="str">
            <v>S</v>
          </cell>
        </row>
        <row r="52">
          <cell r="C52" t="str">
            <v>10A9</v>
          </cell>
          <cell r="D52" t="str">
            <v>Hồ Phương Thảo</v>
          </cell>
          <cell r="E52" t="str">
            <v>S</v>
          </cell>
        </row>
        <row r="53">
          <cell r="C53" t="str">
            <v>10A10</v>
          </cell>
          <cell r="D53" t="str">
            <v>Lưu Bích Hoài Thêm</v>
          </cell>
          <cell r="E53" t="str">
            <v>S</v>
          </cell>
        </row>
        <row r="54">
          <cell r="C54" t="str">
            <v>10A11</v>
          </cell>
          <cell r="D54" t="str">
            <v>Trương Thu Trang</v>
          </cell>
          <cell r="E54" t="str">
            <v>S</v>
          </cell>
        </row>
        <row r="55">
          <cell r="C55" t="str">
            <v>10A12</v>
          </cell>
          <cell r="D55" t="str">
            <v>Nguyễn Thị Xuân Hương</v>
          </cell>
          <cell r="E55" t="str">
            <v>S</v>
          </cell>
        </row>
        <row r="56">
          <cell r="C56" t="str">
            <v>10A13</v>
          </cell>
          <cell r="D56" t="str">
            <v>Nguyễn Phi Hùng</v>
          </cell>
          <cell r="E56" t="str">
            <v>S</v>
          </cell>
        </row>
        <row r="57">
          <cell r="C57" t="str">
            <v>10A14</v>
          </cell>
          <cell r="D57" t="str">
            <v>Phan Quang Ánh</v>
          </cell>
          <cell r="E57" t="str">
            <v>S</v>
          </cell>
        </row>
        <row r="58">
          <cell r="C58" t="str">
            <v>10A15</v>
          </cell>
          <cell r="D58" t="str">
            <v>Trần Hồng Uyên</v>
          </cell>
          <cell r="E58" t="str">
            <v>S</v>
          </cell>
        </row>
        <row r="59">
          <cell r="C59" t="str">
            <v>10A16</v>
          </cell>
          <cell r="D59" t="str">
            <v>Kim Vĩnh Anh Khoa</v>
          </cell>
          <cell r="E59" t="str">
            <v>S</v>
          </cell>
        </row>
        <row r="60">
          <cell r="C60" t="str">
            <v>10A17</v>
          </cell>
          <cell r="D60" t="str">
            <v>Nguyễn Bảo Trang</v>
          </cell>
          <cell r="E60" t="str">
            <v>S</v>
          </cell>
        </row>
        <row r="61">
          <cell r="C61" t="str">
            <v>10A18</v>
          </cell>
          <cell r="D61" t="str">
            <v>Nguyễn Văn Tâm</v>
          </cell>
          <cell r="E61" t="str">
            <v>S</v>
          </cell>
        </row>
        <row r="62">
          <cell r="C62" t="str">
            <v>10A19</v>
          </cell>
          <cell r="D62" t="str">
            <v>Phạm Lê Thùy Dung</v>
          </cell>
          <cell r="E62" t="str">
            <v>S</v>
          </cell>
        </row>
        <row r="63">
          <cell r="C63" t="str">
            <v>10A20</v>
          </cell>
          <cell r="D63" t="str">
            <v>Lê Thị Tuyết Thu</v>
          </cell>
          <cell r="E63" t="str">
            <v>S</v>
          </cell>
        </row>
        <row r="64">
          <cell r="C64" t="str">
            <v>10A21</v>
          </cell>
          <cell r="D64" t="str">
            <v>Huỳnh Thị Diễm Linh</v>
          </cell>
          <cell r="E64" t="str">
            <v>S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SANH"/>
      <sheetName val="THAM KHAO"/>
      <sheetName val="NV"/>
      <sheetName val="TNHN"/>
      <sheetName val="10MA"/>
      <sheetName val="11MA"/>
      <sheetName val="12MA"/>
      <sheetName val="DANH SACH"/>
      <sheetName val="SANG"/>
      <sheetName val="CHIEU"/>
      <sheetName val="TT"/>
      <sheetName val="KT"/>
      <sheetName val="KT NV"/>
      <sheetName val="Sheet1"/>
      <sheetName val="XEP_TK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F13" t="str">
            <v>THU (AV)</v>
          </cell>
          <cell r="G13" t="str">
            <v>THU (AV)</v>
          </cell>
          <cell r="H13" t="str">
            <v>ANH</v>
          </cell>
          <cell r="I13" t="str">
            <v>A8</v>
          </cell>
        </row>
        <row r="14">
          <cell r="F14" t="str">
            <v>M. THANH</v>
          </cell>
          <cell r="G14" t="str">
            <v>M. THANH</v>
          </cell>
          <cell r="H14" t="str">
            <v>AVBN</v>
          </cell>
          <cell r="I14" t="str">
            <v>A7BN</v>
          </cell>
        </row>
        <row r="15">
          <cell r="F15" t="str">
            <v>AVBN</v>
          </cell>
          <cell r="G15" t="str">
            <v>AVBN</v>
          </cell>
          <cell r="H15" t="str">
            <v>AVBN</v>
          </cell>
          <cell r="I15" t="str">
            <v>AV1</v>
          </cell>
        </row>
        <row r="16">
          <cell r="F16" t="str">
            <v>AVBN</v>
          </cell>
          <cell r="G16" t="str">
            <v>AVBN</v>
          </cell>
          <cell r="H16" t="str">
            <v>AVBN</v>
          </cell>
          <cell r="I16" t="str">
            <v>AV2</v>
          </cell>
        </row>
        <row r="17">
          <cell r="F17" t="str">
            <v>AVBN</v>
          </cell>
          <cell r="G17" t="str">
            <v>AVBN</v>
          </cell>
          <cell r="H17" t="str">
            <v>AVBN</v>
          </cell>
          <cell r="I17" t="str">
            <v>AV3</v>
          </cell>
        </row>
        <row r="18">
          <cell r="F18" t="str">
            <v>AVBN</v>
          </cell>
          <cell r="G18" t="str">
            <v>AVBN</v>
          </cell>
          <cell r="H18" t="str">
            <v>AVBN</v>
          </cell>
          <cell r="I18" t="str">
            <v>AV4</v>
          </cell>
        </row>
        <row r="19">
          <cell r="F19" t="str">
            <v>AVBN</v>
          </cell>
          <cell r="G19" t="str">
            <v>AVBN</v>
          </cell>
          <cell r="H19" t="str">
            <v>AVBN</v>
          </cell>
          <cell r="I19" t="str">
            <v>AV5</v>
          </cell>
        </row>
        <row r="20">
          <cell r="F20" t="str">
            <v>UYÊN (CN)</v>
          </cell>
          <cell r="G20" t="str">
            <v>UYEN</v>
          </cell>
          <cell r="H20" t="str">
            <v>C. NGHỆ</v>
          </cell>
          <cell r="I20" t="str">
            <v>C1</v>
          </cell>
        </row>
        <row r="21">
          <cell r="F21" t="str">
            <v>VÂN (CN)</v>
          </cell>
          <cell r="G21" t="str">
            <v>T.VAN</v>
          </cell>
          <cell r="H21" t="str">
            <v>C. NGHỆ</v>
          </cell>
          <cell r="I21" t="str">
            <v>C10</v>
          </cell>
        </row>
        <row r="22">
          <cell r="F22" t="str">
            <v>BÌNH (CN)</v>
          </cell>
          <cell r="G22" t="str">
            <v>BINH</v>
          </cell>
          <cell r="H22" t="str">
            <v>C. NGHỆ</v>
          </cell>
          <cell r="I22" t="str">
            <v>C11</v>
          </cell>
        </row>
        <row r="23">
          <cell r="F23" t="str">
            <v>THẢO (CN)</v>
          </cell>
          <cell r="G23" t="str">
            <v>THAO (CN)</v>
          </cell>
          <cell r="H23" t="str">
            <v>C. NGHỆ</v>
          </cell>
          <cell r="I23" t="str">
            <v>C2</v>
          </cell>
        </row>
        <row r="24">
          <cell r="F24" t="str">
            <v>Hiền</v>
          </cell>
          <cell r="G24" t="str">
            <v>HIEN</v>
          </cell>
          <cell r="H24" t="str">
            <v>C. NGHỆ</v>
          </cell>
          <cell r="I24" t="str">
            <v>C3</v>
          </cell>
        </row>
        <row r="25">
          <cell r="F25" t="str">
            <v>HƯỜNG</v>
          </cell>
          <cell r="G25" t="str">
            <v>HƯƠNG</v>
          </cell>
          <cell r="H25" t="str">
            <v>ĐỊA</v>
          </cell>
          <cell r="I25" t="str">
            <v>D2</v>
          </cell>
        </row>
        <row r="26">
          <cell r="F26" t="str">
            <v>TIÊN</v>
          </cell>
          <cell r="G26" t="str">
            <v>TIEN</v>
          </cell>
          <cell r="H26" t="str">
            <v>ĐỊA</v>
          </cell>
          <cell r="I26" t="str">
            <v>D3</v>
          </cell>
        </row>
        <row r="27">
          <cell r="F27" t="str">
            <v>THÀNH (Đ)</v>
          </cell>
          <cell r="G27" t="str">
            <v>THANH (Đ)</v>
          </cell>
          <cell r="H27" t="str">
            <v>ĐỊA</v>
          </cell>
          <cell r="I27" t="str">
            <v>D4</v>
          </cell>
        </row>
        <row r="28">
          <cell r="F28" t="str">
            <v>HUYỀN</v>
          </cell>
          <cell r="G28" t="str">
            <v>HUYEN</v>
          </cell>
          <cell r="H28" t="str">
            <v>ĐỊA</v>
          </cell>
          <cell r="I28" t="str">
            <v>D5</v>
          </cell>
        </row>
        <row r="29">
          <cell r="F29" t="str">
            <v>H.GIANG</v>
          </cell>
          <cell r="G29" t="str">
            <v>H Giang (GD)</v>
          </cell>
          <cell r="H29" t="str">
            <v>GDĐP</v>
          </cell>
          <cell r="I29" t="str">
            <v>GD1</v>
          </cell>
        </row>
        <row r="30">
          <cell r="F30" t="str">
            <v>HẬU</v>
          </cell>
          <cell r="G30" t="str">
            <v>HẬU (GD)</v>
          </cell>
          <cell r="H30" t="str">
            <v>GDĐP</v>
          </cell>
          <cell r="I30" t="str">
            <v>GD2</v>
          </cell>
        </row>
        <row r="50">
          <cell r="F50" t="str">
            <v>DIẾN</v>
          </cell>
          <cell r="G50" t="str">
            <v>DIEN</v>
          </cell>
          <cell r="H50" t="str">
            <v>HÓA</v>
          </cell>
          <cell r="I50" t="str">
            <v>H9</v>
          </cell>
        </row>
        <row r="51">
          <cell r="F51" t="str">
            <v>DŨNG</v>
          </cell>
          <cell r="G51" t="str">
            <v>DUNG (HN)</v>
          </cell>
          <cell r="H51" t="str">
            <v>HÓA</v>
          </cell>
          <cell r="I51" t="str">
            <v>HN16</v>
          </cell>
        </row>
        <row r="52">
          <cell r="F52" t="str">
            <v>KN1</v>
          </cell>
          <cell r="G52" t="str">
            <v>KN1</v>
          </cell>
          <cell r="H52" t="str">
            <v>KN SỐNG</v>
          </cell>
          <cell r="I52" t="str">
            <v>KN1</v>
          </cell>
        </row>
        <row r="74">
          <cell r="F74" t="str">
            <v>DIỄM</v>
          </cell>
          <cell r="G74" t="str">
            <v>DIỄM</v>
          </cell>
          <cell r="H74" t="str">
            <v>SINH</v>
          </cell>
          <cell r="I74" t="str">
            <v>E7</v>
          </cell>
        </row>
        <row r="75">
          <cell r="F75" t="str">
            <v>LÀI</v>
          </cell>
          <cell r="G75" t="str">
            <v>LAI</v>
          </cell>
          <cell r="H75" t="str">
            <v>SỬ</v>
          </cell>
          <cell r="I75" t="str">
            <v>S1</v>
          </cell>
        </row>
        <row r="76">
          <cell r="F76" t="str">
            <v>Duy</v>
          </cell>
          <cell r="G76" t="str">
            <v>Duy</v>
          </cell>
          <cell r="H76" t="str">
            <v>SỬ</v>
          </cell>
          <cell r="I76" t="str">
            <v>S2</v>
          </cell>
        </row>
        <row r="77">
          <cell r="F77" t="str">
            <v>THẢO</v>
          </cell>
          <cell r="G77" t="str">
            <v>THAO</v>
          </cell>
          <cell r="H77" t="str">
            <v>SỬ</v>
          </cell>
          <cell r="I77" t="str">
            <v>S3</v>
          </cell>
        </row>
        <row r="78">
          <cell r="F78" t="str">
            <v>HẢI ( SỬ)</v>
          </cell>
          <cell r="G78" t="str">
            <v>HAI (SU)</v>
          </cell>
          <cell r="H78" t="str">
            <v>SỬ</v>
          </cell>
          <cell r="I78" t="str">
            <v>S5</v>
          </cell>
        </row>
        <row r="79">
          <cell r="F79" t="str">
            <v>KHOA ( SỬ)</v>
          </cell>
          <cell r="G79" t="str">
            <v>KHOA (SU)</v>
          </cell>
          <cell r="H79" t="str">
            <v>SỬ</v>
          </cell>
          <cell r="I79" t="str">
            <v>S6</v>
          </cell>
        </row>
        <row r="80">
          <cell r="F80" t="str">
            <v>KHÔI</v>
          </cell>
          <cell r="G80" t="str">
            <v>KHÔI</v>
          </cell>
          <cell r="H80" t="str">
            <v>SỬ</v>
          </cell>
          <cell r="I80" t="str">
            <v>S7</v>
          </cell>
        </row>
        <row r="94">
          <cell r="F94" t="str">
            <v>DIỆM (TH)</v>
          </cell>
          <cell r="G94" t="str">
            <v>DIEM</v>
          </cell>
          <cell r="H94" t="str">
            <v>TIN HỌC</v>
          </cell>
          <cell r="I94" t="str">
            <v>M1</v>
          </cell>
        </row>
        <row r="95">
          <cell r="F95" t="str">
            <v>PHÚC(TH)</v>
          </cell>
          <cell r="G95" t="str">
            <v>PHUC</v>
          </cell>
          <cell r="H95" t="str">
            <v>TIN HỌC</v>
          </cell>
          <cell r="I95" t="str">
            <v>M2</v>
          </cell>
        </row>
        <row r="96">
          <cell r="F96" t="str">
            <v>HÙNG (TH)</v>
          </cell>
          <cell r="G96" t="str">
            <v>HUNG</v>
          </cell>
          <cell r="H96" t="str">
            <v>TIN HỌC</v>
          </cell>
          <cell r="I96" t="str">
            <v>M4</v>
          </cell>
        </row>
        <row r="97">
          <cell r="F97" t="str">
            <v>CƯỜNG (TH)</v>
          </cell>
          <cell r="G97" t="str">
            <v>CUONG</v>
          </cell>
          <cell r="H97" t="str">
            <v>TIN HỌC</v>
          </cell>
          <cell r="I97" t="str">
            <v>M5</v>
          </cell>
        </row>
        <row r="98">
          <cell r="F98" t="str">
            <v>TRAN</v>
          </cell>
          <cell r="G98" t="str">
            <v>TRAN</v>
          </cell>
          <cell r="H98" t="str">
            <v>TIN HỌC</v>
          </cell>
          <cell r="I98" t="str">
            <v>M6</v>
          </cell>
        </row>
        <row r="99">
          <cell r="F99" t="str">
            <v>TRÂN</v>
          </cell>
          <cell r="G99" t="str">
            <v>TRAN</v>
          </cell>
          <cell r="H99" t="str">
            <v>TIN HỌC</v>
          </cell>
          <cell r="I99" t="str">
            <v>M6QT</v>
          </cell>
        </row>
        <row r="100">
          <cell r="F100" t="str">
            <v>THAO</v>
          </cell>
          <cell r="G100" t="str">
            <v>THAO</v>
          </cell>
          <cell r="H100" t="str">
            <v>TIN HỌC</v>
          </cell>
          <cell r="I100" t="str">
            <v>M7</v>
          </cell>
        </row>
        <row r="101">
          <cell r="F101" t="str">
            <v>KHOA (TIN)</v>
          </cell>
          <cell r="G101" t="str">
            <v>KHOA (TIN)</v>
          </cell>
          <cell r="H101" t="str">
            <v>TIN HỌC</v>
          </cell>
          <cell r="I101" t="str">
            <v>M8</v>
          </cell>
        </row>
        <row r="102">
          <cell r="F102" t="str">
            <v>NHƯ</v>
          </cell>
          <cell r="G102" t="str">
            <v>Nhu (HN)</v>
          </cell>
          <cell r="H102" t="str">
            <v>TNHN</v>
          </cell>
          <cell r="I102" t="str">
            <v>HN1</v>
          </cell>
        </row>
        <row r="103">
          <cell r="F103" t="str">
            <v>QUANG (L)</v>
          </cell>
          <cell r="G103" t="str">
            <v>QUANG (HN)</v>
          </cell>
          <cell r="H103" t="str">
            <v>TNHN</v>
          </cell>
          <cell r="I103" t="str">
            <v>HN10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Sach"/>
      <sheetName val="THEO TO"/>
      <sheetName val="HK2"/>
      <sheetName val="PHAN TIET"/>
      <sheetName val="PCGV"/>
      <sheetName val="LAYPC"/>
      <sheetName val="PC HK2"/>
      <sheetName val="12"/>
      <sheetName val="11"/>
      <sheetName val="10"/>
      <sheetName val="12MA"/>
      <sheetName val="11MA"/>
      <sheetName val="10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 t="str">
            <v>A3</v>
          </cell>
          <cell r="D4" t="str">
            <v>HÙNG (AV)</v>
          </cell>
          <cell r="E4" t="str">
            <v>12A9</v>
          </cell>
          <cell r="F4">
            <v>1</v>
          </cell>
          <cell r="G4" t="str">
            <v>A2A3A9A10A17 -  5</v>
          </cell>
          <cell r="J4">
            <v>5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A7</v>
          </cell>
          <cell r="D5" t="str">
            <v>LINH</v>
          </cell>
          <cell r="E5" t="str">
            <v>11A14</v>
          </cell>
          <cell r="F5">
            <v>2</v>
          </cell>
          <cell r="H5" t="str">
            <v>A11A14 -  2</v>
          </cell>
          <cell r="I5" t="str">
            <v>A1A12A14 -  3</v>
          </cell>
          <cell r="J5">
            <v>0</v>
          </cell>
          <cell r="K5">
            <v>2</v>
          </cell>
          <cell r="L5">
            <v>3</v>
          </cell>
          <cell r="M5">
            <v>0</v>
          </cell>
        </row>
        <row r="6">
          <cell r="C6" t="str">
            <v>A11</v>
          </cell>
          <cell r="D6" t="str">
            <v>ĐIỀN</v>
          </cell>
          <cell r="E6" t="str">
            <v/>
          </cell>
          <cell r="F6">
            <v>3</v>
          </cell>
          <cell r="I6" t="str">
            <v>A2A3A17A18 -  4</v>
          </cell>
          <cell r="J6">
            <v>0</v>
          </cell>
          <cell r="K6">
            <v>0</v>
          </cell>
          <cell r="L6">
            <v>4</v>
          </cell>
          <cell r="M6">
            <v>0</v>
          </cell>
        </row>
        <row r="7">
          <cell r="C7" t="str">
            <v>A4</v>
          </cell>
          <cell r="D7" t="str">
            <v>ÁI</v>
          </cell>
          <cell r="E7" t="str">
            <v>10A16</v>
          </cell>
          <cell r="F7">
            <v>4</v>
          </cell>
          <cell r="H7" t="str">
            <v>A8A10 -  2</v>
          </cell>
          <cell r="I7" t="str">
            <v>A16A19 -  2</v>
          </cell>
          <cell r="J7">
            <v>0</v>
          </cell>
          <cell r="K7">
            <v>2</v>
          </cell>
          <cell r="L7">
            <v>2</v>
          </cell>
          <cell r="M7">
            <v>0</v>
          </cell>
        </row>
        <row r="8">
          <cell r="C8" t="str">
            <v>A9</v>
          </cell>
          <cell r="D8" t="str">
            <v>HÒA</v>
          </cell>
          <cell r="E8" t="str">
            <v>12A11</v>
          </cell>
          <cell r="F8">
            <v>5</v>
          </cell>
          <cell r="G8" t="str">
            <v>A8A11A14A16 -  4</v>
          </cell>
          <cell r="H8" t="str">
            <v>A2A3 -  2</v>
          </cell>
          <cell r="J8">
            <v>4</v>
          </cell>
          <cell r="K8">
            <v>2</v>
          </cell>
          <cell r="L8">
            <v>0</v>
          </cell>
          <cell r="M8">
            <v>0</v>
          </cell>
        </row>
        <row r="9">
          <cell r="C9" t="str">
            <v>A5</v>
          </cell>
          <cell r="D9" t="str">
            <v>MINH (AV)</v>
          </cell>
          <cell r="E9" t="str">
            <v>11A16</v>
          </cell>
          <cell r="F9">
            <v>6</v>
          </cell>
          <cell r="G9" t="str">
            <v>A6A7 -  2</v>
          </cell>
          <cell r="H9" t="str">
            <v>A9A15A16 -  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</row>
        <row r="10">
          <cell r="C10" t="str">
            <v>A6</v>
          </cell>
          <cell r="D10" t="str">
            <v>KHÁNH</v>
          </cell>
          <cell r="E10" t="str">
            <v>11A5</v>
          </cell>
          <cell r="F10">
            <v>7</v>
          </cell>
          <cell r="H10" t="str">
            <v>A1A5A6A13 -  4</v>
          </cell>
          <cell r="J10">
            <v>0</v>
          </cell>
          <cell r="K10">
            <v>4</v>
          </cell>
          <cell r="L10">
            <v>0</v>
          </cell>
          <cell r="M10">
            <v>0</v>
          </cell>
        </row>
        <row r="11">
          <cell r="C11" t="str">
            <v>A1</v>
          </cell>
          <cell r="D11" t="str">
            <v>CHẤT</v>
          </cell>
          <cell r="E11" t="str">
            <v>10A6</v>
          </cell>
          <cell r="F11">
            <v>8</v>
          </cell>
          <cell r="H11" t="str">
            <v>A4 -  1</v>
          </cell>
          <cell r="I11" t="str">
            <v>A6A13A15A8 -  4</v>
          </cell>
          <cell r="J11">
            <v>0</v>
          </cell>
          <cell r="K11">
            <v>1</v>
          </cell>
          <cell r="L11">
            <v>4</v>
          </cell>
          <cell r="M11">
            <v>0</v>
          </cell>
        </row>
        <row r="12">
          <cell r="C12" t="str">
            <v>A10</v>
          </cell>
          <cell r="D12" t="str">
            <v>PHỤNG</v>
          </cell>
          <cell r="E12" t="str">
            <v/>
          </cell>
          <cell r="F12">
            <v>9</v>
          </cell>
          <cell r="G12" t="str">
            <v>A1A4A5 -  3</v>
          </cell>
          <cell r="I12" t="str">
            <v>A4A9 -  2</v>
          </cell>
          <cell r="J12">
            <v>3</v>
          </cell>
          <cell r="K12">
            <v>0</v>
          </cell>
          <cell r="L12">
            <v>2</v>
          </cell>
          <cell r="M12">
            <v>0</v>
          </cell>
        </row>
        <row r="13">
          <cell r="C13" t="str">
            <v>A8</v>
          </cell>
          <cell r="D13" t="str">
            <v>THU</v>
          </cell>
          <cell r="E13" t="str">
            <v/>
          </cell>
          <cell r="F13">
            <v>10</v>
          </cell>
          <cell r="H13" t="str">
            <v>A7A12 -  2</v>
          </cell>
          <cell r="I13" t="str">
            <v>A5A7A11 -  3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</row>
        <row r="14">
          <cell r="C14" t="str">
            <v>A2</v>
          </cell>
          <cell r="D14" t="str">
            <v>DƯƠNG</v>
          </cell>
          <cell r="E14" t="str">
            <v>10A10</v>
          </cell>
          <cell r="F14">
            <v>11</v>
          </cell>
          <cell r="G14" t="str">
            <v>A12A13A15 -  3</v>
          </cell>
          <cell r="I14" t="str">
            <v>A10 -  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</row>
        <row r="15">
          <cell r="C15" t="str">
            <v>D1</v>
          </cell>
          <cell r="D15" t="str">
            <v xml:space="preserve"> </v>
          </cell>
          <cell r="E15" t="str">
            <v/>
          </cell>
          <cell r="F15">
            <v>12</v>
          </cell>
          <cell r="G15" t="str">
            <v>A4A5A6A7A8A16A16 -  6</v>
          </cell>
          <cell r="I15" t="str">
            <v>A9A10A11A14A16A17 -  6</v>
          </cell>
          <cell r="J15">
            <v>6</v>
          </cell>
          <cell r="K15">
            <v>0</v>
          </cell>
          <cell r="L15">
            <v>6</v>
          </cell>
          <cell r="M15" t="e">
            <v>#N/A</v>
          </cell>
        </row>
        <row r="16">
          <cell r="C16" t="str">
            <v>D2</v>
          </cell>
          <cell r="D16" t="str">
            <v>HƯỜNG</v>
          </cell>
          <cell r="E16" t="str">
            <v/>
          </cell>
          <cell r="F16">
            <v>13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>D4</v>
          </cell>
          <cell r="D17" t="str">
            <v>THÀNH</v>
          </cell>
          <cell r="E17" t="str">
            <v>10A7</v>
          </cell>
          <cell r="F17">
            <v>14</v>
          </cell>
          <cell r="G17" t="str">
            <v>A1A2A3A17 -  4</v>
          </cell>
          <cell r="H17" t="str">
            <v>A1A2A3A5A6A7A9A11A15 -  9</v>
          </cell>
          <cell r="I17" t="str">
            <v>A7 -  1</v>
          </cell>
          <cell r="J17">
            <v>4</v>
          </cell>
          <cell r="K17">
            <v>9</v>
          </cell>
          <cell r="L17">
            <v>1</v>
          </cell>
          <cell r="M17">
            <v>0</v>
          </cell>
        </row>
        <row r="18">
          <cell r="C18" t="str">
            <v>D3</v>
          </cell>
          <cell r="D18" t="str">
            <v>QUANG (Đ)</v>
          </cell>
          <cell r="E18" t="str">
            <v/>
          </cell>
          <cell r="F18">
            <v>15</v>
          </cell>
          <cell r="G18" t="str">
            <v>A9A10A11A12A13A14A15 -  7</v>
          </cell>
          <cell r="I18" t="str">
            <v>A1A2A6A18 -  4</v>
          </cell>
          <cell r="J18">
            <v>7</v>
          </cell>
          <cell r="K18">
            <v>0</v>
          </cell>
          <cell r="L18">
            <v>4</v>
          </cell>
          <cell r="M18">
            <v>0</v>
          </cell>
        </row>
        <row r="19">
          <cell r="C19" t="str">
            <v>D5</v>
          </cell>
          <cell r="D19" t="str">
            <v>HUYỀN</v>
          </cell>
          <cell r="E19" t="str">
            <v/>
          </cell>
          <cell r="F19">
            <v>16</v>
          </cell>
          <cell r="H19" t="str">
            <v>A13A14A4A8A10A12A16 -  7</v>
          </cell>
          <cell r="I19" t="str">
            <v>A3A4A5A8A12A13A15A19 -  8</v>
          </cell>
          <cell r="J19">
            <v>0</v>
          </cell>
          <cell r="K19">
            <v>7</v>
          </cell>
          <cell r="L19">
            <v>8</v>
          </cell>
          <cell r="M19">
            <v>0</v>
          </cell>
        </row>
        <row r="20">
          <cell r="C20" t="str">
            <v>G3</v>
          </cell>
          <cell r="D20" t="str">
            <v>B. PHƯƠNG</v>
          </cell>
          <cell r="E20" t="str">
            <v>11A10</v>
          </cell>
          <cell r="F20">
            <v>17</v>
          </cell>
          <cell r="H20" t="str">
            <v>A4A6A8A9A10A11A12A13A14A15A16 -  11</v>
          </cell>
          <cell r="J20">
            <v>0</v>
          </cell>
          <cell r="K20">
            <v>11</v>
          </cell>
          <cell r="L20">
            <v>0</v>
          </cell>
          <cell r="M20">
            <v>0</v>
          </cell>
        </row>
        <row r="21">
          <cell r="C21" t="str">
            <v>G1</v>
          </cell>
          <cell r="D21" t="str">
            <v>B. VÂN</v>
          </cell>
          <cell r="E21" t="str">
            <v/>
          </cell>
          <cell r="F21">
            <v>18</v>
          </cell>
          <cell r="H21" t="str">
            <v>A1A2A3A5A5A7 -  5</v>
          </cell>
          <cell r="I21" t="str">
            <v>A9A10A11A12A13A14A19A19 -  8</v>
          </cell>
          <cell r="J21">
            <v>0</v>
          </cell>
          <cell r="K21">
            <v>5</v>
          </cell>
          <cell r="L21">
            <v>8</v>
          </cell>
          <cell r="M21">
            <v>0</v>
          </cell>
        </row>
        <row r="22">
          <cell r="C22" t="str">
            <v>G2</v>
          </cell>
          <cell r="D22" t="str">
            <v>ĐÀO</v>
          </cell>
          <cell r="E22" t="str">
            <v>10A15</v>
          </cell>
          <cell r="F22">
            <v>19</v>
          </cell>
          <cell r="I22" t="str">
            <v>A1A2A3A4A5A6A7A8A15-&gt;A18A15A16A17A18 -  13</v>
          </cell>
          <cell r="J22">
            <v>0</v>
          </cell>
          <cell r="K22">
            <v>0</v>
          </cell>
          <cell r="L22">
            <v>13</v>
          </cell>
          <cell r="M22">
            <v>0</v>
          </cell>
        </row>
        <row r="23">
          <cell r="C23" t="str">
            <v>H3</v>
          </cell>
          <cell r="D23" t="str">
            <v xml:space="preserve"> </v>
          </cell>
          <cell r="E23" t="str">
            <v/>
          </cell>
          <cell r="F23">
            <v>20</v>
          </cell>
          <cell r="H23" t="str">
            <v>A1A3 -  2</v>
          </cell>
          <cell r="I23" t="str">
            <v>A13A16A14 -  3</v>
          </cell>
          <cell r="J23">
            <v>0</v>
          </cell>
          <cell r="K23">
            <v>2</v>
          </cell>
          <cell r="L23">
            <v>3</v>
          </cell>
          <cell r="M23" t="e">
            <v>#N/A</v>
          </cell>
        </row>
        <row r="24">
          <cell r="C24" t="str">
            <v>H4</v>
          </cell>
          <cell r="D24" t="str">
            <v>DŨNG</v>
          </cell>
          <cell r="E24" t="str">
            <v>10A8</v>
          </cell>
          <cell r="F24">
            <v>21</v>
          </cell>
          <cell r="G24" t="str">
            <v>A9A14A15 -  3</v>
          </cell>
          <cell r="I24" t="str">
            <v>A7A8A10A11A12A15A19 -  7</v>
          </cell>
          <cell r="J24">
            <v>3</v>
          </cell>
          <cell r="K24">
            <v>0</v>
          </cell>
          <cell r="L24">
            <v>7</v>
          </cell>
          <cell r="M24">
            <v>0</v>
          </cell>
        </row>
        <row r="25">
          <cell r="C25" t="str">
            <v>H1</v>
          </cell>
          <cell r="D25" t="str">
            <v>NGHĨA (H)</v>
          </cell>
          <cell r="E25" t="str">
            <v/>
          </cell>
          <cell r="F25">
            <v>22</v>
          </cell>
          <cell r="G25" t="str">
            <v>A6A13 -  2</v>
          </cell>
          <cell r="H25" t="str">
            <v>A9A14A15 -  3</v>
          </cell>
          <cell r="J25">
            <v>2</v>
          </cell>
          <cell r="K25">
            <v>3</v>
          </cell>
          <cell r="L25">
            <v>0</v>
          </cell>
          <cell r="M25">
            <v>0</v>
          </cell>
        </row>
        <row r="26">
          <cell r="C26" t="str">
            <v>H5</v>
          </cell>
          <cell r="D26" t="str">
            <v>TRỌNG</v>
          </cell>
          <cell r="E26" t="str">
            <v/>
          </cell>
          <cell r="F26">
            <v>23</v>
          </cell>
          <cell r="H26" t="str">
            <v>A11A12A2 -  3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</row>
        <row r="27">
          <cell r="C27" t="str">
            <v>H7</v>
          </cell>
          <cell r="D27" t="str">
            <v>N.PHƯƠNG</v>
          </cell>
          <cell r="E27" t="str">
            <v>12A7</v>
          </cell>
          <cell r="F27">
            <v>24</v>
          </cell>
          <cell r="G27" t="str">
            <v>A7A11A12 -  3</v>
          </cell>
          <cell r="H27" t="str">
            <v>A8A10A16 -  3</v>
          </cell>
          <cell r="J27">
            <v>3</v>
          </cell>
          <cell r="K27">
            <v>3</v>
          </cell>
          <cell r="L27">
            <v>0</v>
          </cell>
          <cell r="M27">
            <v>0</v>
          </cell>
        </row>
        <row r="28">
          <cell r="C28" t="str">
            <v>H8</v>
          </cell>
          <cell r="D28" t="str">
            <v>VÂN (H)</v>
          </cell>
          <cell r="E28" t="str">
            <v>12A8</v>
          </cell>
          <cell r="F28">
            <v>25</v>
          </cell>
          <cell r="G28" t="str">
            <v>A2A3A8A10A16 -  5</v>
          </cell>
          <cell r="I28" t="str">
            <v>A9 -  1</v>
          </cell>
          <cell r="J28">
            <v>5</v>
          </cell>
          <cell r="K28">
            <v>0</v>
          </cell>
          <cell r="L28">
            <v>1</v>
          </cell>
          <cell r="M28">
            <v>0</v>
          </cell>
        </row>
        <row r="29">
          <cell r="C29" t="str">
            <v>H9</v>
          </cell>
          <cell r="D29" t="str">
            <v xml:space="preserve">DIẾN </v>
          </cell>
          <cell r="E29" t="str">
            <v/>
          </cell>
          <cell r="F29">
            <v>26</v>
          </cell>
          <cell r="H29" t="str">
            <v>A4A5 -  2</v>
          </cell>
          <cell r="J29">
            <v>0</v>
          </cell>
          <cell r="K29">
            <v>2</v>
          </cell>
          <cell r="L29">
            <v>0</v>
          </cell>
          <cell r="M29">
            <v>0</v>
          </cell>
        </row>
        <row r="30">
          <cell r="C30" t="str">
            <v>H2</v>
          </cell>
          <cell r="D30" t="str">
            <v>THANH (H)</v>
          </cell>
          <cell r="E30" t="str">
            <v>10A2</v>
          </cell>
          <cell r="F30">
            <v>27</v>
          </cell>
          <cell r="H30" t="str">
            <v>A6A7A13 -  3</v>
          </cell>
          <cell r="I30" t="str">
            <v>A1A2A5A6A18 -  5</v>
          </cell>
          <cell r="J30">
            <v>0</v>
          </cell>
          <cell r="K30">
            <v>3</v>
          </cell>
          <cell r="L30">
            <v>5</v>
          </cell>
          <cell r="M30">
            <v>0</v>
          </cell>
        </row>
        <row r="31">
          <cell r="C31" t="str">
            <v>H6</v>
          </cell>
          <cell r="D31" t="str">
            <v>MINH (H)</v>
          </cell>
          <cell r="E31" t="str">
            <v>12A1</v>
          </cell>
          <cell r="F31">
            <v>28</v>
          </cell>
          <cell r="G31" t="str">
            <v>A1A4A5A17 -  4</v>
          </cell>
          <cell r="I31" t="str">
            <v>A3A4A17 -  3</v>
          </cell>
          <cell r="J31">
            <v>4</v>
          </cell>
          <cell r="K31">
            <v>0</v>
          </cell>
          <cell r="L31">
            <v>3</v>
          </cell>
          <cell r="M31">
            <v>0</v>
          </cell>
        </row>
        <row r="32">
          <cell r="C32" t="str">
            <v>C6</v>
          </cell>
          <cell r="D32" t="str">
            <v>THƯƠNG (CN)</v>
          </cell>
          <cell r="E32" t="str">
            <v/>
          </cell>
          <cell r="F32">
            <v>29</v>
          </cell>
          <cell r="H32" t="str">
            <v>A1A2A3A7-&gt;A10A7A8A9A10A12A12A13A15A16 -  11</v>
          </cell>
          <cell r="J32">
            <v>0</v>
          </cell>
          <cell r="K32">
            <v>11</v>
          </cell>
          <cell r="L32">
            <v>0</v>
          </cell>
          <cell r="M32">
            <v>0</v>
          </cell>
        </row>
        <row r="33">
          <cell r="C33" t="str">
            <v>C7</v>
          </cell>
          <cell r="D33" t="str">
            <v>HẠNH (CN)</v>
          </cell>
          <cell r="E33" t="str">
            <v/>
          </cell>
          <cell r="F33">
            <v>30</v>
          </cell>
          <cell r="H33" t="str">
            <v>A4A5A6A11A11A14 -  5</v>
          </cell>
          <cell r="J33">
            <v>0</v>
          </cell>
          <cell r="K33">
            <v>5</v>
          </cell>
          <cell r="L33">
            <v>0</v>
          </cell>
          <cell r="M33">
            <v>0</v>
          </cell>
        </row>
        <row r="34">
          <cell r="C34" t="str">
            <v>N2</v>
          </cell>
          <cell r="D34" t="str">
            <v>TUẤN</v>
          </cell>
          <cell r="E34" t="str">
            <v/>
          </cell>
          <cell r="F34">
            <v>31</v>
          </cell>
          <cell r="I34" t="str">
            <v>A1A2A3A4A5A6A7A8A9A10A11A12A13 -  13</v>
          </cell>
          <cell r="J34">
            <v>0</v>
          </cell>
          <cell r="K34">
            <v>0</v>
          </cell>
          <cell r="L34">
            <v>13</v>
          </cell>
          <cell r="M34">
            <v>0</v>
          </cell>
        </row>
        <row r="35">
          <cell r="C35" t="str">
            <v>N1</v>
          </cell>
          <cell r="D35" t="str">
            <v xml:space="preserve"> </v>
          </cell>
          <cell r="E35" t="str">
            <v/>
          </cell>
          <cell r="F35">
            <v>32</v>
          </cell>
          <cell r="I35" t="str">
            <v>A14A15A16A17A18A19 -  6</v>
          </cell>
          <cell r="J35">
            <v>0</v>
          </cell>
          <cell r="K35">
            <v>0</v>
          </cell>
          <cell r="L35">
            <v>6</v>
          </cell>
          <cell r="M35" t="e">
            <v>#N/A</v>
          </cell>
        </row>
        <row r="36">
          <cell r="C36" t="str">
            <v>L8</v>
          </cell>
          <cell r="D36" t="str">
            <v xml:space="preserve">HOÀNG </v>
          </cell>
          <cell r="E36" t="str">
            <v>11A7</v>
          </cell>
          <cell r="F36">
            <v>33</v>
          </cell>
          <cell r="H36" t="str">
            <v>A7A1A2A10 -  4</v>
          </cell>
          <cell r="J36">
            <v>0</v>
          </cell>
          <cell r="K36">
            <v>4</v>
          </cell>
          <cell r="L36">
            <v>0</v>
          </cell>
          <cell r="M36">
            <v>0</v>
          </cell>
        </row>
        <row r="37">
          <cell r="C37" t="str">
            <v>L1</v>
          </cell>
          <cell r="D37" t="str">
            <v>HÙNG (L)</v>
          </cell>
          <cell r="E37" t="str">
            <v/>
          </cell>
          <cell r="F37">
            <v>34</v>
          </cell>
          <cell r="H37" t="str">
            <v>A12A13A5 -  3</v>
          </cell>
          <cell r="J37">
            <v>0</v>
          </cell>
          <cell r="K37">
            <v>3</v>
          </cell>
          <cell r="L37">
            <v>0</v>
          </cell>
          <cell r="M37">
            <v>0</v>
          </cell>
        </row>
        <row r="38">
          <cell r="C38" t="str">
            <v>L5</v>
          </cell>
          <cell r="D38" t="str">
            <v>HẬU</v>
          </cell>
          <cell r="E38" t="str">
            <v/>
          </cell>
          <cell r="F38">
            <v>35</v>
          </cell>
          <cell r="H38" t="str">
            <v>A15A16 -  2</v>
          </cell>
          <cell r="I38" t="str">
            <v>A1A2 -  2</v>
          </cell>
          <cell r="J38">
            <v>0</v>
          </cell>
          <cell r="K38">
            <v>2</v>
          </cell>
          <cell r="L38">
            <v>2</v>
          </cell>
          <cell r="M38">
            <v>0</v>
          </cell>
        </row>
        <row r="39">
          <cell r="C39" t="str">
            <v>L9</v>
          </cell>
          <cell r="D39" t="str">
            <v>QUANG (L)</v>
          </cell>
          <cell r="E39" t="str">
            <v>12A3</v>
          </cell>
          <cell r="F39">
            <v>36</v>
          </cell>
          <cell r="H39" t="str">
            <v>A8A3A4A6 -  4</v>
          </cell>
          <cell r="J39">
            <v>0</v>
          </cell>
          <cell r="K39">
            <v>4</v>
          </cell>
          <cell r="L39">
            <v>0</v>
          </cell>
          <cell r="M39">
            <v>0</v>
          </cell>
        </row>
        <row r="40">
          <cell r="C40" t="str">
            <v>L4</v>
          </cell>
          <cell r="D40" t="str">
            <v>HỒNG</v>
          </cell>
          <cell r="E40" t="str">
            <v/>
          </cell>
          <cell r="F40">
            <v>38</v>
          </cell>
          <cell r="H40" t="str">
            <v>A9A11 -  2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</row>
        <row r="41">
          <cell r="C41" t="str">
            <v>L2</v>
          </cell>
          <cell r="D41" t="str">
            <v xml:space="preserve"> </v>
          </cell>
          <cell r="E41" t="str">
            <v/>
          </cell>
          <cell r="F41">
            <v>39</v>
          </cell>
          <cell r="J41">
            <v>0</v>
          </cell>
          <cell r="K41">
            <v>0</v>
          </cell>
          <cell r="L41">
            <v>0</v>
          </cell>
          <cell r="M41" t="e">
            <v>#N/A</v>
          </cell>
        </row>
        <row r="42">
          <cell r="C42" t="str">
            <v>L10</v>
          </cell>
          <cell r="D42" t="str">
            <v>VÂN (L)</v>
          </cell>
          <cell r="E42" t="str">
            <v>10A9</v>
          </cell>
          <cell r="F42">
            <v>40</v>
          </cell>
          <cell r="I42" t="str">
            <v>A9A12A18 -  3</v>
          </cell>
          <cell r="J42">
            <v>0</v>
          </cell>
          <cell r="K42">
            <v>0</v>
          </cell>
          <cell r="L42">
            <v>3</v>
          </cell>
          <cell r="M42">
            <v>0</v>
          </cell>
        </row>
        <row r="43">
          <cell r="C43" t="str">
            <v>L11</v>
          </cell>
          <cell r="D43" t="str">
            <v>BÌNH</v>
          </cell>
          <cell r="E43" t="str">
            <v>10A17</v>
          </cell>
          <cell r="F43">
            <v>41</v>
          </cell>
          <cell r="I43" t="str">
            <v>A8A10A16A17 -  4</v>
          </cell>
          <cell r="J43">
            <v>0</v>
          </cell>
          <cell r="K43">
            <v>0</v>
          </cell>
          <cell r="L43">
            <v>4</v>
          </cell>
          <cell r="M43">
            <v>0</v>
          </cell>
        </row>
        <row r="44">
          <cell r="C44" t="str">
            <v>LTB</v>
          </cell>
          <cell r="D44" t="str">
            <v xml:space="preserve"> </v>
          </cell>
          <cell r="E44" t="str">
            <v/>
          </cell>
          <cell r="F44">
            <v>42</v>
          </cell>
          <cell r="J44">
            <v>0</v>
          </cell>
          <cell r="K44">
            <v>0</v>
          </cell>
          <cell r="L44">
            <v>0</v>
          </cell>
          <cell r="M44" t="e">
            <v>#N/A</v>
          </cell>
        </row>
        <row r="45">
          <cell r="C45" t="str">
            <v>L6</v>
          </cell>
          <cell r="D45" t="str">
            <v>THƯƠNG</v>
          </cell>
          <cell r="E45" t="str">
            <v/>
          </cell>
          <cell r="F45">
            <v>43</v>
          </cell>
          <cell r="I45" t="str">
            <v>A5A6A7A11A11A13 -  5</v>
          </cell>
          <cell r="J45">
            <v>0</v>
          </cell>
          <cell r="K45">
            <v>0</v>
          </cell>
          <cell r="L45">
            <v>5</v>
          </cell>
          <cell r="M45">
            <v>0</v>
          </cell>
        </row>
        <row r="46">
          <cell r="C46" t="str">
            <v>L3</v>
          </cell>
          <cell r="D46" t="str">
            <v>HƯƠNG (L)</v>
          </cell>
          <cell r="E46" t="str">
            <v>12A12</v>
          </cell>
          <cell r="F46">
            <v>44</v>
          </cell>
          <cell r="I46" t="str">
            <v>A3A4A15 -  3</v>
          </cell>
          <cell r="J46">
            <v>0</v>
          </cell>
          <cell r="K46">
            <v>0</v>
          </cell>
          <cell r="L46">
            <v>3</v>
          </cell>
          <cell r="M46">
            <v>0</v>
          </cell>
        </row>
        <row r="47">
          <cell r="C47" t="str">
            <v>L12</v>
          </cell>
          <cell r="D47" t="str">
            <v xml:space="preserve"> </v>
          </cell>
          <cell r="E47" t="str">
            <v/>
          </cell>
          <cell r="F47">
            <v>45</v>
          </cell>
          <cell r="H47" t="str">
            <v>A14 -  1</v>
          </cell>
          <cell r="J47">
            <v>0</v>
          </cell>
          <cell r="K47">
            <v>1</v>
          </cell>
          <cell r="L47">
            <v>0</v>
          </cell>
          <cell r="M47" t="e">
            <v>#N/A</v>
          </cell>
        </row>
        <row r="48">
          <cell r="C48" t="str">
            <v>L7</v>
          </cell>
          <cell r="D48" t="str">
            <v>HẠNH (L)</v>
          </cell>
          <cell r="E48" t="str">
            <v/>
          </cell>
          <cell r="F48">
            <v>46</v>
          </cell>
          <cell r="I48" t="str">
            <v>A14A19 -  2</v>
          </cell>
          <cell r="J48">
            <v>0</v>
          </cell>
          <cell r="K48">
            <v>0</v>
          </cell>
          <cell r="L48">
            <v>2</v>
          </cell>
          <cell r="M48">
            <v>0</v>
          </cell>
        </row>
        <row r="49">
          <cell r="C49" t="str">
            <v>NG1</v>
          </cell>
          <cell r="D49" t="str">
            <v>DIỆM(N)</v>
          </cell>
          <cell r="E49" t="str">
            <v/>
          </cell>
          <cell r="F49">
            <v>47</v>
          </cell>
          <cell r="H49" t="str">
            <v>A11A12A13A14 -  4</v>
          </cell>
          <cell r="J49">
            <v>0</v>
          </cell>
          <cell r="K49">
            <v>4</v>
          </cell>
          <cell r="L49">
            <v>0</v>
          </cell>
          <cell r="M49">
            <v>0</v>
          </cell>
        </row>
        <row r="50">
          <cell r="C50" t="str">
            <v>NG3</v>
          </cell>
          <cell r="D50" t="str">
            <v>XUÂN(N)</v>
          </cell>
          <cell r="E50" t="str">
            <v/>
          </cell>
          <cell r="F50">
            <v>48</v>
          </cell>
          <cell r="H50" t="str">
            <v>A1A2A3A4 -  4</v>
          </cell>
          <cell r="J50">
            <v>0</v>
          </cell>
          <cell r="K50">
            <v>4</v>
          </cell>
          <cell r="L50">
            <v>0</v>
          </cell>
          <cell r="M50">
            <v>0</v>
          </cell>
        </row>
        <row r="51">
          <cell r="C51" t="str">
            <v>NG2</v>
          </cell>
          <cell r="D51" t="str">
            <v>PHÚC(N)</v>
          </cell>
          <cell r="E51" t="str">
            <v/>
          </cell>
          <cell r="F51">
            <v>49</v>
          </cell>
          <cell r="H51" t="str">
            <v>A6A8A9A10 -  4</v>
          </cell>
          <cell r="J51">
            <v>0</v>
          </cell>
          <cell r="K51">
            <v>4</v>
          </cell>
          <cell r="L51">
            <v>0</v>
          </cell>
          <cell r="M51">
            <v>0</v>
          </cell>
        </row>
        <row r="52">
          <cell r="C52" t="str">
            <v>NG4</v>
          </cell>
          <cell r="D52" t="str">
            <v>HÙNG (N)</v>
          </cell>
          <cell r="E52" t="str">
            <v/>
          </cell>
          <cell r="F52">
            <v>50</v>
          </cell>
          <cell r="H52" t="str">
            <v>A15A16 -  2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</row>
        <row r="53">
          <cell r="C53" t="str">
            <v>NG6</v>
          </cell>
          <cell r="D53" t="str">
            <v>VÂN (N)</v>
          </cell>
          <cell r="E53" t="str">
            <v/>
          </cell>
          <cell r="F53">
            <v>51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C54" t="str">
            <v>NG5</v>
          </cell>
          <cell r="D54" t="str">
            <v>CƯỜNG(N)</v>
          </cell>
          <cell r="E54" t="str">
            <v/>
          </cell>
          <cell r="F54">
            <v>52</v>
          </cell>
          <cell r="H54" t="str">
            <v>A5A7 -  2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</row>
        <row r="55">
          <cell r="C55" t="str">
            <v>Q4</v>
          </cell>
          <cell r="D55" t="str">
            <v xml:space="preserve"> </v>
          </cell>
          <cell r="E55" t="str">
            <v/>
          </cell>
          <cell r="F55">
            <v>53</v>
          </cell>
          <cell r="J55">
            <v>0</v>
          </cell>
          <cell r="K55">
            <v>0</v>
          </cell>
          <cell r="L55">
            <v>0</v>
          </cell>
          <cell r="M55" t="e">
            <v>#N/A</v>
          </cell>
        </row>
        <row r="56">
          <cell r="C56" t="str">
            <v>Q7</v>
          </cell>
          <cell r="D56" t="str">
            <v>HẢI (QP)</v>
          </cell>
          <cell r="E56" t="str">
            <v/>
          </cell>
          <cell r="F56">
            <v>54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Q2</v>
          </cell>
          <cell r="D57" t="str">
            <v>VĨNH</v>
          </cell>
          <cell r="E57" t="str">
            <v/>
          </cell>
          <cell r="F57">
            <v>55</v>
          </cell>
          <cell r="H57" t="str">
            <v>A1A2A3A4A5A6A7A8A9A10A11A12A13A14A15A16 -  16</v>
          </cell>
          <cell r="J57">
            <v>0</v>
          </cell>
          <cell r="K57">
            <v>16</v>
          </cell>
          <cell r="L57">
            <v>0</v>
          </cell>
          <cell r="M57">
            <v>0</v>
          </cell>
        </row>
        <row r="58">
          <cell r="C58" t="str">
            <v>Q1</v>
          </cell>
          <cell r="D58" t="str">
            <v>TỨ</v>
          </cell>
          <cell r="E58" t="str">
            <v/>
          </cell>
          <cell r="F58">
            <v>56</v>
          </cell>
          <cell r="I58" t="str">
            <v>A1A2A3A4A5A6A7A8A9A10A11A12A13A14A15A16A17A18A19 -  19</v>
          </cell>
          <cell r="J58">
            <v>0</v>
          </cell>
          <cell r="K58">
            <v>0</v>
          </cell>
          <cell r="L58">
            <v>19</v>
          </cell>
          <cell r="M58">
            <v>0</v>
          </cell>
        </row>
        <row r="59">
          <cell r="C59" t="str">
            <v>E4</v>
          </cell>
          <cell r="D59" t="str">
            <v>NGA</v>
          </cell>
          <cell r="E59" t="str">
            <v>10A13</v>
          </cell>
          <cell r="F59">
            <v>57</v>
          </cell>
          <cell r="G59" t="str">
            <v>A10A11A12 -  3</v>
          </cell>
          <cell r="I59" t="str">
            <v>A5A6A7A8A9A10A11A12A13 -  9</v>
          </cell>
          <cell r="J59">
            <v>3</v>
          </cell>
          <cell r="K59">
            <v>0</v>
          </cell>
          <cell r="L59">
            <v>9</v>
          </cell>
          <cell r="M59">
            <v>0</v>
          </cell>
        </row>
        <row r="60">
          <cell r="C60" t="str">
            <v>E5</v>
          </cell>
          <cell r="D60" t="str">
            <v>ANH (SI)</v>
          </cell>
          <cell r="E60" t="str">
            <v>11A12</v>
          </cell>
          <cell r="F60">
            <v>58</v>
          </cell>
          <cell r="G60" t="str">
            <v>A5A6A15A16 -  4</v>
          </cell>
          <cell r="H60" t="str">
            <v>A6A7A9A10A11A12 -  6</v>
          </cell>
          <cell r="J60">
            <v>4</v>
          </cell>
          <cell r="K60">
            <v>6</v>
          </cell>
          <cell r="L60">
            <v>0</v>
          </cell>
          <cell r="M60">
            <v>0</v>
          </cell>
        </row>
        <row r="61">
          <cell r="C61" t="str">
            <v>E1</v>
          </cell>
          <cell r="D61" t="str">
            <v>GV MỚI</v>
          </cell>
          <cell r="E61" t="str">
            <v>12A14</v>
          </cell>
          <cell r="F61">
            <v>59</v>
          </cell>
          <cell r="G61" t="str">
            <v>A7A8A13A14 -  4</v>
          </cell>
          <cell r="H61" t="str">
            <v>A1A2A15A16 -  4</v>
          </cell>
          <cell r="J61">
            <v>4</v>
          </cell>
          <cell r="K61">
            <v>4</v>
          </cell>
          <cell r="L61">
            <v>0</v>
          </cell>
          <cell r="M61">
            <v>0</v>
          </cell>
        </row>
        <row r="62">
          <cell r="C62" t="str">
            <v>E2</v>
          </cell>
          <cell r="D62" t="str">
            <v>SƯƠNG</v>
          </cell>
          <cell r="E62" t="str">
            <v>11A8</v>
          </cell>
          <cell r="F62">
            <v>60</v>
          </cell>
          <cell r="G62" t="str">
            <v>A1A2A17 -  3</v>
          </cell>
          <cell r="H62" t="str">
            <v>A8A3A4A5A13A13A14 -  6</v>
          </cell>
          <cell r="J62">
            <v>3</v>
          </cell>
          <cell r="K62">
            <v>6</v>
          </cell>
          <cell r="L62">
            <v>0</v>
          </cell>
          <cell r="M62">
            <v>0</v>
          </cell>
        </row>
        <row r="63">
          <cell r="C63" t="str">
            <v>E6</v>
          </cell>
          <cell r="D63" t="str">
            <v>KHUYÊN</v>
          </cell>
          <cell r="E63" t="str">
            <v>10A1</v>
          </cell>
          <cell r="F63">
            <v>61</v>
          </cell>
          <cell r="G63" t="str">
            <v>A9A3A4 -  3</v>
          </cell>
          <cell r="I63" t="str">
            <v>A1A2A3A4A14-&gt;A19A14A15A16A17A18A19 -  10</v>
          </cell>
          <cell r="J63">
            <v>3</v>
          </cell>
          <cell r="K63">
            <v>0</v>
          </cell>
          <cell r="L63">
            <v>10</v>
          </cell>
          <cell r="M63">
            <v>0</v>
          </cell>
        </row>
        <row r="64">
          <cell r="C64" t="str">
            <v>S4</v>
          </cell>
          <cell r="D64" t="str">
            <v>QUYÊN</v>
          </cell>
          <cell r="E64" t="str">
            <v>10A5</v>
          </cell>
          <cell r="F64">
            <v>62</v>
          </cell>
          <cell r="I64" t="str">
            <v>A1A2A3A4A5A6A7A8 -  8</v>
          </cell>
          <cell r="J64">
            <v>0</v>
          </cell>
          <cell r="K64">
            <v>0</v>
          </cell>
          <cell r="L64">
            <v>8</v>
          </cell>
          <cell r="M64">
            <v>0</v>
          </cell>
        </row>
        <row r="65">
          <cell r="C65" t="str">
            <v>S2</v>
          </cell>
          <cell r="D65" t="str">
            <v>GV MỚI SU</v>
          </cell>
          <cell r="E65" t="str">
            <v>12A2</v>
          </cell>
          <cell r="F65">
            <v>63</v>
          </cell>
          <cell r="H65" t="str">
            <v>A7A8A11A12A13 -  5</v>
          </cell>
          <cell r="J65">
            <v>0</v>
          </cell>
          <cell r="K65">
            <v>5</v>
          </cell>
          <cell r="L65">
            <v>0</v>
          </cell>
          <cell r="M65">
            <v>0</v>
          </cell>
        </row>
        <row r="66">
          <cell r="C66" t="str">
            <v>S1</v>
          </cell>
          <cell r="D66" t="str">
            <v>LÀI</v>
          </cell>
          <cell r="E66" t="str">
            <v>12A10</v>
          </cell>
          <cell r="F66">
            <v>64</v>
          </cell>
          <cell r="H66" t="str">
            <v>A9A10A14A15A16 -  5</v>
          </cell>
          <cell r="J66">
            <v>0</v>
          </cell>
          <cell r="K66">
            <v>5</v>
          </cell>
          <cell r="L66">
            <v>0</v>
          </cell>
          <cell r="M66">
            <v>0</v>
          </cell>
        </row>
        <row r="67">
          <cell r="C67" t="str">
            <v>S5</v>
          </cell>
          <cell r="D67" t="str">
            <v>HẢI (SU)</v>
          </cell>
          <cell r="E67" t="str">
            <v>11A3</v>
          </cell>
          <cell r="F67">
            <v>65</v>
          </cell>
          <cell r="H67" t="str">
            <v>A1A2A3A4A5A6 -  6</v>
          </cell>
          <cell r="I67" t="str">
            <v>A9A10A11A12A13A14A15A16A17A18A19 -  11</v>
          </cell>
          <cell r="J67">
            <v>0</v>
          </cell>
          <cell r="K67">
            <v>6</v>
          </cell>
          <cell r="L67">
            <v>11</v>
          </cell>
          <cell r="M67">
            <v>0</v>
          </cell>
        </row>
        <row r="68">
          <cell r="C68" t="str">
            <v>S6</v>
          </cell>
          <cell r="D68" t="str">
            <v xml:space="preserve"> </v>
          </cell>
          <cell r="E68" t="str">
            <v/>
          </cell>
          <cell r="F68">
            <v>66</v>
          </cell>
          <cell r="J68">
            <v>0</v>
          </cell>
          <cell r="K68">
            <v>0</v>
          </cell>
          <cell r="L68">
            <v>0</v>
          </cell>
          <cell r="M68" t="e">
            <v>#N/A</v>
          </cell>
        </row>
        <row r="69">
          <cell r="C69" t="str">
            <v>S7</v>
          </cell>
          <cell r="D69" t="str">
            <v xml:space="preserve"> </v>
          </cell>
          <cell r="E69" t="str">
            <v/>
          </cell>
          <cell r="F69">
            <v>67</v>
          </cell>
          <cell r="J69">
            <v>0</v>
          </cell>
          <cell r="K69">
            <v>0</v>
          </cell>
          <cell r="L69">
            <v>0</v>
          </cell>
          <cell r="M69" t="e">
            <v>#N/A</v>
          </cell>
        </row>
        <row r="70">
          <cell r="C70" t="str">
            <v>U4</v>
          </cell>
          <cell r="D70" t="str">
            <v>HIỆP (TD)</v>
          </cell>
          <cell r="E70" t="str">
            <v/>
          </cell>
          <cell r="F70">
            <v>68</v>
          </cell>
          <cell r="H70" t="str">
            <v>A1A2A3A4A6A6A7A16 -  7</v>
          </cell>
          <cell r="I70" t="str">
            <v>A9A10A11A12A13 -  5</v>
          </cell>
          <cell r="J70">
            <v>0</v>
          </cell>
          <cell r="K70">
            <v>7</v>
          </cell>
          <cell r="L70">
            <v>5</v>
          </cell>
          <cell r="M70">
            <v>0</v>
          </cell>
        </row>
        <row r="71">
          <cell r="C71" t="str">
            <v>U1</v>
          </cell>
          <cell r="D71" t="str">
            <v>THƠ (TD)</v>
          </cell>
          <cell r="E71" t="str">
            <v/>
          </cell>
          <cell r="F71">
            <v>69</v>
          </cell>
          <cell r="I71" t="str">
            <v>A7A8A14A15A16A17A18A19 -  8</v>
          </cell>
          <cell r="J71">
            <v>0</v>
          </cell>
          <cell r="K71">
            <v>0</v>
          </cell>
          <cell r="L71">
            <v>8</v>
          </cell>
          <cell r="M71">
            <v>0</v>
          </cell>
        </row>
        <row r="72">
          <cell r="C72" t="str">
            <v>U8</v>
          </cell>
          <cell r="D72" t="str">
            <v>CƯỜNG (TD)</v>
          </cell>
          <cell r="E72" t="str">
            <v/>
          </cell>
          <cell r="F72">
            <v>70</v>
          </cell>
          <cell r="H72" t="str">
            <v>A9A12 -  2</v>
          </cell>
          <cell r="I72" t="str">
            <v>A5A6 -  2</v>
          </cell>
          <cell r="J72">
            <v>0</v>
          </cell>
          <cell r="K72">
            <v>2</v>
          </cell>
          <cell r="L72">
            <v>2</v>
          </cell>
          <cell r="M72">
            <v>0</v>
          </cell>
        </row>
        <row r="73">
          <cell r="C73" t="str">
            <v>U2</v>
          </cell>
          <cell r="D73" t="str">
            <v>KHANG</v>
          </cell>
          <cell r="E73" t="str">
            <v/>
          </cell>
          <cell r="F73">
            <v>71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C74" t="str">
            <v>U6</v>
          </cell>
          <cell r="D74" t="str">
            <v>THANH (TD)</v>
          </cell>
          <cell r="E74" t="str">
            <v/>
          </cell>
          <cell r="F74">
            <v>72</v>
          </cell>
          <cell r="H74" t="str">
            <v>A11A10 -  2</v>
          </cell>
          <cell r="J74">
            <v>0</v>
          </cell>
          <cell r="K74">
            <v>2</v>
          </cell>
          <cell r="L74">
            <v>0</v>
          </cell>
          <cell r="M74">
            <v>0</v>
          </cell>
        </row>
        <row r="75">
          <cell r="C75" t="str">
            <v>U7</v>
          </cell>
          <cell r="D75" t="str">
            <v>HẢI (TD)</v>
          </cell>
          <cell r="E75" t="str">
            <v/>
          </cell>
          <cell r="F75">
            <v>73</v>
          </cell>
          <cell r="H75" t="str">
            <v>A8A13A14A15A5A5 -  5</v>
          </cell>
          <cell r="I75" t="str">
            <v>A1A2A3A4 -  4</v>
          </cell>
          <cell r="J75">
            <v>0</v>
          </cell>
          <cell r="K75">
            <v>5</v>
          </cell>
          <cell r="L75">
            <v>4</v>
          </cell>
          <cell r="M75">
            <v>0</v>
          </cell>
        </row>
        <row r="76">
          <cell r="C76" t="str">
            <v>M1</v>
          </cell>
          <cell r="D76" t="str">
            <v>DIỆM (TH)</v>
          </cell>
          <cell r="E76" t="str">
            <v/>
          </cell>
          <cell r="F76">
            <v>74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C77" t="str">
            <v>M3</v>
          </cell>
          <cell r="D77" t="str">
            <v>XUÂN (TH)</v>
          </cell>
          <cell r="E77" t="str">
            <v/>
          </cell>
          <cell r="F77">
            <v>75</v>
          </cell>
          <cell r="H77" t="str">
            <v>A1A2A3A4A5A13A13A14 -  7</v>
          </cell>
          <cell r="J77">
            <v>0</v>
          </cell>
          <cell r="K77">
            <v>7</v>
          </cell>
          <cell r="L77">
            <v>0</v>
          </cell>
          <cell r="M77">
            <v>0</v>
          </cell>
        </row>
        <row r="78">
          <cell r="C78" t="str">
            <v>M2</v>
          </cell>
          <cell r="D78" t="str">
            <v>PHÚC (TH)</v>
          </cell>
          <cell r="E78" t="str">
            <v/>
          </cell>
          <cell r="F78">
            <v>76</v>
          </cell>
          <cell r="I78" t="str">
            <v>A9A10A11A12A13 -  5</v>
          </cell>
          <cell r="J78">
            <v>0</v>
          </cell>
          <cell r="K78">
            <v>0</v>
          </cell>
          <cell r="L78">
            <v>5</v>
          </cell>
          <cell r="M78">
            <v>0</v>
          </cell>
        </row>
        <row r="79">
          <cell r="C79" t="str">
            <v>M5</v>
          </cell>
          <cell r="D79" t="str">
            <v>CƯỜNG (TH)</v>
          </cell>
          <cell r="E79" t="str">
            <v/>
          </cell>
          <cell r="F79">
            <v>77</v>
          </cell>
          <cell r="H79" t="str">
            <v>A7A9A10A11A12 -  5</v>
          </cell>
          <cell r="I79" t="str">
            <v>A1A2A3A4A5A6A7 -  7</v>
          </cell>
          <cell r="J79">
            <v>0</v>
          </cell>
          <cell r="K79">
            <v>5</v>
          </cell>
          <cell r="L79">
            <v>7</v>
          </cell>
          <cell r="M79">
            <v>0</v>
          </cell>
        </row>
        <row r="80">
          <cell r="C80" t="str">
            <v>M4</v>
          </cell>
          <cell r="D80" t="str">
            <v>HÙNG (TH)</v>
          </cell>
          <cell r="E80" t="str">
            <v/>
          </cell>
          <cell r="F80">
            <v>78</v>
          </cell>
          <cell r="H80" t="str">
            <v>A6A8A15A16 -  4</v>
          </cell>
          <cell r="I80" t="str">
            <v>A8A14A15A16A17A18A19 -  7</v>
          </cell>
          <cell r="J80">
            <v>0</v>
          </cell>
          <cell r="K80">
            <v>4</v>
          </cell>
          <cell r="L80">
            <v>7</v>
          </cell>
          <cell r="M80">
            <v>0</v>
          </cell>
        </row>
        <row r="81">
          <cell r="C81" t="str">
            <v>T12</v>
          </cell>
          <cell r="D81" t="str">
            <v>QUẢNG</v>
          </cell>
          <cell r="E81" t="str">
            <v>11A4</v>
          </cell>
          <cell r="F81">
            <v>79</v>
          </cell>
          <cell r="H81" t="str">
            <v>A4 -  1</v>
          </cell>
          <cell r="I81" t="str">
            <v>A1A15 -  2</v>
          </cell>
          <cell r="J81">
            <v>0</v>
          </cell>
          <cell r="K81">
            <v>1</v>
          </cell>
          <cell r="L81">
            <v>2</v>
          </cell>
          <cell r="M81">
            <v>0</v>
          </cell>
        </row>
        <row r="82">
          <cell r="C82" t="str">
            <v>T17</v>
          </cell>
          <cell r="D82" t="str">
            <v xml:space="preserve"> </v>
          </cell>
          <cell r="E82" t="str">
            <v/>
          </cell>
          <cell r="F82">
            <v>80</v>
          </cell>
          <cell r="I82" t="str">
            <v>A11A12 -  2</v>
          </cell>
          <cell r="J82">
            <v>0</v>
          </cell>
          <cell r="K82">
            <v>0</v>
          </cell>
          <cell r="L82">
            <v>2</v>
          </cell>
          <cell r="M82" t="e">
            <v>#N/A</v>
          </cell>
        </row>
        <row r="83">
          <cell r="C83" t="str">
            <v>T2</v>
          </cell>
          <cell r="D83" t="str">
            <v>DĨNH (T)</v>
          </cell>
          <cell r="E83" t="str">
            <v/>
          </cell>
          <cell r="F83">
            <v>81</v>
          </cell>
          <cell r="G83" t="str">
            <v>A11 -  1</v>
          </cell>
          <cell r="H83" t="str">
            <v>A9A16 -  2</v>
          </cell>
          <cell r="J83">
            <v>1</v>
          </cell>
          <cell r="K83">
            <v>2</v>
          </cell>
          <cell r="L83">
            <v>0</v>
          </cell>
          <cell r="M83">
            <v>0</v>
          </cell>
        </row>
        <row r="84">
          <cell r="C84" t="str">
            <v>T16</v>
          </cell>
          <cell r="D84" t="str">
            <v xml:space="preserve"> </v>
          </cell>
          <cell r="E84" t="str">
            <v/>
          </cell>
          <cell r="F84">
            <v>82</v>
          </cell>
          <cell r="G84" t="str">
            <v>A7 -  1</v>
          </cell>
          <cell r="J84">
            <v>1</v>
          </cell>
          <cell r="K84">
            <v>0</v>
          </cell>
          <cell r="L84">
            <v>0</v>
          </cell>
          <cell r="M84" t="e">
            <v>#N/A</v>
          </cell>
        </row>
        <row r="85">
          <cell r="C85" t="str">
            <v>T11</v>
          </cell>
          <cell r="D85" t="str">
            <v>LỘC</v>
          </cell>
          <cell r="E85" t="str">
            <v/>
          </cell>
          <cell r="F85">
            <v>83</v>
          </cell>
          <cell r="G85" t="str">
            <v>A1 -  1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</row>
        <row r="86">
          <cell r="C86" t="str">
            <v>T7</v>
          </cell>
          <cell r="D86" t="str">
            <v>LÝ</v>
          </cell>
          <cell r="E86" t="str">
            <v>11A1</v>
          </cell>
          <cell r="F86">
            <v>84</v>
          </cell>
          <cell r="G86" t="str">
            <v>A2A12 -  2</v>
          </cell>
          <cell r="H86" t="str">
            <v>A1A7 -  2</v>
          </cell>
          <cell r="J86">
            <v>2</v>
          </cell>
          <cell r="K86">
            <v>2</v>
          </cell>
          <cell r="L86">
            <v>0</v>
          </cell>
          <cell r="M86">
            <v>0</v>
          </cell>
        </row>
        <row r="87">
          <cell r="C87" t="str">
            <v>T4</v>
          </cell>
          <cell r="D87" t="str">
            <v>BA</v>
          </cell>
          <cell r="E87" t="str">
            <v/>
          </cell>
          <cell r="F87">
            <v>85</v>
          </cell>
          <cell r="H87" t="str">
            <v>A3A14 -  2</v>
          </cell>
          <cell r="J87">
            <v>0</v>
          </cell>
          <cell r="K87">
            <v>2</v>
          </cell>
          <cell r="L87">
            <v>0</v>
          </cell>
          <cell r="M87">
            <v>0</v>
          </cell>
        </row>
        <row r="88">
          <cell r="C88" t="str">
            <v>T15</v>
          </cell>
          <cell r="D88" t="str">
            <v>GV TOÁN 2</v>
          </cell>
          <cell r="E88" t="str">
            <v/>
          </cell>
          <cell r="F88">
            <v>86</v>
          </cell>
          <cell r="H88" t="str">
            <v>A7A10 -  2</v>
          </cell>
          <cell r="J88">
            <v>0</v>
          </cell>
          <cell r="K88">
            <v>2</v>
          </cell>
          <cell r="L88">
            <v>0</v>
          </cell>
          <cell r="M88">
            <v>0</v>
          </cell>
        </row>
        <row r="89">
          <cell r="C89" t="str">
            <v>T9</v>
          </cell>
          <cell r="D89" t="str">
            <v>MY</v>
          </cell>
          <cell r="E89" t="str">
            <v>12A6</v>
          </cell>
          <cell r="F89">
            <v>87</v>
          </cell>
          <cell r="G89" t="str">
            <v>A6A8 -  2</v>
          </cell>
          <cell r="H89" t="str">
            <v>A5 -  1</v>
          </cell>
          <cell r="J89">
            <v>2</v>
          </cell>
          <cell r="K89">
            <v>1</v>
          </cell>
          <cell r="L89">
            <v>0</v>
          </cell>
          <cell r="M89">
            <v>0</v>
          </cell>
        </row>
        <row r="90">
          <cell r="C90" t="str">
            <v>T5</v>
          </cell>
          <cell r="D90" t="str">
            <v>GV MỚI T</v>
          </cell>
          <cell r="E90" t="str">
            <v>12A15</v>
          </cell>
          <cell r="F90">
            <v>88</v>
          </cell>
          <cell r="G90" t="str">
            <v>A15 -  1</v>
          </cell>
          <cell r="I90" t="str">
            <v>A9A10 -  2</v>
          </cell>
          <cell r="J90">
            <v>1</v>
          </cell>
          <cell r="K90">
            <v>0</v>
          </cell>
          <cell r="L90">
            <v>2</v>
          </cell>
          <cell r="M90">
            <v>0</v>
          </cell>
        </row>
        <row r="91">
          <cell r="C91" t="str">
            <v>T1</v>
          </cell>
          <cell r="D91" t="str">
            <v>TRÍ</v>
          </cell>
          <cell r="E91" t="str">
            <v>12A4</v>
          </cell>
          <cell r="F91">
            <v>89</v>
          </cell>
          <cell r="G91" t="str">
            <v>A4A10 -  2</v>
          </cell>
          <cell r="I91" t="str">
            <v>A2 -  1</v>
          </cell>
          <cell r="J91">
            <v>2</v>
          </cell>
          <cell r="K91">
            <v>0</v>
          </cell>
          <cell r="L91">
            <v>1</v>
          </cell>
          <cell r="M91">
            <v>0</v>
          </cell>
        </row>
        <row r="92">
          <cell r="C92" t="str">
            <v>T3</v>
          </cell>
          <cell r="D92" t="str">
            <v>VĂN</v>
          </cell>
          <cell r="E92" t="str">
            <v/>
          </cell>
          <cell r="F92">
            <v>90</v>
          </cell>
          <cell r="G92" t="str">
            <v>A5A9A7 -  3</v>
          </cell>
          <cell r="I92" t="str">
            <v>A8 -  1</v>
          </cell>
          <cell r="J92">
            <v>3</v>
          </cell>
          <cell r="K92">
            <v>0</v>
          </cell>
          <cell r="L92">
            <v>1</v>
          </cell>
          <cell r="M92">
            <v>0</v>
          </cell>
        </row>
        <row r="93">
          <cell r="C93" t="str">
            <v>T10</v>
          </cell>
          <cell r="D93" t="str">
            <v>TUỆ</v>
          </cell>
          <cell r="E93" t="str">
            <v>11A11</v>
          </cell>
          <cell r="F93">
            <v>91</v>
          </cell>
          <cell r="G93" t="str">
            <v>A14A17 -  2</v>
          </cell>
          <cell r="H93" t="str">
            <v>A11A12 -  2</v>
          </cell>
          <cell r="J93">
            <v>2</v>
          </cell>
          <cell r="K93">
            <v>2</v>
          </cell>
          <cell r="L93">
            <v>0</v>
          </cell>
          <cell r="M93">
            <v>0</v>
          </cell>
        </row>
        <row r="94">
          <cell r="C94" t="str">
            <v>T13</v>
          </cell>
          <cell r="D94" t="str">
            <v>HƯNG</v>
          </cell>
          <cell r="E94" t="str">
            <v>10A4</v>
          </cell>
          <cell r="F94">
            <v>92</v>
          </cell>
          <cell r="H94" t="str">
            <v>A13A15A10 -  3</v>
          </cell>
          <cell r="I94" t="str">
            <v>A4A6 -  2</v>
          </cell>
          <cell r="J94">
            <v>0</v>
          </cell>
          <cell r="K94">
            <v>3</v>
          </cell>
          <cell r="L94">
            <v>2</v>
          </cell>
          <cell r="M94">
            <v>0</v>
          </cell>
        </row>
        <row r="95">
          <cell r="C95" t="str">
            <v>T8</v>
          </cell>
          <cell r="D95" t="str">
            <v>ÁNH</v>
          </cell>
          <cell r="E95" t="str">
            <v>11A2</v>
          </cell>
          <cell r="F95">
            <v>93</v>
          </cell>
          <cell r="G95" t="str">
            <v>A3A13A16 -  3</v>
          </cell>
          <cell r="H95" t="str">
            <v>A2A8 -  2</v>
          </cell>
          <cell r="J95">
            <v>3</v>
          </cell>
          <cell r="K95">
            <v>2</v>
          </cell>
          <cell r="L95">
            <v>0</v>
          </cell>
          <cell r="M95">
            <v>0</v>
          </cell>
        </row>
        <row r="96">
          <cell r="C96" t="str">
            <v>T6</v>
          </cell>
          <cell r="D96" t="str">
            <v>Dung</v>
          </cell>
          <cell r="E96" t="str">
            <v/>
          </cell>
          <cell r="F96">
            <v>94</v>
          </cell>
          <cell r="I96" t="str">
            <v>A7A13A16A17 -  4</v>
          </cell>
          <cell r="J96">
            <v>0</v>
          </cell>
          <cell r="K96">
            <v>0</v>
          </cell>
          <cell r="L96">
            <v>4</v>
          </cell>
          <cell r="M96">
            <v>0</v>
          </cell>
        </row>
        <row r="97">
          <cell r="C97" t="str">
            <v>T14</v>
          </cell>
          <cell r="D97" t="str">
            <v>HẠNH (T)</v>
          </cell>
          <cell r="E97" t="str">
            <v/>
          </cell>
          <cell r="F97">
            <v>95</v>
          </cell>
          <cell r="I97" t="str">
            <v>A3A18A19 -  3</v>
          </cell>
          <cell r="J97">
            <v>0</v>
          </cell>
          <cell r="K97">
            <v>0</v>
          </cell>
          <cell r="L97">
            <v>3</v>
          </cell>
          <cell r="M97">
            <v>0</v>
          </cell>
        </row>
        <row r="98">
          <cell r="C98" t="str">
            <v>T18</v>
          </cell>
          <cell r="D98" t="str">
            <v>NGHĨA (T)</v>
          </cell>
          <cell r="E98" t="str">
            <v>11A6</v>
          </cell>
          <cell r="F98">
            <v>96</v>
          </cell>
          <cell r="H98" t="str">
            <v>A6 -  1</v>
          </cell>
          <cell r="I98" t="str">
            <v>A5A14 -  2</v>
          </cell>
          <cell r="J98">
            <v>0</v>
          </cell>
          <cell r="K98">
            <v>1</v>
          </cell>
          <cell r="L98">
            <v>2</v>
          </cell>
          <cell r="M98">
            <v>0</v>
          </cell>
        </row>
        <row r="99">
          <cell r="C99" t="str">
            <v>V9</v>
          </cell>
          <cell r="D99" t="str">
            <v>YẾN</v>
          </cell>
          <cell r="E99" t="str">
            <v/>
          </cell>
          <cell r="F99">
            <v>97</v>
          </cell>
          <cell r="G99" t="str">
            <v>A6 -  1</v>
          </cell>
          <cell r="I99" t="str">
            <v>A7A9A15A16 -  4</v>
          </cell>
          <cell r="J99">
            <v>1</v>
          </cell>
          <cell r="K99">
            <v>0</v>
          </cell>
          <cell r="L99">
            <v>4</v>
          </cell>
          <cell r="M99">
            <v>0</v>
          </cell>
        </row>
        <row r="100">
          <cell r="C100" t="str">
            <v>V4</v>
          </cell>
          <cell r="D100" t="str">
            <v>Thủy</v>
          </cell>
          <cell r="E100" t="str">
            <v>10A19</v>
          </cell>
          <cell r="F100">
            <v>98</v>
          </cell>
          <cell r="G100" t="str">
            <v>A11A14 -  2</v>
          </cell>
          <cell r="I100" t="str">
            <v>A17A19 -  2</v>
          </cell>
          <cell r="J100">
            <v>2</v>
          </cell>
          <cell r="K100">
            <v>0</v>
          </cell>
          <cell r="L100">
            <v>2</v>
          </cell>
          <cell r="M100">
            <v>0</v>
          </cell>
        </row>
        <row r="101">
          <cell r="C101" t="str">
            <v>V6</v>
          </cell>
          <cell r="D101" t="str">
            <v>GV MỚI V</v>
          </cell>
          <cell r="E101" t="str">
            <v>10A11</v>
          </cell>
          <cell r="F101">
            <v>99</v>
          </cell>
          <cell r="G101" t="str">
            <v>A1A7 -  2</v>
          </cell>
          <cell r="I101" t="str">
            <v>A11 -  1</v>
          </cell>
          <cell r="J101">
            <v>2</v>
          </cell>
          <cell r="K101">
            <v>0</v>
          </cell>
          <cell r="L101">
            <v>1</v>
          </cell>
          <cell r="M101">
            <v>0</v>
          </cell>
        </row>
        <row r="102">
          <cell r="C102" t="str">
            <v>V11</v>
          </cell>
          <cell r="D102" t="str">
            <v>KHOA</v>
          </cell>
          <cell r="E102" t="str">
            <v>12A13</v>
          </cell>
          <cell r="F102">
            <v>100</v>
          </cell>
          <cell r="G102" t="str">
            <v>A8A12A13A16 -  4</v>
          </cell>
          <cell r="I102" t="str">
            <v>A1 -  1</v>
          </cell>
          <cell r="J102">
            <v>4</v>
          </cell>
          <cell r="K102">
            <v>0</v>
          </cell>
          <cell r="L102">
            <v>1</v>
          </cell>
          <cell r="M102">
            <v>0</v>
          </cell>
        </row>
        <row r="103">
          <cell r="C103" t="str">
            <v>V3</v>
          </cell>
          <cell r="D103" t="str">
            <v>H.Giang</v>
          </cell>
          <cell r="E103" t="str">
            <v>10A12</v>
          </cell>
          <cell r="F103">
            <v>101</v>
          </cell>
          <cell r="G103" t="str">
            <v>A2A4 -  2</v>
          </cell>
          <cell r="I103" t="str">
            <v>A8A12 -  2</v>
          </cell>
          <cell r="J103">
            <v>2</v>
          </cell>
          <cell r="K103">
            <v>0</v>
          </cell>
          <cell r="L103">
            <v>2</v>
          </cell>
          <cell r="M103">
            <v>0</v>
          </cell>
        </row>
        <row r="104">
          <cell r="C104" t="str">
            <v>V7</v>
          </cell>
          <cell r="D104" t="str">
            <v>THÊM</v>
          </cell>
          <cell r="E104" t="str">
            <v/>
          </cell>
          <cell r="F104">
            <v>102</v>
          </cell>
          <cell r="H104" t="str">
            <v>A1A6 -  2</v>
          </cell>
          <cell r="J104">
            <v>0</v>
          </cell>
          <cell r="K104">
            <v>2</v>
          </cell>
          <cell r="L104">
            <v>0</v>
          </cell>
          <cell r="M104">
            <v>0</v>
          </cell>
        </row>
        <row r="105">
          <cell r="C105" t="str">
            <v>V10</v>
          </cell>
          <cell r="D105" t="str">
            <v>THƯ (V)</v>
          </cell>
          <cell r="E105" t="str">
            <v>11A9</v>
          </cell>
          <cell r="F105">
            <v>103</v>
          </cell>
          <cell r="G105" t="str">
            <v>A3A15A17 -  3</v>
          </cell>
          <cell r="H105" t="str">
            <v>A9 -  1</v>
          </cell>
          <cell r="J105">
            <v>3</v>
          </cell>
          <cell r="K105">
            <v>1</v>
          </cell>
          <cell r="L105">
            <v>0</v>
          </cell>
          <cell r="M105">
            <v>0</v>
          </cell>
        </row>
        <row r="106">
          <cell r="C106" t="str">
            <v>V2</v>
          </cell>
          <cell r="D106" t="str">
            <v>THẮM</v>
          </cell>
          <cell r="E106" t="str">
            <v>12A5</v>
          </cell>
          <cell r="F106">
            <v>104</v>
          </cell>
          <cell r="G106" t="str">
            <v>A5A9A10 -  3</v>
          </cell>
          <cell r="J106">
            <v>3</v>
          </cell>
          <cell r="K106">
            <v>0</v>
          </cell>
          <cell r="L106">
            <v>0</v>
          </cell>
          <cell r="M106">
            <v>0</v>
          </cell>
        </row>
        <row r="107">
          <cell r="C107" t="str">
            <v>V8</v>
          </cell>
          <cell r="D107" t="str">
            <v>BẮC</v>
          </cell>
          <cell r="E107" t="str">
            <v>11A13</v>
          </cell>
          <cell r="F107">
            <v>105</v>
          </cell>
          <cell r="H107" t="str">
            <v>A2A3A13 -  3</v>
          </cell>
          <cell r="J107">
            <v>0</v>
          </cell>
          <cell r="K107">
            <v>3</v>
          </cell>
          <cell r="L107">
            <v>0</v>
          </cell>
          <cell r="M107">
            <v>0</v>
          </cell>
        </row>
        <row r="108">
          <cell r="C108" t="str">
            <v>V12</v>
          </cell>
          <cell r="D108" t="str">
            <v xml:space="preserve"> </v>
          </cell>
          <cell r="E108" t="str">
            <v>10A14</v>
          </cell>
          <cell r="F108">
            <v>106</v>
          </cell>
          <cell r="H108" t="str">
            <v>A8A16 -  2</v>
          </cell>
          <cell r="I108" t="str">
            <v>A10A14 -  2</v>
          </cell>
          <cell r="J108">
            <v>0</v>
          </cell>
          <cell r="K108">
            <v>2</v>
          </cell>
          <cell r="L108">
            <v>2</v>
          </cell>
          <cell r="M108" t="e">
            <v>#N/A</v>
          </cell>
        </row>
        <row r="109">
          <cell r="C109" t="str">
            <v>V1</v>
          </cell>
          <cell r="D109" t="str">
            <v>T.GIANG</v>
          </cell>
          <cell r="E109" t="str">
            <v>10A3</v>
          </cell>
          <cell r="F109">
            <v>107</v>
          </cell>
          <cell r="H109" t="str">
            <v>A12A14A11 -  3</v>
          </cell>
          <cell r="I109" t="str">
            <v>A2A3A4 -  3</v>
          </cell>
          <cell r="J109">
            <v>0</v>
          </cell>
          <cell r="K109">
            <v>3</v>
          </cell>
          <cell r="L109">
            <v>3</v>
          </cell>
          <cell r="M109">
            <v>0</v>
          </cell>
        </row>
        <row r="110">
          <cell r="C110" t="str">
            <v>V13</v>
          </cell>
          <cell r="D110" t="str">
            <v>NGÂN</v>
          </cell>
          <cell r="E110" t="str">
            <v>11A15</v>
          </cell>
          <cell r="F110">
            <v>108</v>
          </cell>
          <cell r="H110" t="str">
            <v>A10A15 -  2</v>
          </cell>
          <cell r="I110" t="str">
            <v>A5A6 -  2</v>
          </cell>
          <cell r="J110">
            <v>0</v>
          </cell>
          <cell r="K110">
            <v>2</v>
          </cell>
          <cell r="L110">
            <v>2</v>
          </cell>
          <cell r="M110">
            <v>0</v>
          </cell>
        </row>
        <row r="111">
          <cell r="C111" t="str">
            <v>V5</v>
          </cell>
          <cell r="D111" t="str">
            <v>TRANG</v>
          </cell>
          <cell r="E111" t="str">
            <v>10A18</v>
          </cell>
          <cell r="F111">
            <v>109</v>
          </cell>
          <cell r="H111" t="str">
            <v>A4A5A7 -  3</v>
          </cell>
          <cell r="I111" t="str">
            <v>A13A18 -  2</v>
          </cell>
          <cell r="J111">
            <v>0</v>
          </cell>
          <cell r="K111">
            <v>3</v>
          </cell>
          <cell r="L111">
            <v>2</v>
          </cell>
          <cell r="M111">
            <v>0</v>
          </cell>
        </row>
        <row r="112">
          <cell r="C112" t="str">
            <v/>
          </cell>
          <cell r="D112" t="str">
            <v xml:space="preserve"> </v>
          </cell>
          <cell r="E112" t="str">
            <v/>
          </cell>
          <cell r="F112">
            <v>110</v>
          </cell>
          <cell r="J112">
            <v>0</v>
          </cell>
          <cell r="K112">
            <v>0</v>
          </cell>
          <cell r="L112">
            <v>0</v>
          </cell>
          <cell r="M112" t="e">
            <v>#N/A</v>
          </cell>
        </row>
        <row r="113">
          <cell r="C113" t="str">
            <v/>
          </cell>
          <cell r="D113" t="str">
            <v xml:space="preserve"> </v>
          </cell>
          <cell r="E113" t="str">
            <v/>
          </cell>
          <cell r="F113">
            <v>111</v>
          </cell>
          <cell r="J113">
            <v>0</v>
          </cell>
          <cell r="K113">
            <v>0</v>
          </cell>
          <cell r="L113">
            <v>0</v>
          </cell>
          <cell r="M113" t="e">
            <v>#N/A</v>
          </cell>
        </row>
        <row r="114">
          <cell r="C114" t="str">
            <v/>
          </cell>
          <cell r="D114" t="str">
            <v xml:space="preserve"> </v>
          </cell>
          <cell r="E114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Sach"/>
      <sheetName val="DSLop"/>
      <sheetName val="TKBTo"/>
      <sheetName val="TKBGV"/>
      <sheetName val="TKBL"/>
      <sheetName val="TKBS"/>
      <sheetName val="TKBC"/>
      <sheetName val="SD SANG"/>
      <sheetName val="SD CHIE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UCAU"/>
      <sheetName val="Sheet2"/>
      <sheetName val="Sheet1"/>
    </sheetNames>
    <sheetDataSet>
      <sheetData sheetId="0" refreshError="1">
        <row r="4">
          <cell r="B4" t="str">
            <v>T3</v>
          </cell>
          <cell r="C4" t="str">
            <v>saùng 2,4,5,6,7_Chieàu 2,3,4,6</v>
          </cell>
          <cell r="D4" t="str">
            <v>VAÊN</v>
          </cell>
          <cell r="E4">
            <v>34</v>
          </cell>
        </row>
        <row r="5">
          <cell r="B5" t="str">
            <v>T17</v>
          </cell>
          <cell r="C5" t="str">
            <v>BGH</v>
          </cell>
          <cell r="D5" t="str">
            <v>ÑÖÙC</v>
          </cell>
          <cell r="E5">
            <v>2</v>
          </cell>
        </row>
        <row r="6">
          <cell r="B6" t="str">
            <v>T2</v>
          </cell>
          <cell r="C6" t="str">
            <v>Khoâng xeáp chieàu T5</v>
          </cell>
          <cell r="D6" t="str">
            <v>DÓNH</v>
          </cell>
          <cell r="E6">
            <v>35</v>
          </cell>
        </row>
        <row r="7">
          <cell r="B7" t="str">
            <v>T4</v>
          </cell>
          <cell r="C7" t="str">
            <v>traùnh tieát 5 buoåi chieàu</v>
          </cell>
          <cell r="D7" t="str">
            <v>PHÖÔÏNG</v>
          </cell>
          <cell r="E7">
            <v>30</v>
          </cell>
        </row>
        <row r="8">
          <cell r="B8" t="str">
            <v>T5</v>
          </cell>
          <cell r="C8" t="str">
            <v>Khoâng xeáp quaù 8t</v>
          </cell>
          <cell r="D8" t="str">
            <v>THÔ</v>
          </cell>
          <cell r="E8">
            <v>34</v>
          </cell>
        </row>
        <row r="9">
          <cell r="B9" t="str">
            <v>T1</v>
          </cell>
          <cell r="C9" t="str">
            <v>xeáp 10t , traùnh saùng T4</v>
          </cell>
          <cell r="D9" t="str">
            <v>TRÍ</v>
          </cell>
          <cell r="E9">
            <v>31</v>
          </cell>
        </row>
        <row r="10">
          <cell r="B10" t="str">
            <v>T9</v>
          </cell>
          <cell r="C10" t="str">
            <v>saùng 2,3,5 _Chieàu 4,6</v>
          </cell>
          <cell r="D10" t="str">
            <v>THAÛO</v>
          </cell>
          <cell r="E10">
            <v>16</v>
          </cell>
        </row>
        <row r="11">
          <cell r="B11" t="str">
            <v>T8</v>
          </cell>
          <cell r="C11" t="str">
            <v>saùng 2,3,5 _Chieàu 4,6</v>
          </cell>
          <cell r="D11" t="str">
            <v>AÙI</v>
          </cell>
          <cell r="E11">
            <v>17</v>
          </cell>
        </row>
        <row r="12">
          <cell r="B12" t="str">
            <v>T15</v>
          </cell>
          <cell r="D12" t="str">
            <v>LUAÄN</v>
          </cell>
          <cell r="E12">
            <v>4</v>
          </cell>
        </row>
        <row r="13">
          <cell r="B13" t="str">
            <v>T11</v>
          </cell>
          <cell r="C13" t="str">
            <v>saùng 3,4,5,caû ngaøy T7, 2 tieát cuoái saùng T2</v>
          </cell>
          <cell r="D13" t="str">
            <v>LOÄC</v>
          </cell>
          <cell r="E13">
            <v>36</v>
          </cell>
        </row>
        <row r="14">
          <cell r="B14" t="str">
            <v>T14</v>
          </cell>
          <cell r="D14" t="str">
            <v>HAÏNH</v>
          </cell>
          <cell r="E14">
            <v>32</v>
          </cell>
        </row>
        <row r="15">
          <cell r="B15" t="str">
            <v>T7</v>
          </cell>
          <cell r="D15" t="str">
            <v>LYÙ</v>
          </cell>
          <cell r="E15">
            <v>31</v>
          </cell>
        </row>
        <row r="16">
          <cell r="B16" t="str">
            <v>T13</v>
          </cell>
          <cell r="C16" t="str">
            <v>saùng 3,5, chieàu saùu</v>
          </cell>
          <cell r="D16" t="str">
            <v xml:space="preserve">HÖNG </v>
          </cell>
          <cell r="E16">
            <v>12</v>
          </cell>
        </row>
        <row r="17">
          <cell r="B17" t="str">
            <v>T6</v>
          </cell>
          <cell r="C17" t="str">
            <v>saùng 3,6,7 _Chieàu 4,5,6</v>
          </cell>
          <cell r="D17" t="str">
            <v>HAØ</v>
          </cell>
          <cell r="E17">
            <v>19</v>
          </cell>
        </row>
        <row r="18">
          <cell r="B18" t="str">
            <v>T10</v>
          </cell>
          <cell r="C18" t="str">
            <v>Khoâng chieàu 4</v>
          </cell>
          <cell r="D18" t="str">
            <v>TRÌNH</v>
          </cell>
          <cell r="E18">
            <v>10</v>
          </cell>
        </row>
        <row r="19">
          <cell r="B19" t="str">
            <v>L1</v>
          </cell>
          <cell r="C19" t="str">
            <v>traùnh tieát 1 buoåi saùng</v>
          </cell>
          <cell r="D19" t="str">
            <v>HUØNG</v>
          </cell>
          <cell r="E19">
            <v>28</v>
          </cell>
        </row>
        <row r="20">
          <cell r="B20" t="str">
            <v>L2</v>
          </cell>
          <cell r="C20" t="str">
            <v>BGH</v>
          </cell>
          <cell r="D20" t="str">
            <v>QUYÙ</v>
          </cell>
          <cell r="E20">
            <v>12</v>
          </cell>
        </row>
        <row r="21">
          <cell r="B21" t="str">
            <v>L6</v>
          </cell>
          <cell r="C21" t="str">
            <v>nghæ T7</v>
          </cell>
          <cell r="D21" t="str">
            <v>BAÛN</v>
          </cell>
          <cell r="E21">
            <v>24</v>
          </cell>
        </row>
        <row r="22">
          <cell r="B22" t="str">
            <v>L5</v>
          </cell>
          <cell r="C22" t="str">
            <v>nghæ T5</v>
          </cell>
          <cell r="D22" t="str">
            <v>MAI</v>
          </cell>
          <cell r="E22">
            <v>23</v>
          </cell>
        </row>
        <row r="23">
          <cell r="B23" t="str">
            <v>L7</v>
          </cell>
          <cell r="C23" t="str">
            <v>nghæ saùng T2, chieàu 3,5,6</v>
          </cell>
          <cell r="D23" t="str">
            <v>QUÍ</v>
          </cell>
          <cell r="E23">
            <v>24</v>
          </cell>
        </row>
        <row r="24">
          <cell r="B24" t="str">
            <v>L4</v>
          </cell>
          <cell r="C24" t="str">
            <v>nghæ T3, T6</v>
          </cell>
          <cell r="D24" t="str">
            <v>TUYEÁT</v>
          </cell>
          <cell r="E24">
            <v>22</v>
          </cell>
        </row>
        <row r="25">
          <cell r="B25" t="str">
            <v>L3</v>
          </cell>
          <cell r="C25" t="str">
            <v>nghæ saùng 4,6,7, chieàu thöù 4</v>
          </cell>
          <cell r="D25" t="str">
            <v>XUAÂN</v>
          </cell>
          <cell r="E25">
            <v>19</v>
          </cell>
        </row>
        <row r="26">
          <cell r="B26" t="str">
            <v>L9</v>
          </cell>
          <cell r="C26" t="str">
            <v>Nghæ saùng 7 vaø saùng T2</v>
          </cell>
          <cell r="D26" t="str">
            <v>QUANG</v>
          </cell>
          <cell r="E26">
            <v>20</v>
          </cell>
        </row>
        <row r="27">
          <cell r="B27" t="str">
            <v>L8</v>
          </cell>
          <cell r="D27" t="str">
            <v>HOAØNG</v>
          </cell>
          <cell r="E27">
            <v>19</v>
          </cell>
        </row>
        <row r="28">
          <cell r="B28" t="str">
            <v>L10</v>
          </cell>
          <cell r="C28" t="str">
            <v>nghæ T7</v>
          </cell>
          <cell r="D28" t="str">
            <v>THUYÙ</v>
          </cell>
          <cell r="E28">
            <v>22</v>
          </cell>
        </row>
        <row r="29">
          <cell r="B29" t="str">
            <v>M1</v>
          </cell>
          <cell r="D29" t="str">
            <v>DIEÄM</v>
          </cell>
          <cell r="E29">
            <v>16</v>
          </cell>
        </row>
        <row r="30">
          <cell r="B30" t="str">
            <v>M2</v>
          </cell>
          <cell r="D30" t="str">
            <v>PHUÙC</v>
          </cell>
          <cell r="E30">
            <v>22</v>
          </cell>
        </row>
        <row r="31">
          <cell r="B31" t="str">
            <v>M3</v>
          </cell>
          <cell r="D31" t="str">
            <v>XUAÂN</v>
          </cell>
          <cell r="E31">
            <v>18</v>
          </cell>
        </row>
        <row r="32">
          <cell r="B32" t="str">
            <v>H4</v>
          </cell>
          <cell r="D32" t="str">
            <v>HUY</v>
          </cell>
          <cell r="E32">
            <v>28</v>
          </cell>
        </row>
        <row r="33">
          <cell r="B33" t="str">
            <v>H10</v>
          </cell>
          <cell r="C33" t="str">
            <v>BGH</v>
          </cell>
          <cell r="D33" t="str">
            <v>HAÏNH</v>
          </cell>
          <cell r="E33">
            <v>2</v>
          </cell>
        </row>
        <row r="34">
          <cell r="B34" t="str">
            <v>H3</v>
          </cell>
          <cell r="C34" t="str">
            <v>khoâng xeáp T2, chieàu 3</v>
          </cell>
          <cell r="D34" t="str">
            <v>HOÄI</v>
          </cell>
          <cell r="E34">
            <v>32</v>
          </cell>
        </row>
        <row r="35">
          <cell r="B35" t="str">
            <v>H5</v>
          </cell>
          <cell r="D35" t="str">
            <v>HOÀNG</v>
          </cell>
          <cell r="E35">
            <v>12</v>
          </cell>
        </row>
        <row r="36">
          <cell r="B36" t="str">
            <v>H7</v>
          </cell>
          <cell r="C36" t="str">
            <v>xeáp caùc buoåi saùng , chieàu T4</v>
          </cell>
          <cell r="D36" t="str">
            <v>PHÖÔNG</v>
          </cell>
          <cell r="E36">
            <v>28</v>
          </cell>
        </row>
        <row r="37">
          <cell r="B37" t="str">
            <v>H6</v>
          </cell>
          <cell r="C37" t="str">
            <v>nghæ saùng 3,4,5,6</v>
          </cell>
          <cell r="D37" t="str">
            <v>MINH</v>
          </cell>
          <cell r="E37">
            <v>28</v>
          </cell>
        </row>
        <row r="38">
          <cell r="B38" t="str">
            <v>H8</v>
          </cell>
          <cell r="C38" t="str">
            <v>khoâng T3, saùng T7</v>
          </cell>
          <cell r="D38" t="str">
            <v>VAÂN</v>
          </cell>
          <cell r="E38">
            <v>28</v>
          </cell>
        </row>
        <row r="39">
          <cell r="B39" t="str">
            <v>H9</v>
          </cell>
          <cell r="C39" t="str">
            <v>nghæ chieàu 2,6</v>
          </cell>
          <cell r="D39" t="str">
            <v>DIEÁN</v>
          </cell>
          <cell r="E39">
            <v>24</v>
          </cell>
        </row>
        <row r="40">
          <cell r="B40" t="str">
            <v>H1</v>
          </cell>
          <cell r="C40" t="str">
            <v>xeáp caû ngaøy 5,6, chieàu 3,4</v>
          </cell>
          <cell r="D40" t="str">
            <v>THUNG</v>
          </cell>
          <cell r="E40">
            <v>20</v>
          </cell>
        </row>
        <row r="41">
          <cell r="D41" t="str">
            <v>THAØNH</v>
          </cell>
          <cell r="E41">
            <v>0</v>
          </cell>
        </row>
        <row r="42">
          <cell r="B42" t="str">
            <v>E1</v>
          </cell>
          <cell r="C42" t="str">
            <v>khoâng tieát 5 chieàu 2,4,6</v>
          </cell>
          <cell r="D42" t="str">
            <v>HAÛI</v>
          </cell>
          <cell r="E42">
            <v>34</v>
          </cell>
        </row>
        <row r="43">
          <cell r="B43" t="str">
            <v>E6</v>
          </cell>
          <cell r="C43" t="str">
            <v>Xeáp goïn</v>
          </cell>
          <cell r="D43" t="str">
            <v>T. TUÙ</v>
          </cell>
          <cell r="E43">
            <v>25</v>
          </cell>
        </row>
        <row r="44">
          <cell r="B44" t="str">
            <v>E5</v>
          </cell>
          <cell r="C44" t="str">
            <v>traùnh tieát 5 buoåi chieàu</v>
          </cell>
          <cell r="D44" t="str">
            <v>ANH</v>
          </cell>
          <cell r="E44">
            <v>19</v>
          </cell>
        </row>
        <row r="45">
          <cell r="B45" t="str">
            <v>E4</v>
          </cell>
          <cell r="C45" t="str">
            <v>saùng 2,3,4,5, chieàu 2,4</v>
          </cell>
          <cell r="D45" t="str">
            <v>NGA</v>
          </cell>
          <cell r="E45">
            <v>16</v>
          </cell>
        </row>
        <row r="46">
          <cell r="B46" t="str">
            <v>C11</v>
          </cell>
          <cell r="D46" t="str">
            <v>QUOÁC</v>
          </cell>
          <cell r="E46">
            <v>32</v>
          </cell>
        </row>
        <row r="47">
          <cell r="B47" t="str">
            <v>N2</v>
          </cell>
          <cell r="D47" t="str">
            <v>TUAÁN</v>
          </cell>
          <cell r="E47">
            <v>28</v>
          </cell>
        </row>
        <row r="48">
          <cell r="B48" t="str">
            <v>N6</v>
          </cell>
          <cell r="C48" t="str">
            <v>Nhaø xa</v>
          </cell>
          <cell r="D48" t="str">
            <v>DUYEÂN</v>
          </cell>
          <cell r="E48">
            <v>8</v>
          </cell>
        </row>
        <row r="49">
          <cell r="B49" t="str">
            <v>N1</v>
          </cell>
          <cell r="D49" t="str">
            <v>ÑAÏT</v>
          </cell>
          <cell r="E49">
            <v>8</v>
          </cell>
        </row>
        <row r="50">
          <cell r="B50" t="str">
            <v>N5</v>
          </cell>
          <cell r="D50" t="str">
            <v>ANH</v>
          </cell>
          <cell r="E50">
            <v>6</v>
          </cell>
        </row>
        <row r="51">
          <cell r="B51" t="str">
            <v>N4</v>
          </cell>
          <cell r="D51" t="str">
            <v>NGA</v>
          </cell>
          <cell r="E51">
            <v>6</v>
          </cell>
        </row>
        <row r="52">
          <cell r="B52" t="str">
            <v>U2</v>
          </cell>
          <cell r="D52" t="str">
            <v>HIEÄP</v>
          </cell>
          <cell r="E52">
            <v>22</v>
          </cell>
        </row>
        <row r="53">
          <cell r="B53" t="str">
            <v>U1</v>
          </cell>
          <cell r="D53" t="str">
            <v>LONG</v>
          </cell>
          <cell r="E53">
            <v>8</v>
          </cell>
        </row>
        <row r="54">
          <cell r="B54" t="str">
            <v>U4</v>
          </cell>
          <cell r="D54" t="str">
            <v>PHÖÔÏNG</v>
          </cell>
          <cell r="E54">
            <v>36</v>
          </cell>
        </row>
        <row r="55">
          <cell r="B55" t="str">
            <v>U3</v>
          </cell>
          <cell r="D55" t="str">
            <v>TÖÏ</v>
          </cell>
          <cell r="E55">
            <v>14</v>
          </cell>
        </row>
        <row r="56">
          <cell r="B56" t="str">
            <v>U6</v>
          </cell>
          <cell r="C56" t="str">
            <v>tröïc thö vieän t3,7</v>
          </cell>
          <cell r="D56" t="str">
            <v>THANH</v>
          </cell>
          <cell r="E56">
            <v>8</v>
          </cell>
        </row>
        <row r="57">
          <cell r="B57" t="str">
            <v>U7</v>
          </cell>
          <cell r="D57" t="str">
            <v>HAÛI</v>
          </cell>
          <cell r="E57">
            <v>12</v>
          </cell>
        </row>
        <row r="58">
          <cell r="B58" t="str">
            <v>Q1</v>
          </cell>
          <cell r="D58" t="str">
            <v>HIEÄP</v>
          </cell>
          <cell r="E58">
            <v>14</v>
          </cell>
        </row>
        <row r="59">
          <cell r="B59" t="str">
            <v>Q2</v>
          </cell>
          <cell r="D59" t="str">
            <v>HAÛI</v>
          </cell>
          <cell r="E59">
            <v>6</v>
          </cell>
        </row>
        <row r="60">
          <cell r="B60" t="str">
            <v>Q3</v>
          </cell>
          <cell r="D60" t="str">
            <v>TÖÏ</v>
          </cell>
          <cell r="E60">
            <v>4</v>
          </cell>
        </row>
        <row r="61">
          <cell r="B61" t="str">
            <v>Q4</v>
          </cell>
          <cell r="D61" t="str">
            <v>VÓNH</v>
          </cell>
          <cell r="E61">
            <v>14</v>
          </cell>
        </row>
        <row r="62">
          <cell r="B62" t="str">
            <v>V2</v>
          </cell>
          <cell r="C62" t="str">
            <v>caû ngaøy 2,5,6, saùng 3,7</v>
          </cell>
          <cell r="D62" t="str">
            <v>XUAÂN</v>
          </cell>
          <cell r="E62">
            <v>29</v>
          </cell>
        </row>
        <row r="63">
          <cell r="B63" t="str">
            <v>V6</v>
          </cell>
          <cell r="C63" t="str">
            <v>nghæ saùng T2, chieàu 4,5</v>
          </cell>
          <cell r="D63" t="str">
            <v>ÑÖÙC</v>
          </cell>
          <cell r="E63">
            <v>28</v>
          </cell>
        </row>
        <row r="64">
          <cell r="B64" t="str">
            <v>V7</v>
          </cell>
          <cell r="C64" t="str">
            <v>Traùnh T2, T7</v>
          </cell>
          <cell r="D64" t="str">
            <v>LÖÔNG</v>
          </cell>
          <cell r="E64">
            <v>24</v>
          </cell>
        </row>
        <row r="65">
          <cell r="B65" t="str">
            <v>V8</v>
          </cell>
          <cell r="C65" t="str">
            <v>Xeáp goïn</v>
          </cell>
          <cell r="D65" t="str">
            <v>YEÁN</v>
          </cell>
          <cell r="E65">
            <v>16</v>
          </cell>
        </row>
        <row r="66">
          <cell r="B66" t="str">
            <v>V5</v>
          </cell>
          <cell r="C66" t="str">
            <v>traùnh tieát 1 saùng 3,5_ xeáp 3,5,7</v>
          </cell>
          <cell r="D66" t="str">
            <v>SAÂM</v>
          </cell>
          <cell r="E66">
            <v>12</v>
          </cell>
        </row>
        <row r="67">
          <cell r="B67" t="str">
            <v>V3</v>
          </cell>
          <cell r="C67" t="str">
            <v>saùng 3,6,7 _Chieàu 4,5,6</v>
          </cell>
          <cell r="D67" t="str">
            <v>DÓNH</v>
          </cell>
          <cell r="E67">
            <v>0</v>
          </cell>
        </row>
        <row r="68">
          <cell r="B68" t="str">
            <v>V10</v>
          </cell>
          <cell r="D68" t="str">
            <v>THÖ</v>
          </cell>
          <cell r="E68">
            <v>16</v>
          </cell>
        </row>
        <row r="69">
          <cell r="B69" t="str">
            <v>V4</v>
          </cell>
          <cell r="C69" t="str">
            <v>saùng 5,6, chieàu 2,5,6</v>
          </cell>
          <cell r="D69" t="str">
            <v>LOAN</v>
          </cell>
          <cell r="E69">
            <v>19</v>
          </cell>
        </row>
        <row r="70">
          <cell r="B70" t="str">
            <v>V12</v>
          </cell>
          <cell r="D70" t="str">
            <v>QUEÁ</v>
          </cell>
          <cell r="E70">
            <v>0</v>
          </cell>
        </row>
        <row r="71">
          <cell r="B71" t="str">
            <v>V11</v>
          </cell>
          <cell r="C71" t="str">
            <v>xeáp caû ngaøy</v>
          </cell>
          <cell r="D71" t="str">
            <v>KHOA</v>
          </cell>
          <cell r="E71">
            <v>28</v>
          </cell>
        </row>
        <row r="72">
          <cell r="B72" t="str">
            <v>V9</v>
          </cell>
          <cell r="C72" t="str">
            <v>Xeáp goïn, nghæ T4, ít tieát T7</v>
          </cell>
          <cell r="D72" t="str">
            <v>UYEÂN</v>
          </cell>
          <cell r="E72">
            <v>16</v>
          </cell>
        </row>
        <row r="73">
          <cell r="B73" t="str">
            <v>V1</v>
          </cell>
          <cell r="C73" t="str">
            <v>Nhaø xa</v>
          </cell>
          <cell r="D73" t="str">
            <v>SÔN</v>
          </cell>
          <cell r="E73">
            <v>24</v>
          </cell>
        </row>
        <row r="74">
          <cell r="B74" t="str">
            <v>S2</v>
          </cell>
          <cell r="C74" t="str">
            <v>chieàu 3,5,7, traùnh tieát 5 chieàu</v>
          </cell>
          <cell r="D74" t="str">
            <v>HAØ</v>
          </cell>
          <cell r="E74">
            <v>39</v>
          </cell>
        </row>
        <row r="75">
          <cell r="B75" t="str">
            <v>S1</v>
          </cell>
          <cell r="C75" t="str">
            <v>nghæ T3, T6</v>
          </cell>
          <cell r="D75" t="str">
            <v>LAØI</v>
          </cell>
          <cell r="E75">
            <v>35</v>
          </cell>
        </row>
        <row r="76">
          <cell r="B76" t="str">
            <v>S5</v>
          </cell>
          <cell r="C76" t="str">
            <v>xeáp 5,6, saùng 7</v>
          </cell>
          <cell r="D76" t="str">
            <v>THUÏY</v>
          </cell>
          <cell r="E76">
            <v>18</v>
          </cell>
        </row>
        <row r="77">
          <cell r="B77" t="str">
            <v>G2</v>
          </cell>
          <cell r="C77" t="str">
            <v>khoâng xeáp saùng 3, chieàu 2,ngaøy 7</v>
          </cell>
          <cell r="D77" t="str">
            <v>PHÖÔNG</v>
          </cell>
          <cell r="E77">
            <v>26</v>
          </cell>
        </row>
        <row r="78">
          <cell r="B78" t="str">
            <v>G3</v>
          </cell>
          <cell r="C78" t="str">
            <v>khoâng xeáp saùng 3,7</v>
          </cell>
          <cell r="D78" t="str">
            <v>ÑAØO</v>
          </cell>
          <cell r="E78">
            <v>24</v>
          </cell>
        </row>
        <row r="79">
          <cell r="B79" t="str">
            <v>G1</v>
          </cell>
          <cell r="D79" t="str">
            <v>VAÂN</v>
          </cell>
          <cell r="E79">
            <v>0</v>
          </cell>
        </row>
        <row r="80">
          <cell r="B80" t="str">
            <v>D2</v>
          </cell>
          <cell r="C80" t="str">
            <v>Saùng 2,7, chieàu 4,6</v>
          </cell>
          <cell r="D80" t="str">
            <v>D. QUANG</v>
          </cell>
          <cell r="E80">
            <v>26</v>
          </cell>
        </row>
        <row r="81">
          <cell r="B81" t="str">
            <v>D1</v>
          </cell>
          <cell r="C81" t="str">
            <v>ngaøy 4,5, saùng 6, chieàu 3</v>
          </cell>
          <cell r="D81" t="str">
            <v>Q.HIEÄP</v>
          </cell>
          <cell r="E81">
            <v>20</v>
          </cell>
        </row>
        <row r="82">
          <cell r="B82" t="str">
            <v>D3</v>
          </cell>
          <cell r="C82" t="str">
            <v>saùng 2,4,5,6, chieàu 3,4,6</v>
          </cell>
          <cell r="D82" t="str">
            <v>MINH</v>
          </cell>
          <cell r="E82">
            <v>16</v>
          </cell>
        </row>
        <row r="83">
          <cell r="B83" t="str">
            <v>A11</v>
          </cell>
          <cell r="D83" t="str">
            <v>ÑIEÀN</v>
          </cell>
          <cell r="E83">
            <v>0</v>
          </cell>
        </row>
        <row r="84">
          <cell r="B84" t="str">
            <v>A2</v>
          </cell>
          <cell r="D84" t="str">
            <v>DÖÔNG</v>
          </cell>
          <cell r="E84">
            <v>12</v>
          </cell>
        </row>
        <row r="85">
          <cell r="B85" t="str">
            <v>A9</v>
          </cell>
          <cell r="D85" t="str">
            <v>HOAØ</v>
          </cell>
          <cell r="E85">
            <v>41</v>
          </cell>
        </row>
        <row r="86">
          <cell r="B86" t="str">
            <v>A14</v>
          </cell>
          <cell r="D86" t="str">
            <v>ÑÒNH</v>
          </cell>
          <cell r="E86">
            <v>15</v>
          </cell>
        </row>
        <row r="87">
          <cell r="B87" t="str">
            <v>A4</v>
          </cell>
          <cell r="D87" t="str">
            <v>VIEÂN</v>
          </cell>
          <cell r="E87">
            <v>29</v>
          </cell>
        </row>
        <row r="88">
          <cell r="B88" t="str">
            <v>A10</v>
          </cell>
          <cell r="C88" t="str">
            <v>khoâng xeáp saùng 2, caû ngaøy thöù 7</v>
          </cell>
          <cell r="D88" t="str">
            <v>PHUÏNG</v>
          </cell>
          <cell r="E88">
            <v>20</v>
          </cell>
        </row>
        <row r="89">
          <cell r="B89" t="str">
            <v>A3</v>
          </cell>
          <cell r="D89" t="str">
            <v>HUØNG</v>
          </cell>
          <cell r="E89">
            <v>43</v>
          </cell>
        </row>
        <row r="90">
          <cell r="B90" t="str">
            <v>A1</v>
          </cell>
          <cell r="C90" t="str">
            <v>khoâng xeáp saùng T7</v>
          </cell>
          <cell r="D90" t="str">
            <v>CHAÁT</v>
          </cell>
          <cell r="E90">
            <v>33</v>
          </cell>
        </row>
        <row r="91">
          <cell r="B91" t="str">
            <v>A8</v>
          </cell>
          <cell r="D91" t="str">
            <v>THAÙI</v>
          </cell>
          <cell r="E91">
            <v>18</v>
          </cell>
        </row>
        <row r="92">
          <cell r="B92" t="str">
            <v>A5</v>
          </cell>
          <cell r="C92" t="str">
            <v>saùng vaø chieàu 3,5</v>
          </cell>
          <cell r="D92" t="str">
            <v>THY</v>
          </cell>
          <cell r="E92">
            <v>23</v>
          </cell>
        </row>
        <row r="93">
          <cell r="B93" t="str">
            <v>NG5</v>
          </cell>
          <cell r="D93" t="str">
            <v>VAÂN</v>
          </cell>
          <cell r="E93">
            <v>12</v>
          </cell>
        </row>
        <row r="94">
          <cell r="B94" t="str">
            <v>NG4</v>
          </cell>
          <cell r="D94" t="str">
            <v>TUAÁN</v>
          </cell>
          <cell r="E94">
            <v>18</v>
          </cell>
        </row>
        <row r="95">
          <cell r="B95" t="str">
            <v>NG1</v>
          </cell>
          <cell r="D95" t="str">
            <v>DIEÄM</v>
          </cell>
          <cell r="E95">
            <v>6</v>
          </cell>
        </row>
        <row r="96">
          <cell r="B96" t="str">
            <v>NG2</v>
          </cell>
          <cell r="D96" t="str">
            <v>PHUÙC</v>
          </cell>
          <cell r="E96">
            <v>6</v>
          </cell>
        </row>
        <row r="97">
          <cell r="B97" t="str">
            <v>NG3</v>
          </cell>
          <cell r="D97" t="str">
            <v>XUAÂN</v>
          </cell>
          <cell r="E97">
            <v>6</v>
          </cell>
        </row>
        <row r="98">
          <cell r="B98" t="str">
            <v>NG6</v>
          </cell>
          <cell r="D98" t="str">
            <v>DUYEÂN</v>
          </cell>
          <cell r="E98">
            <v>12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3DBB-DC0B-4BF4-8C15-0F4CF537F61E}">
  <dimension ref="A1:EI93"/>
  <sheetViews>
    <sheetView tabSelected="1" topLeftCell="A43" zoomScale="80" zoomScaleNormal="80" workbookViewId="0">
      <selection activeCell="V32" sqref="V32"/>
    </sheetView>
  </sheetViews>
  <sheetFormatPr defaultColWidth="7.5" defaultRowHeight="15.75" customHeight="1" x14ac:dyDescent="0.2"/>
  <cols>
    <col min="1" max="2" width="6" style="2" customWidth="1"/>
    <col min="3" max="4" width="8.5" style="3" customWidth="1"/>
    <col min="5" max="5" width="10.25" style="3" customWidth="1"/>
    <col min="6" max="10" width="8.5" style="3" customWidth="1"/>
    <col min="11" max="11" width="9.875" style="3" customWidth="1"/>
    <col min="12" max="14" width="8.5" style="3" customWidth="1"/>
    <col min="15" max="15" width="9.5" style="3" customWidth="1"/>
    <col min="16" max="17" width="8.5" style="3" customWidth="1"/>
    <col min="18" max="21" width="8.5" style="3" hidden="1" customWidth="1"/>
    <col min="22" max="29" width="8.5" style="3" customWidth="1"/>
    <col min="30" max="30" width="9.5" style="3" customWidth="1"/>
    <col min="31" max="31" width="8.25" style="3" customWidth="1"/>
    <col min="32" max="33" width="8.5" style="3" customWidth="1"/>
    <col min="34" max="34" width="8.25" style="3" customWidth="1"/>
    <col min="35" max="35" width="8.5" style="3" customWidth="1"/>
    <col min="36" max="36" width="7.5" style="3" hidden="1" customWidth="1"/>
    <col min="37" max="37" width="9.5" style="3" hidden="1" customWidth="1"/>
    <col min="38" max="38" width="8" style="3" hidden="1" customWidth="1"/>
    <col min="39" max="39" width="7.5" style="3" customWidth="1"/>
    <col min="40" max="40" width="8.25" style="3" customWidth="1"/>
    <col min="41" max="41" width="9" style="3" customWidth="1"/>
    <col min="42" max="42" width="6.875" style="3" customWidth="1"/>
    <col min="43" max="43" width="7.5" style="3" customWidth="1"/>
    <col min="44" max="44" width="8.125" style="3" customWidth="1"/>
    <col min="45" max="45" width="8.5" style="3" customWidth="1"/>
    <col min="46" max="46" width="8" style="3" customWidth="1"/>
    <col min="47" max="47" width="7.5" style="3" customWidth="1"/>
    <col min="48" max="49" width="7.25" style="3" customWidth="1"/>
    <col min="50" max="50" width="7" style="3" customWidth="1"/>
    <col min="51" max="51" width="7.125" style="3" customWidth="1"/>
    <col min="52" max="52" width="8.5" style="3" customWidth="1"/>
    <col min="53" max="55" width="7.5" style="3" customWidth="1"/>
    <col min="56" max="56" width="6.5" style="3" customWidth="1"/>
    <col min="57" max="57" width="6.875" style="2" customWidth="1"/>
    <col min="58" max="58" width="7.625" style="2" customWidth="1"/>
    <col min="59" max="59" width="7.5" style="2" customWidth="1"/>
    <col min="60" max="73" width="7.5" style="2" hidden="1" customWidth="1"/>
    <col min="74" max="78" width="7.5" style="2" customWidth="1"/>
    <col min="79" max="16384" width="7.5" style="2"/>
  </cols>
  <sheetData>
    <row r="1" spans="1:139" ht="15.75" customHeight="1" x14ac:dyDescent="0.3">
      <c r="A1" s="1" t="str">
        <f>"THỜI KHÓA BIỂU BUỔI SÁNG ÁP DỤNG TỪ  "&amp;" "&amp;[1]DanhSach!$F$1</f>
        <v>THỜI KHÓA BIỂU BUỔI SÁNG ÁP DỤNG TỪ   12-10-2026</v>
      </c>
      <c r="CA1" s="4" t="s">
        <v>0</v>
      </c>
      <c r="CC1" s="2">
        <f>COUNTIF($CB$4:$EF$33,"X")</f>
        <v>0</v>
      </c>
    </row>
    <row r="2" spans="1:139" ht="15.75" customHeight="1" x14ac:dyDescent="0.2">
      <c r="A2" s="5"/>
      <c r="CA2" s="2">
        <f>COUNTIF(CB4:CB33,"X")</f>
        <v>0</v>
      </c>
      <c r="CC2" s="2">
        <f t="shared" ref="CC2:EF2" si="0">COUNTIF(CC4:CC33,"X")</f>
        <v>0</v>
      </c>
      <c r="CD2" s="2">
        <f t="shared" si="0"/>
        <v>0</v>
      </c>
      <c r="CE2" s="2">
        <f t="shared" si="0"/>
        <v>0</v>
      </c>
      <c r="CF2" s="2">
        <f t="shared" si="0"/>
        <v>0</v>
      </c>
      <c r="CG2" s="2">
        <f t="shared" si="0"/>
        <v>0</v>
      </c>
      <c r="CH2" s="2">
        <f t="shared" si="0"/>
        <v>0</v>
      </c>
      <c r="CI2" s="2">
        <f t="shared" si="0"/>
        <v>0</v>
      </c>
      <c r="CJ2" s="2">
        <f t="shared" si="0"/>
        <v>0</v>
      </c>
      <c r="CK2" s="2">
        <f t="shared" si="0"/>
        <v>0</v>
      </c>
      <c r="CL2" s="2">
        <f t="shared" si="0"/>
        <v>0</v>
      </c>
      <c r="CM2" s="2">
        <f t="shared" si="0"/>
        <v>0</v>
      </c>
      <c r="CN2" s="2">
        <f>COUNTIF(CN4:CN33,"X")</f>
        <v>0</v>
      </c>
      <c r="CO2" s="2">
        <f>COUNTIF(CO4:CO33,"X")</f>
        <v>0</v>
      </c>
      <c r="CP2" s="2">
        <f>COUNTIF(CP4:CP33,"X")</f>
        <v>0</v>
      </c>
      <c r="CQ2" s="2">
        <f>COUNTIF(CQ4:CQ33,"X")</f>
        <v>0</v>
      </c>
      <c r="CR2" s="2">
        <f>COUNTIF(CR4:CR33,"X")</f>
        <v>0</v>
      </c>
      <c r="CV2" s="2">
        <f t="shared" si="0"/>
        <v>0</v>
      </c>
      <c r="CW2" s="2">
        <f t="shared" si="0"/>
        <v>0</v>
      </c>
      <c r="CX2" s="2">
        <f t="shared" si="0"/>
        <v>0</v>
      </c>
      <c r="CY2" s="2">
        <f t="shared" si="0"/>
        <v>0</v>
      </c>
      <c r="CZ2" s="2">
        <f t="shared" si="0"/>
        <v>0</v>
      </c>
      <c r="DA2" s="2">
        <f t="shared" si="0"/>
        <v>0</v>
      </c>
      <c r="DB2" s="2">
        <f t="shared" si="0"/>
        <v>0</v>
      </c>
      <c r="DC2" s="2">
        <f t="shared" si="0"/>
        <v>0</v>
      </c>
      <c r="DD2" s="2">
        <f t="shared" si="0"/>
        <v>0</v>
      </c>
      <c r="DE2" s="2">
        <f t="shared" si="0"/>
        <v>0</v>
      </c>
      <c r="DF2" s="2">
        <f t="shared" si="0"/>
        <v>0</v>
      </c>
      <c r="DG2" s="2">
        <f t="shared" si="0"/>
        <v>0</v>
      </c>
      <c r="DH2" s="2">
        <f t="shared" si="0"/>
        <v>0</v>
      </c>
      <c r="DI2" s="2">
        <f t="shared" si="0"/>
        <v>0</v>
      </c>
      <c r="DJ2" s="2">
        <f t="shared" si="0"/>
        <v>0</v>
      </c>
      <c r="DK2" s="2">
        <f t="shared" si="0"/>
        <v>0</v>
      </c>
      <c r="DL2" s="2">
        <f t="shared" si="0"/>
        <v>0</v>
      </c>
      <c r="DM2" s="2">
        <f t="shared" si="0"/>
        <v>0</v>
      </c>
      <c r="DN2" s="2">
        <f t="shared" si="0"/>
        <v>0</v>
      </c>
      <c r="DO2" s="2">
        <f t="shared" si="0"/>
        <v>0</v>
      </c>
      <c r="DP2" s="2">
        <f t="shared" si="0"/>
        <v>0</v>
      </c>
      <c r="DQ2" s="2">
        <f t="shared" si="0"/>
        <v>0</v>
      </c>
      <c r="DR2" s="2">
        <f t="shared" si="0"/>
        <v>0</v>
      </c>
      <c r="DS2" s="2">
        <f t="shared" si="0"/>
        <v>0</v>
      </c>
      <c r="DT2" s="2">
        <f t="shared" si="0"/>
        <v>0</v>
      </c>
      <c r="DU2" s="2">
        <f t="shared" si="0"/>
        <v>0</v>
      </c>
      <c r="DV2" s="2">
        <f t="shared" si="0"/>
        <v>0</v>
      </c>
      <c r="DW2" s="2">
        <f t="shared" si="0"/>
        <v>0</v>
      </c>
      <c r="DX2" s="2">
        <f t="shared" si="0"/>
        <v>0</v>
      </c>
      <c r="DY2" s="2">
        <f t="shared" si="0"/>
        <v>0</v>
      </c>
      <c r="DZ2" s="2">
        <f t="shared" si="0"/>
        <v>0</v>
      </c>
      <c r="EA2" s="2">
        <f t="shared" si="0"/>
        <v>0</v>
      </c>
      <c r="EB2" s="2">
        <f t="shared" si="0"/>
        <v>0</v>
      </c>
      <c r="EC2" s="2">
        <f t="shared" si="0"/>
        <v>0</v>
      </c>
      <c r="ED2" s="2">
        <f t="shared" si="0"/>
        <v>0</v>
      </c>
      <c r="EE2" s="2">
        <f t="shared" si="0"/>
        <v>0</v>
      </c>
      <c r="EF2" s="2">
        <f t="shared" si="0"/>
        <v>0</v>
      </c>
    </row>
    <row r="3" spans="1:139" ht="15.75" customHeight="1" thickBot="1" x14ac:dyDescent="0.25">
      <c r="A3" s="6" t="s">
        <v>1</v>
      </c>
      <c r="B3" s="7" t="s">
        <v>2</v>
      </c>
      <c r="C3" s="6" t="s">
        <v>3</v>
      </c>
      <c r="D3" s="7" t="s">
        <v>4</v>
      </c>
      <c r="E3" s="6" t="s">
        <v>5</v>
      </c>
      <c r="F3" s="7" t="s">
        <v>6</v>
      </c>
      <c r="G3" s="6" t="s">
        <v>7</v>
      </c>
      <c r="H3" s="7" t="s">
        <v>8</v>
      </c>
      <c r="I3" s="6" t="s">
        <v>9</v>
      </c>
      <c r="J3" s="7" t="s">
        <v>10</v>
      </c>
      <c r="K3" s="6" t="s">
        <v>11</v>
      </c>
      <c r="L3" s="7" t="s">
        <v>12</v>
      </c>
      <c r="M3" s="6" t="s">
        <v>13</v>
      </c>
      <c r="N3" s="7" t="s">
        <v>14</v>
      </c>
      <c r="O3" s="6" t="s">
        <v>15</v>
      </c>
      <c r="P3" s="7" t="s">
        <v>16</v>
      </c>
      <c r="Q3" s="6" t="s">
        <v>17</v>
      </c>
      <c r="R3" s="8"/>
      <c r="S3" s="8"/>
      <c r="T3" s="8"/>
      <c r="U3" s="8"/>
      <c r="V3" s="9" t="s">
        <v>18</v>
      </c>
      <c r="W3" s="9" t="s">
        <v>19</v>
      </c>
      <c r="X3" s="9" t="s">
        <v>20</v>
      </c>
      <c r="Y3" s="9" t="s">
        <v>21</v>
      </c>
      <c r="Z3" s="9" t="s">
        <v>22</v>
      </c>
      <c r="AA3" s="9" t="s">
        <v>23</v>
      </c>
      <c r="AB3" s="9" t="s">
        <v>24</v>
      </c>
      <c r="AC3" s="9" t="s">
        <v>25</v>
      </c>
      <c r="AD3" s="9" t="s">
        <v>26</v>
      </c>
      <c r="AE3" s="9" t="s">
        <v>27</v>
      </c>
      <c r="AF3" s="9" t="s">
        <v>28</v>
      </c>
      <c r="AG3" s="9" t="s">
        <v>29</v>
      </c>
      <c r="AH3" s="9" t="s">
        <v>30</v>
      </c>
      <c r="AI3" s="9" t="s">
        <v>31</v>
      </c>
      <c r="AJ3" s="9" t="s">
        <v>32</v>
      </c>
      <c r="AK3" s="10" t="s">
        <v>33</v>
      </c>
      <c r="AL3" s="10" t="s">
        <v>34</v>
      </c>
      <c r="AM3" s="11" t="s">
        <v>35</v>
      </c>
      <c r="AN3" s="11" t="s">
        <v>36</v>
      </c>
      <c r="AO3" s="11" t="s">
        <v>37</v>
      </c>
      <c r="AP3" s="11" t="s">
        <v>38</v>
      </c>
      <c r="AQ3" s="11" t="s">
        <v>39</v>
      </c>
      <c r="AR3" s="11" t="s">
        <v>40</v>
      </c>
      <c r="AS3" s="11" t="s">
        <v>41</v>
      </c>
      <c r="AT3" s="11" t="s">
        <v>42</v>
      </c>
      <c r="AU3" s="11" t="s">
        <v>43</v>
      </c>
      <c r="AV3" s="11" t="s">
        <v>44</v>
      </c>
      <c r="AW3" s="11" t="s">
        <v>45</v>
      </c>
      <c r="AX3" s="11" t="s">
        <v>46</v>
      </c>
      <c r="AY3" s="11" t="s">
        <v>47</v>
      </c>
      <c r="AZ3" s="11" t="s">
        <v>48</v>
      </c>
      <c r="BA3" s="10" t="s">
        <v>49</v>
      </c>
      <c r="BB3" s="11" t="s">
        <v>50</v>
      </c>
      <c r="BC3" s="10" t="s">
        <v>51</v>
      </c>
      <c r="BD3" s="11" t="s">
        <v>52</v>
      </c>
      <c r="BE3" s="10" t="s">
        <v>53</v>
      </c>
      <c r="BF3" s="11" t="s">
        <v>54</v>
      </c>
      <c r="BG3" s="12" t="s">
        <v>55</v>
      </c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13"/>
      <c r="BW3" s="13"/>
      <c r="BX3" s="13"/>
      <c r="BY3" s="13"/>
      <c r="CB3" s="14" t="str">
        <f t="shared" ref="CB3:CR3" si="1">C3</f>
        <v>12A1</v>
      </c>
      <c r="CC3" s="14" t="str">
        <f t="shared" si="1"/>
        <v>12A2</v>
      </c>
      <c r="CD3" s="14" t="str">
        <f t="shared" si="1"/>
        <v>12A3</v>
      </c>
      <c r="CE3" s="14" t="str">
        <f t="shared" si="1"/>
        <v>12A4</v>
      </c>
      <c r="CF3" s="14" t="str">
        <f t="shared" si="1"/>
        <v>12A5</v>
      </c>
      <c r="CG3" s="14" t="str">
        <f t="shared" si="1"/>
        <v>12A6</v>
      </c>
      <c r="CH3" s="14" t="str">
        <f t="shared" si="1"/>
        <v>12A7</v>
      </c>
      <c r="CI3" s="14" t="str">
        <f t="shared" si="1"/>
        <v>12A8</v>
      </c>
      <c r="CJ3" s="14" t="str">
        <f t="shared" si="1"/>
        <v>12A9</v>
      </c>
      <c r="CK3" s="14" t="str">
        <f t="shared" si="1"/>
        <v>12A10</v>
      </c>
      <c r="CL3" s="14" t="str">
        <f t="shared" si="1"/>
        <v>12A11</v>
      </c>
      <c r="CM3" s="14" t="str">
        <f t="shared" si="1"/>
        <v>12A12</v>
      </c>
      <c r="CN3" s="14" t="str">
        <f t="shared" si="1"/>
        <v>12A13</v>
      </c>
      <c r="CO3" s="14" t="str">
        <f t="shared" si="1"/>
        <v>12A14</v>
      </c>
      <c r="CP3" s="14" t="str">
        <f t="shared" si="1"/>
        <v>12A15</v>
      </c>
      <c r="CQ3" s="14">
        <f t="shared" si="1"/>
        <v>0</v>
      </c>
      <c r="CR3" s="14">
        <f t="shared" si="1"/>
        <v>0</v>
      </c>
      <c r="CS3" s="14"/>
      <c r="CT3" s="14"/>
      <c r="CU3" s="14"/>
      <c r="CV3" s="14" t="s">
        <v>18</v>
      </c>
      <c r="CW3" s="14" t="s">
        <v>19</v>
      </c>
      <c r="CX3" s="14" t="s">
        <v>20</v>
      </c>
      <c r="CY3" s="14" t="s">
        <v>21</v>
      </c>
      <c r="CZ3" s="14" t="s">
        <v>22</v>
      </c>
      <c r="DA3" s="14" t="s">
        <v>23</v>
      </c>
      <c r="DB3" s="14" t="s">
        <v>24</v>
      </c>
      <c r="DC3" s="14" t="s">
        <v>25</v>
      </c>
      <c r="DD3" s="14" t="s">
        <v>26</v>
      </c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4" t="s">
        <v>56</v>
      </c>
      <c r="DN3" s="14" t="s">
        <v>57</v>
      </c>
      <c r="DO3" s="14" t="s">
        <v>58</v>
      </c>
      <c r="DP3" s="14" t="str">
        <f t="shared" ref="DP3:EI3" si="2">AN3</f>
        <v>10A2</v>
      </c>
      <c r="DQ3" s="14" t="str">
        <f t="shared" si="2"/>
        <v>10A3</v>
      </c>
      <c r="DR3" s="14" t="str">
        <f t="shared" si="2"/>
        <v>10A4</v>
      </c>
      <c r="DS3" s="14" t="str">
        <f t="shared" si="2"/>
        <v>10A5</v>
      </c>
      <c r="DT3" s="14" t="str">
        <f t="shared" si="2"/>
        <v>10A6</v>
      </c>
      <c r="DU3" s="14" t="str">
        <f t="shared" si="2"/>
        <v>10A7</v>
      </c>
      <c r="DV3" s="14" t="str">
        <f t="shared" si="2"/>
        <v>10A8</v>
      </c>
      <c r="DW3" s="14" t="str">
        <f t="shared" si="2"/>
        <v>10A9</v>
      </c>
      <c r="DX3" s="14" t="str">
        <f t="shared" si="2"/>
        <v>10A10</v>
      </c>
      <c r="DY3" s="14" t="str">
        <f t="shared" si="2"/>
        <v>10A11</v>
      </c>
      <c r="DZ3" s="14" t="str">
        <f t="shared" si="2"/>
        <v>10A12</v>
      </c>
      <c r="EA3" s="14" t="str">
        <f t="shared" si="2"/>
        <v>10A13</v>
      </c>
      <c r="EB3" s="14" t="str">
        <f t="shared" si="2"/>
        <v>10A14</v>
      </c>
      <c r="EC3" s="14" t="str">
        <f t="shared" si="2"/>
        <v>10A15</v>
      </c>
      <c r="ED3" s="14" t="str">
        <f t="shared" si="2"/>
        <v>10A16</v>
      </c>
      <c r="EE3" s="14" t="str">
        <f t="shared" si="2"/>
        <v>10A17</v>
      </c>
      <c r="EF3" s="14" t="str">
        <f t="shared" si="2"/>
        <v>10A18</v>
      </c>
      <c r="EG3" s="14" t="str">
        <f t="shared" si="2"/>
        <v>10A19</v>
      </c>
      <c r="EH3" s="14" t="str">
        <f t="shared" si="2"/>
        <v>10A20</v>
      </c>
      <c r="EI3" s="14" t="str">
        <f t="shared" si="2"/>
        <v>10A21</v>
      </c>
    </row>
    <row r="4" spans="1:139" s="21" customFormat="1" ht="15.75" customHeight="1" thickBot="1" x14ac:dyDescent="0.25">
      <c r="A4" s="26" t="s">
        <v>59</v>
      </c>
      <c r="B4" s="16">
        <f>IF(CA4&gt;0,0,1)</f>
        <v>1</v>
      </c>
      <c r="C4" s="17" t="s">
        <v>60</v>
      </c>
      <c r="D4" s="17" t="s">
        <v>61</v>
      </c>
      <c r="E4" s="17" t="s">
        <v>62</v>
      </c>
      <c r="F4" s="17" t="s">
        <v>63</v>
      </c>
      <c r="G4" s="17" t="s">
        <v>64</v>
      </c>
      <c r="H4" s="17" t="s">
        <v>65</v>
      </c>
      <c r="I4" s="17" t="s">
        <v>66</v>
      </c>
      <c r="J4" s="17" t="s">
        <v>67</v>
      </c>
      <c r="K4" s="17" t="s">
        <v>68</v>
      </c>
      <c r="L4" s="17" t="s">
        <v>69</v>
      </c>
      <c r="M4" s="17" t="s">
        <v>70</v>
      </c>
      <c r="N4" s="17" t="s">
        <v>71</v>
      </c>
      <c r="O4" s="17" t="s">
        <v>72</v>
      </c>
      <c r="P4" s="17" t="s">
        <v>73</v>
      </c>
      <c r="Q4" s="17" t="s">
        <v>74</v>
      </c>
      <c r="R4" s="17"/>
      <c r="S4" s="17"/>
      <c r="T4" s="17"/>
      <c r="U4" s="17"/>
      <c r="V4" s="18" t="s">
        <v>75</v>
      </c>
      <c r="W4" s="18" t="s">
        <v>76</v>
      </c>
      <c r="X4" s="18" t="s">
        <v>77</v>
      </c>
      <c r="Y4" s="18" t="s">
        <v>78</v>
      </c>
      <c r="Z4" s="18" t="s">
        <v>79</v>
      </c>
      <c r="AA4" s="18" t="s">
        <v>80</v>
      </c>
      <c r="AB4" s="18" t="s">
        <v>81</v>
      </c>
      <c r="AC4" s="18" t="s">
        <v>82</v>
      </c>
      <c r="AD4" s="18" t="s">
        <v>83</v>
      </c>
      <c r="AE4" s="18" t="s">
        <v>84</v>
      </c>
      <c r="AF4" s="18" t="s">
        <v>85</v>
      </c>
      <c r="AG4" s="18" t="s">
        <v>86</v>
      </c>
      <c r="AH4" s="18" t="s">
        <v>87</v>
      </c>
      <c r="AI4" s="18" t="s">
        <v>88</v>
      </c>
      <c r="AJ4" s="18"/>
      <c r="AK4" s="18"/>
      <c r="AL4" s="18"/>
      <c r="AM4" s="18" t="s">
        <v>89</v>
      </c>
      <c r="AN4" s="18" t="s">
        <v>90</v>
      </c>
      <c r="AO4" s="18" t="s">
        <v>91</v>
      </c>
      <c r="AP4" s="18" t="s">
        <v>92</v>
      </c>
      <c r="AQ4" s="18" t="s">
        <v>93</v>
      </c>
      <c r="AR4" s="18" t="s">
        <v>94</v>
      </c>
      <c r="AS4" s="18" t="s">
        <v>95</v>
      </c>
      <c r="AT4" s="18" t="s">
        <v>96</v>
      </c>
      <c r="AU4" s="18" t="s">
        <v>97</v>
      </c>
      <c r="AV4" s="18" t="s">
        <v>98</v>
      </c>
      <c r="AW4" s="18" t="s">
        <v>99</v>
      </c>
      <c r="AX4" s="18" t="s">
        <v>100</v>
      </c>
      <c r="AY4" s="18" t="s">
        <v>101</v>
      </c>
      <c r="AZ4" s="18" t="s">
        <v>102</v>
      </c>
      <c r="BA4" s="18" t="s">
        <v>103</v>
      </c>
      <c r="BB4" s="18" t="s">
        <v>104</v>
      </c>
      <c r="BC4" s="18" t="s">
        <v>105</v>
      </c>
      <c r="BD4" s="18" t="s">
        <v>106</v>
      </c>
      <c r="BE4" s="18" t="s">
        <v>107</v>
      </c>
      <c r="BF4" s="18" t="s">
        <v>108</v>
      </c>
      <c r="BG4" s="18" t="s">
        <v>109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20"/>
      <c r="BW4" s="20"/>
      <c r="BX4" s="20"/>
      <c r="BY4" s="20"/>
      <c r="CA4" s="21">
        <f t="shared" ref="CA4:CA33" si="3">COUNTIF(CB4:EI4,"X")</f>
        <v>0</v>
      </c>
      <c r="CB4" s="21">
        <f t="shared" ref="CB4:CQ19" si="4">IF(COUNTIF($C4:$BG4,C4)&gt;1,"X",0)</f>
        <v>0</v>
      </c>
      <c r="CC4" s="21">
        <f t="shared" si="4"/>
        <v>0</v>
      </c>
      <c r="CD4" s="21">
        <f t="shared" si="4"/>
        <v>0</v>
      </c>
      <c r="CE4" s="21">
        <f t="shared" si="4"/>
        <v>0</v>
      </c>
      <c r="CF4" s="21">
        <f t="shared" si="4"/>
        <v>0</v>
      </c>
      <c r="CG4" s="21">
        <f t="shared" si="4"/>
        <v>0</v>
      </c>
      <c r="CH4" s="21">
        <f t="shared" si="4"/>
        <v>0</v>
      </c>
      <c r="CI4" s="21">
        <f t="shared" si="4"/>
        <v>0</v>
      </c>
      <c r="CJ4" s="21">
        <f t="shared" si="4"/>
        <v>0</v>
      </c>
      <c r="CK4" s="21">
        <f t="shared" si="4"/>
        <v>0</v>
      </c>
      <c r="CL4" s="21">
        <f t="shared" si="4"/>
        <v>0</v>
      </c>
      <c r="CM4" s="21">
        <f t="shared" si="4"/>
        <v>0</v>
      </c>
      <c r="CN4" s="21">
        <f t="shared" si="4"/>
        <v>0</v>
      </c>
      <c r="CO4" s="21">
        <f t="shared" si="4"/>
        <v>0</v>
      </c>
      <c r="CP4" s="21">
        <f t="shared" si="4"/>
        <v>0</v>
      </c>
      <c r="CQ4" s="21">
        <f t="shared" si="4"/>
        <v>0</v>
      </c>
      <c r="CR4" s="21">
        <f t="shared" ref="CR4:CR33" si="5">IF(COUNTIF($C4:$BG4,S4)&gt;1,"X",0)</f>
        <v>0</v>
      </c>
      <c r="CV4" s="21">
        <f t="shared" ref="CV4:DK20" si="6">IF(COUNTIF($C4:$BG4,R4)&gt;1,"X",0)</f>
        <v>0</v>
      </c>
      <c r="CW4" s="21">
        <f t="shared" ref="CW4:DK4" si="7">IF(COUNTIF($C4:$BG4,X4)&gt;1,"X",0)</f>
        <v>0</v>
      </c>
      <c r="CX4" s="21">
        <f t="shared" si="7"/>
        <v>0</v>
      </c>
      <c r="CY4" s="21">
        <f t="shared" si="7"/>
        <v>0</v>
      </c>
      <c r="CZ4" s="21">
        <f t="shared" si="7"/>
        <v>0</v>
      </c>
      <c r="DA4" s="21">
        <f t="shared" si="7"/>
        <v>0</v>
      </c>
      <c r="DB4" s="21">
        <f t="shared" si="7"/>
        <v>0</v>
      </c>
      <c r="DC4" s="21">
        <f t="shared" si="7"/>
        <v>0</v>
      </c>
      <c r="DD4" s="21">
        <f t="shared" si="7"/>
        <v>0</v>
      </c>
      <c r="DE4" s="21">
        <f t="shared" si="7"/>
        <v>0</v>
      </c>
      <c r="DF4" s="21">
        <f t="shared" si="7"/>
        <v>0</v>
      </c>
      <c r="DG4" s="21">
        <f t="shared" si="7"/>
        <v>0</v>
      </c>
      <c r="DH4" s="21">
        <f t="shared" si="7"/>
        <v>0</v>
      </c>
      <c r="DI4" s="21">
        <f t="shared" si="7"/>
        <v>0</v>
      </c>
      <c r="DJ4" s="21">
        <f t="shared" si="7"/>
        <v>0</v>
      </c>
      <c r="DK4" s="21">
        <f t="shared" si="7"/>
        <v>0</v>
      </c>
      <c r="DL4" s="21">
        <f>IF(COUNTIF($C4:$BG4,#REF!)&gt;1,"X",0)</f>
        <v>0</v>
      </c>
      <c r="DM4" s="21">
        <f>IF(COUNTIF($C4:$BG4,#REF!)&gt;1,"X",0)</f>
        <v>0</v>
      </c>
      <c r="DN4" s="21">
        <f>IF(COUNTIF(C4:BI4,AJ4)&gt;1,"X",0)</f>
        <v>0</v>
      </c>
      <c r="DO4" s="21">
        <f>IF(COUNTIF(D4:BZ4,AK4)&gt;1,"X",0)</f>
        <v>0</v>
      </c>
      <c r="DP4" s="21">
        <f t="shared" ref="DP4:DP16" si="8">IF(COUNTIF(C4:BI4,AN4)&gt;1,"X",0)</f>
        <v>0</v>
      </c>
      <c r="DQ4" s="21">
        <f t="shared" ref="DQ4:EI18" si="9">IF(COUNTIF($C4:$BG4,AO4)&gt;1,"X",0)</f>
        <v>0</v>
      </c>
      <c r="DR4" s="21">
        <f t="shared" si="9"/>
        <v>0</v>
      </c>
      <c r="DS4" s="21">
        <f t="shared" si="9"/>
        <v>0</v>
      </c>
      <c r="DT4" s="21">
        <f t="shared" si="9"/>
        <v>0</v>
      </c>
      <c r="DU4" s="21">
        <f t="shared" si="9"/>
        <v>0</v>
      </c>
      <c r="DV4" s="21">
        <f t="shared" si="9"/>
        <v>0</v>
      </c>
      <c r="DW4" s="21">
        <f t="shared" si="9"/>
        <v>0</v>
      </c>
      <c r="DX4" s="21">
        <f t="shared" si="9"/>
        <v>0</v>
      </c>
      <c r="DY4" s="21">
        <f t="shared" si="9"/>
        <v>0</v>
      </c>
      <c r="DZ4" s="21">
        <f t="shared" si="9"/>
        <v>0</v>
      </c>
      <c r="EA4" s="21">
        <f t="shared" si="9"/>
        <v>0</v>
      </c>
      <c r="EB4" s="21">
        <f t="shared" si="9"/>
        <v>0</v>
      </c>
      <c r="EC4" s="21">
        <f t="shared" si="9"/>
        <v>0</v>
      </c>
      <c r="ED4" s="21">
        <f t="shared" si="9"/>
        <v>0</v>
      </c>
      <c r="EE4" s="21">
        <f t="shared" si="9"/>
        <v>0</v>
      </c>
      <c r="EF4" s="21">
        <f t="shared" si="9"/>
        <v>0</v>
      </c>
      <c r="EG4" s="21">
        <f t="shared" si="9"/>
        <v>0</v>
      </c>
      <c r="EH4" s="21">
        <f t="shared" si="9"/>
        <v>0</v>
      </c>
      <c r="EI4" s="21">
        <f t="shared" si="9"/>
        <v>0</v>
      </c>
    </row>
    <row r="5" spans="1:139" s="21" customFormat="1" ht="15.75" customHeight="1" x14ac:dyDescent="0.2">
      <c r="A5" s="15"/>
      <c r="B5" s="22">
        <f>IF(CA5&gt;0,0,2)</f>
        <v>2</v>
      </c>
      <c r="C5" s="17" t="s">
        <v>110</v>
      </c>
      <c r="D5" s="17" t="s">
        <v>61</v>
      </c>
      <c r="E5" s="17" t="s">
        <v>111</v>
      </c>
      <c r="F5" s="17" t="s">
        <v>112</v>
      </c>
      <c r="G5" s="17" t="s">
        <v>113</v>
      </c>
      <c r="H5" s="17" t="s">
        <v>114</v>
      </c>
      <c r="I5" s="17" t="s">
        <v>115</v>
      </c>
      <c r="J5" s="17" t="s">
        <v>116</v>
      </c>
      <c r="K5" s="17" t="s">
        <v>117</v>
      </c>
      <c r="L5" s="17" t="s">
        <v>118</v>
      </c>
      <c r="M5" s="17" t="s">
        <v>119</v>
      </c>
      <c r="N5" s="17" t="s">
        <v>120</v>
      </c>
      <c r="O5" s="17" t="s">
        <v>121</v>
      </c>
      <c r="P5" s="17" t="s">
        <v>122</v>
      </c>
      <c r="Q5" s="17" t="s">
        <v>123</v>
      </c>
      <c r="R5" s="17"/>
      <c r="S5" s="17"/>
      <c r="T5" s="17"/>
      <c r="U5" s="17"/>
      <c r="V5" s="17" t="s">
        <v>124</v>
      </c>
      <c r="W5" s="17" t="s">
        <v>125</v>
      </c>
      <c r="X5" s="17" t="s">
        <v>126</v>
      </c>
      <c r="Y5" s="17" t="s">
        <v>127</v>
      </c>
      <c r="Z5" s="17" t="s">
        <v>128</v>
      </c>
      <c r="AA5" s="17" t="s">
        <v>129</v>
      </c>
      <c r="AB5" s="17" t="s">
        <v>130</v>
      </c>
      <c r="AC5" s="17" t="s">
        <v>131</v>
      </c>
      <c r="AD5" s="17" t="s">
        <v>132</v>
      </c>
      <c r="AE5" s="17" t="s">
        <v>133</v>
      </c>
      <c r="AF5" s="17" t="s">
        <v>134</v>
      </c>
      <c r="AG5" s="17" t="s">
        <v>135</v>
      </c>
      <c r="AH5" s="17" t="s">
        <v>136</v>
      </c>
      <c r="AI5" s="17" t="s">
        <v>137</v>
      </c>
      <c r="AJ5" s="17"/>
      <c r="AK5" s="17"/>
      <c r="AL5" s="17"/>
      <c r="AM5" s="17" t="s">
        <v>138</v>
      </c>
      <c r="AN5" s="17" t="s">
        <v>139</v>
      </c>
      <c r="AO5" s="17" t="s">
        <v>140</v>
      </c>
      <c r="AP5" s="17" t="s">
        <v>141</v>
      </c>
      <c r="AQ5" s="17" t="s">
        <v>142</v>
      </c>
      <c r="AR5" s="17" t="s">
        <v>143</v>
      </c>
      <c r="AS5" s="17" t="s">
        <v>144</v>
      </c>
      <c r="AT5" s="17" t="s">
        <v>145</v>
      </c>
      <c r="AU5" s="17" t="s">
        <v>146</v>
      </c>
      <c r="AV5" s="17" t="s">
        <v>147</v>
      </c>
      <c r="AW5" s="17" t="s">
        <v>148</v>
      </c>
      <c r="AX5" s="17" t="s">
        <v>100</v>
      </c>
      <c r="AY5" s="17" t="s">
        <v>149</v>
      </c>
      <c r="AZ5" s="17" t="s">
        <v>150</v>
      </c>
      <c r="BA5" s="17" t="s">
        <v>151</v>
      </c>
      <c r="BB5" s="17" t="s">
        <v>152</v>
      </c>
      <c r="BC5" s="17" t="s">
        <v>153</v>
      </c>
      <c r="BD5" s="17" t="s">
        <v>154</v>
      </c>
      <c r="BE5" s="17" t="s">
        <v>155</v>
      </c>
      <c r="BF5" s="17" t="s">
        <v>84</v>
      </c>
      <c r="BG5" s="17" t="s">
        <v>156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20"/>
      <c r="BW5" s="20"/>
      <c r="BX5" s="20"/>
      <c r="BY5" s="20"/>
      <c r="CA5" s="21">
        <f t="shared" si="3"/>
        <v>0</v>
      </c>
      <c r="CB5" s="21">
        <f t="shared" si="4"/>
        <v>0</v>
      </c>
      <c r="CC5" s="21">
        <f t="shared" si="4"/>
        <v>0</v>
      </c>
      <c r="CD5" s="21">
        <f t="shared" si="4"/>
        <v>0</v>
      </c>
      <c r="CE5" s="21">
        <f t="shared" si="4"/>
        <v>0</v>
      </c>
      <c r="CF5" s="21">
        <f t="shared" si="4"/>
        <v>0</v>
      </c>
      <c r="CG5" s="21">
        <f t="shared" si="4"/>
        <v>0</v>
      </c>
      <c r="CH5" s="21">
        <f t="shared" si="4"/>
        <v>0</v>
      </c>
      <c r="CI5" s="21">
        <f t="shared" si="4"/>
        <v>0</v>
      </c>
      <c r="CJ5" s="21">
        <f t="shared" si="4"/>
        <v>0</v>
      </c>
      <c r="CK5" s="21">
        <f t="shared" si="4"/>
        <v>0</v>
      </c>
      <c r="CL5" s="21">
        <f t="shared" si="4"/>
        <v>0</v>
      </c>
      <c r="CM5" s="21">
        <f t="shared" si="4"/>
        <v>0</v>
      </c>
      <c r="CN5" s="21">
        <f t="shared" si="4"/>
        <v>0</v>
      </c>
      <c r="CO5" s="21">
        <f t="shared" si="4"/>
        <v>0</v>
      </c>
      <c r="CP5" s="21">
        <f t="shared" si="4"/>
        <v>0</v>
      </c>
      <c r="CQ5" s="21">
        <f t="shared" si="4"/>
        <v>0</v>
      </c>
      <c r="CR5" s="21">
        <f t="shared" si="5"/>
        <v>0</v>
      </c>
      <c r="CV5" s="21">
        <f t="shared" si="6"/>
        <v>0</v>
      </c>
      <c r="CW5" s="21">
        <f t="shared" si="6"/>
        <v>0</v>
      </c>
      <c r="CX5" s="21">
        <f t="shared" si="6"/>
        <v>0</v>
      </c>
      <c r="CY5" s="21">
        <f t="shared" si="6"/>
        <v>0</v>
      </c>
      <c r="CZ5" s="21">
        <f t="shared" si="6"/>
        <v>0</v>
      </c>
      <c r="DA5" s="21">
        <f t="shared" si="6"/>
        <v>0</v>
      </c>
      <c r="DB5" s="21">
        <f t="shared" si="6"/>
        <v>0</v>
      </c>
      <c r="DC5" s="21">
        <f t="shared" si="6"/>
        <v>0</v>
      </c>
      <c r="DD5" s="21">
        <f t="shared" si="6"/>
        <v>0</v>
      </c>
      <c r="DE5" s="21">
        <f t="shared" si="6"/>
        <v>0</v>
      </c>
      <c r="DF5" s="21">
        <f t="shared" si="6"/>
        <v>0</v>
      </c>
      <c r="DG5" s="21">
        <f t="shared" si="6"/>
        <v>0</v>
      </c>
      <c r="DH5" s="21">
        <f t="shared" si="6"/>
        <v>0</v>
      </c>
      <c r="DI5" s="21">
        <f t="shared" si="6"/>
        <v>0</v>
      </c>
      <c r="DJ5" s="21">
        <f t="shared" si="6"/>
        <v>0</v>
      </c>
      <c r="DK5" s="21">
        <f t="shared" si="6"/>
        <v>0</v>
      </c>
      <c r="DL5" s="21">
        <f t="shared" ref="DL5:DO33" si="10">IF(COUNTIF($C5:$BG5,AH5)&gt;1,"X",0)</f>
        <v>0</v>
      </c>
      <c r="DM5" s="21">
        <f t="shared" si="10"/>
        <v>0</v>
      </c>
      <c r="DN5" s="21">
        <f t="shared" si="10"/>
        <v>0</v>
      </c>
      <c r="DO5" s="21">
        <f t="shared" si="10"/>
        <v>0</v>
      </c>
      <c r="DP5" s="21">
        <f t="shared" si="8"/>
        <v>0</v>
      </c>
      <c r="DQ5" s="21">
        <f t="shared" si="9"/>
        <v>0</v>
      </c>
      <c r="DR5" s="21">
        <f t="shared" si="9"/>
        <v>0</v>
      </c>
      <c r="DS5" s="21">
        <f t="shared" si="9"/>
        <v>0</v>
      </c>
      <c r="DT5" s="21">
        <f t="shared" si="9"/>
        <v>0</v>
      </c>
      <c r="DU5" s="21">
        <f>IF(COUNTIF($C5:$BG5,AS7)&gt;1,"X",0)</f>
        <v>0</v>
      </c>
      <c r="DV5" s="21">
        <f t="shared" si="9"/>
        <v>0</v>
      </c>
      <c r="DW5" s="21">
        <f t="shared" si="9"/>
        <v>0</v>
      </c>
      <c r="DX5" s="21">
        <f t="shared" si="9"/>
        <v>0</v>
      </c>
      <c r="DY5" s="21">
        <f t="shared" si="9"/>
        <v>0</v>
      </c>
      <c r="DZ5" s="21">
        <f t="shared" si="9"/>
        <v>0</v>
      </c>
      <c r="EA5" s="21">
        <f t="shared" si="9"/>
        <v>0</v>
      </c>
      <c r="EB5" s="21">
        <f t="shared" si="9"/>
        <v>0</v>
      </c>
      <c r="EC5" s="21">
        <f t="shared" si="9"/>
        <v>0</v>
      </c>
      <c r="ED5" s="21">
        <f t="shared" si="9"/>
        <v>0</v>
      </c>
      <c r="EE5" s="21">
        <f t="shared" si="9"/>
        <v>0</v>
      </c>
      <c r="EF5" s="21">
        <f t="shared" si="9"/>
        <v>0</v>
      </c>
      <c r="EG5" s="21">
        <f t="shared" si="9"/>
        <v>0</v>
      </c>
      <c r="EH5" s="21">
        <f t="shared" si="9"/>
        <v>0</v>
      </c>
      <c r="EI5" s="21">
        <f t="shared" si="9"/>
        <v>0</v>
      </c>
    </row>
    <row r="6" spans="1:139" s="21" customFormat="1" ht="15.75" customHeight="1" x14ac:dyDescent="0.2">
      <c r="A6" s="15"/>
      <c r="B6" s="22">
        <f>IF(CA6&gt;0,0,3)</f>
        <v>3</v>
      </c>
      <c r="C6" s="17" t="s">
        <v>115</v>
      </c>
      <c r="D6" s="17" t="s">
        <v>150</v>
      </c>
      <c r="E6" s="17" t="s">
        <v>110</v>
      </c>
      <c r="F6" s="17" t="s">
        <v>157</v>
      </c>
      <c r="G6" s="17" t="s">
        <v>113</v>
      </c>
      <c r="H6" s="17" t="s">
        <v>112</v>
      </c>
      <c r="I6" s="17" t="s">
        <v>123</v>
      </c>
      <c r="J6" s="17" t="s">
        <v>116</v>
      </c>
      <c r="K6" s="17" t="s">
        <v>117</v>
      </c>
      <c r="L6" s="17" t="s">
        <v>158</v>
      </c>
      <c r="M6" s="17" t="s">
        <v>159</v>
      </c>
      <c r="N6" s="17" t="s">
        <v>120</v>
      </c>
      <c r="O6" s="17" t="s">
        <v>119</v>
      </c>
      <c r="P6" s="17" t="s">
        <v>122</v>
      </c>
      <c r="Q6" s="17" t="s">
        <v>107</v>
      </c>
      <c r="R6" s="17"/>
      <c r="S6" s="17"/>
      <c r="T6" s="17"/>
      <c r="U6" s="17"/>
      <c r="V6" s="17" t="s">
        <v>143</v>
      </c>
      <c r="W6" s="17" t="s">
        <v>160</v>
      </c>
      <c r="X6" s="17" t="s">
        <v>132</v>
      </c>
      <c r="Y6" s="17" t="s">
        <v>148</v>
      </c>
      <c r="Z6" s="17" t="s">
        <v>142</v>
      </c>
      <c r="AA6" s="17" t="s">
        <v>139</v>
      </c>
      <c r="AB6" s="17" t="s">
        <v>135</v>
      </c>
      <c r="AC6" s="17" t="s">
        <v>124</v>
      </c>
      <c r="AD6" s="17" t="s">
        <v>161</v>
      </c>
      <c r="AE6" s="17" t="s">
        <v>162</v>
      </c>
      <c r="AF6" s="17" t="s">
        <v>125</v>
      </c>
      <c r="AG6" s="17" t="s">
        <v>100</v>
      </c>
      <c r="AH6" s="17" t="s">
        <v>163</v>
      </c>
      <c r="AI6" s="17" t="s">
        <v>137</v>
      </c>
      <c r="AJ6" s="17"/>
      <c r="AK6" s="17"/>
      <c r="AL6" s="17"/>
      <c r="AM6" s="17" t="s">
        <v>144</v>
      </c>
      <c r="AN6" s="17" t="s">
        <v>151</v>
      </c>
      <c r="AO6" s="17" t="s">
        <v>114</v>
      </c>
      <c r="AP6" s="17" t="s">
        <v>121</v>
      </c>
      <c r="AQ6" s="17" t="s">
        <v>134</v>
      </c>
      <c r="AR6" s="17" t="s">
        <v>164</v>
      </c>
      <c r="AS6" s="17" t="s">
        <v>152</v>
      </c>
      <c r="AT6" s="17" t="s">
        <v>128</v>
      </c>
      <c r="AU6" s="17" t="s">
        <v>146</v>
      </c>
      <c r="AV6" s="17" t="s">
        <v>127</v>
      </c>
      <c r="AW6" s="17" t="s">
        <v>145</v>
      </c>
      <c r="AX6" s="17" t="s">
        <v>165</v>
      </c>
      <c r="AY6" s="17" t="s">
        <v>149</v>
      </c>
      <c r="AZ6" s="17" t="s">
        <v>166</v>
      </c>
      <c r="BA6" s="17" t="s">
        <v>147</v>
      </c>
      <c r="BB6" s="17" t="s">
        <v>167</v>
      </c>
      <c r="BC6" s="17" t="s">
        <v>153</v>
      </c>
      <c r="BD6" s="17" t="s">
        <v>140</v>
      </c>
      <c r="BE6" s="17" t="s">
        <v>133</v>
      </c>
      <c r="BF6" s="17" t="s">
        <v>138</v>
      </c>
      <c r="BG6" s="17" t="s">
        <v>168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20"/>
      <c r="BW6" s="20"/>
      <c r="BX6" s="20"/>
      <c r="BY6" s="20"/>
      <c r="CA6" s="21">
        <f t="shared" si="3"/>
        <v>0</v>
      </c>
      <c r="CB6" s="21">
        <f t="shared" si="4"/>
        <v>0</v>
      </c>
      <c r="CC6" s="21">
        <f t="shared" si="4"/>
        <v>0</v>
      </c>
      <c r="CD6" s="21">
        <f t="shared" si="4"/>
        <v>0</v>
      </c>
      <c r="CE6" s="21">
        <f t="shared" si="4"/>
        <v>0</v>
      </c>
      <c r="CF6" s="21">
        <f t="shared" si="4"/>
        <v>0</v>
      </c>
      <c r="CG6" s="21">
        <f t="shared" si="4"/>
        <v>0</v>
      </c>
      <c r="CH6" s="21">
        <f t="shared" si="4"/>
        <v>0</v>
      </c>
      <c r="CI6" s="21">
        <f t="shared" si="4"/>
        <v>0</v>
      </c>
      <c r="CJ6" s="21">
        <f t="shared" si="4"/>
        <v>0</v>
      </c>
      <c r="CK6" s="21">
        <f t="shared" si="4"/>
        <v>0</v>
      </c>
      <c r="CL6" s="21">
        <f t="shared" si="4"/>
        <v>0</v>
      </c>
      <c r="CM6" s="21">
        <f t="shared" si="4"/>
        <v>0</v>
      </c>
      <c r="CN6" s="21">
        <f t="shared" si="4"/>
        <v>0</v>
      </c>
      <c r="CO6" s="21">
        <f t="shared" si="4"/>
        <v>0</v>
      </c>
      <c r="CP6" s="21">
        <f t="shared" si="4"/>
        <v>0</v>
      </c>
      <c r="CQ6" s="21">
        <f t="shared" si="4"/>
        <v>0</v>
      </c>
      <c r="CR6" s="21">
        <f t="shared" si="5"/>
        <v>0</v>
      </c>
      <c r="CV6" s="21">
        <f t="shared" si="6"/>
        <v>0</v>
      </c>
      <c r="CW6" s="21">
        <f t="shared" si="6"/>
        <v>0</v>
      </c>
      <c r="CX6" s="21">
        <f t="shared" si="6"/>
        <v>0</v>
      </c>
      <c r="CY6" s="21">
        <f t="shared" si="6"/>
        <v>0</v>
      </c>
      <c r="CZ6" s="21">
        <f t="shared" si="6"/>
        <v>0</v>
      </c>
      <c r="DA6" s="21">
        <f t="shared" si="6"/>
        <v>0</v>
      </c>
      <c r="DB6" s="21">
        <f t="shared" si="6"/>
        <v>0</v>
      </c>
      <c r="DC6" s="21">
        <f t="shared" si="6"/>
        <v>0</v>
      </c>
      <c r="DD6" s="21">
        <f t="shared" si="6"/>
        <v>0</v>
      </c>
      <c r="DE6" s="21">
        <f t="shared" si="6"/>
        <v>0</v>
      </c>
      <c r="DF6" s="21">
        <f t="shared" si="6"/>
        <v>0</v>
      </c>
      <c r="DG6" s="21">
        <f t="shared" si="6"/>
        <v>0</v>
      </c>
      <c r="DH6" s="21">
        <f t="shared" si="6"/>
        <v>0</v>
      </c>
      <c r="DI6" s="21">
        <f t="shared" si="6"/>
        <v>0</v>
      </c>
      <c r="DJ6" s="21">
        <f t="shared" si="6"/>
        <v>0</v>
      </c>
      <c r="DK6" s="21">
        <f t="shared" si="6"/>
        <v>0</v>
      </c>
      <c r="DL6" s="21">
        <f t="shared" si="10"/>
        <v>0</v>
      </c>
      <c r="DM6" s="21">
        <f t="shared" si="10"/>
        <v>0</v>
      </c>
      <c r="DN6" s="21">
        <f t="shared" si="10"/>
        <v>0</v>
      </c>
      <c r="DO6" s="21">
        <f t="shared" si="10"/>
        <v>0</v>
      </c>
      <c r="DP6" s="21">
        <f t="shared" si="8"/>
        <v>0</v>
      </c>
      <c r="DQ6" s="21">
        <f t="shared" si="9"/>
        <v>0</v>
      </c>
      <c r="DR6" s="21">
        <f t="shared" si="9"/>
        <v>0</v>
      </c>
      <c r="DS6" s="21">
        <f t="shared" si="9"/>
        <v>0</v>
      </c>
      <c r="DT6" s="21">
        <f t="shared" si="9"/>
        <v>0</v>
      </c>
      <c r="DU6" s="21">
        <f>IF(COUNTIF($C6:$BG6,#REF!)&gt;1,"X",0)</f>
        <v>0</v>
      </c>
      <c r="DV6" s="21">
        <f t="shared" si="9"/>
        <v>0</v>
      </c>
      <c r="DW6" s="21">
        <f t="shared" si="9"/>
        <v>0</v>
      </c>
      <c r="DX6" s="21">
        <f t="shared" si="9"/>
        <v>0</v>
      </c>
      <c r="DY6" s="21">
        <f t="shared" si="9"/>
        <v>0</v>
      </c>
      <c r="DZ6" s="21">
        <f t="shared" si="9"/>
        <v>0</v>
      </c>
      <c r="EA6" s="21">
        <f t="shared" si="9"/>
        <v>0</v>
      </c>
      <c r="EB6" s="21">
        <f t="shared" si="9"/>
        <v>0</v>
      </c>
      <c r="EC6" s="21">
        <f t="shared" si="9"/>
        <v>0</v>
      </c>
      <c r="ED6" s="21">
        <f t="shared" si="9"/>
        <v>0</v>
      </c>
      <c r="EE6" s="21">
        <f t="shared" si="9"/>
        <v>0</v>
      </c>
      <c r="EF6" s="21">
        <f t="shared" si="9"/>
        <v>0</v>
      </c>
      <c r="EG6" s="21">
        <f t="shared" si="9"/>
        <v>0</v>
      </c>
      <c r="EH6" s="21">
        <f t="shared" si="9"/>
        <v>0</v>
      </c>
      <c r="EI6" s="21">
        <f t="shared" si="9"/>
        <v>0</v>
      </c>
    </row>
    <row r="7" spans="1:139" s="21" customFormat="1" ht="15.75" customHeight="1" x14ac:dyDescent="0.2">
      <c r="A7" s="15"/>
      <c r="B7" s="22">
        <f>IF(CA7&gt;0,0,4)</f>
        <v>4</v>
      </c>
      <c r="C7" s="17" t="s">
        <v>115</v>
      </c>
      <c r="D7" s="17" t="s">
        <v>167</v>
      </c>
      <c r="E7" s="17" t="s">
        <v>120</v>
      </c>
      <c r="F7" s="17" t="s">
        <v>123</v>
      </c>
      <c r="G7" s="17" t="s">
        <v>129</v>
      </c>
      <c r="H7" s="17" t="s">
        <v>169</v>
      </c>
      <c r="I7" s="17" t="s">
        <v>170</v>
      </c>
      <c r="J7" s="17" t="s">
        <v>150</v>
      </c>
      <c r="K7" s="17" t="s">
        <v>135</v>
      </c>
      <c r="L7" s="17" t="s">
        <v>158</v>
      </c>
      <c r="M7" s="17" t="s">
        <v>149</v>
      </c>
      <c r="N7" s="17" t="s">
        <v>77</v>
      </c>
      <c r="O7" s="17" t="s">
        <v>171</v>
      </c>
      <c r="P7" s="17" t="s">
        <v>136</v>
      </c>
      <c r="Q7" s="17" t="s">
        <v>107</v>
      </c>
      <c r="R7" s="17"/>
      <c r="S7" s="17"/>
      <c r="T7" s="17"/>
      <c r="U7" s="17"/>
      <c r="V7" s="17" t="s">
        <v>144</v>
      </c>
      <c r="W7" s="17" t="s">
        <v>163</v>
      </c>
      <c r="X7" s="17" t="s">
        <v>110</v>
      </c>
      <c r="Y7" s="17" t="s">
        <v>148</v>
      </c>
      <c r="Z7" s="17" t="s">
        <v>141</v>
      </c>
      <c r="AA7" s="17" t="s">
        <v>131</v>
      </c>
      <c r="AB7" s="17" t="s">
        <v>119</v>
      </c>
      <c r="AC7" s="17" t="s">
        <v>145</v>
      </c>
      <c r="AD7" s="17" t="s">
        <v>161</v>
      </c>
      <c r="AE7" s="17" t="s">
        <v>162</v>
      </c>
      <c r="AF7" s="17" t="s">
        <v>125</v>
      </c>
      <c r="AG7" s="17" t="s">
        <v>172</v>
      </c>
      <c r="AH7" s="17" t="s">
        <v>133</v>
      </c>
      <c r="AI7" s="17" t="s">
        <v>146</v>
      </c>
      <c r="AJ7" s="17"/>
      <c r="AK7" s="17"/>
      <c r="AL7" s="17"/>
      <c r="AM7" s="17" t="s">
        <v>153</v>
      </c>
      <c r="AN7" s="17" t="s">
        <v>130</v>
      </c>
      <c r="AO7" s="17" t="s">
        <v>117</v>
      </c>
      <c r="AP7" s="17" t="s">
        <v>166</v>
      </c>
      <c r="AQ7" s="17" t="s">
        <v>134</v>
      </c>
      <c r="AR7" s="17" t="s">
        <v>124</v>
      </c>
      <c r="AS7" s="17" t="s">
        <v>152</v>
      </c>
      <c r="AT7" s="17" t="s">
        <v>128</v>
      </c>
      <c r="AU7" s="17" t="s">
        <v>116</v>
      </c>
      <c r="AV7" s="17" t="s">
        <v>121</v>
      </c>
      <c r="AW7" s="17" t="s">
        <v>168</v>
      </c>
      <c r="AX7" s="17" t="s">
        <v>112</v>
      </c>
      <c r="AY7" s="17" t="s">
        <v>173</v>
      </c>
      <c r="AZ7" s="17" t="s">
        <v>127</v>
      </c>
      <c r="BA7" s="17" t="s">
        <v>147</v>
      </c>
      <c r="BB7" s="17" t="s">
        <v>132</v>
      </c>
      <c r="BC7" s="17" t="s">
        <v>159</v>
      </c>
      <c r="BD7" s="17" t="s">
        <v>140</v>
      </c>
      <c r="BE7" s="17" t="s">
        <v>154</v>
      </c>
      <c r="BF7" s="17" t="s">
        <v>138</v>
      </c>
      <c r="BG7" s="17" t="s">
        <v>164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20"/>
      <c r="BW7" s="20"/>
      <c r="BX7" s="20"/>
      <c r="BY7" s="20"/>
      <c r="CA7" s="21">
        <f t="shared" si="3"/>
        <v>0</v>
      </c>
      <c r="CB7" s="21">
        <f t="shared" si="4"/>
        <v>0</v>
      </c>
      <c r="CC7" s="21">
        <f t="shared" si="4"/>
        <v>0</v>
      </c>
      <c r="CD7" s="21">
        <f t="shared" si="4"/>
        <v>0</v>
      </c>
      <c r="CE7" s="21">
        <f t="shared" si="4"/>
        <v>0</v>
      </c>
      <c r="CF7" s="21">
        <f t="shared" si="4"/>
        <v>0</v>
      </c>
      <c r="CG7" s="21">
        <f t="shared" si="4"/>
        <v>0</v>
      </c>
      <c r="CH7" s="21">
        <f t="shared" si="4"/>
        <v>0</v>
      </c>
      <c r="CI7" s="21">
        <f t="shared" si="4"/>
        <v>0</v>
      </c>
      <c r="CJ7" s="21">
        <f t="shared" si="4"/>
        <v>0</v>
      </c>
      <c r="CK7" s="21">
        <f t="shared" si="4"/>
        <v>0</v>
      </c>
      <c r="CL7" s="21">
        <f t="shared" si="4"/>
        <v>0</v>
      </c>
      <c r="CM7" s="21">
        <f t="shared" si="4"/>
        <v>0</v>
      </c>
      <c r="CN7" s="21">
        <f t="shared" si="4"/>
        <v>0</v>
      </c>
      <c r="CO7" s="21">
        <f t="shared" si="4"/>
        <v>0</v>
      </c>
      <c r="CP7" s="21">
        <f t="shared" si="4"/>
        <v>0</v>
      </c>
      <c r="CQ7" s="21">
        <f t="shared" si="4"/>
        <v>0</v>
      </c>
      <c r="CR7" s="21">
        <f t="shared" si="5"/>
        <v>0</v>
      </c>
      <c r="CV7" s="21">
        <f t="shared" si="6"/>
        <v>0</v>
      </c>
      <c r="CW7" s="21">
        <f t="shared" si="6"/>
        <v>0</v>
      </c>
      <c r="CX7" s="21">
        <f t="shared" si="6"/>
        <v>0</v>
      </c>
      <c r="CY7" s="21">
        <f t="shared" si="6"/>
        <v>0</v>
      </c>
      <c r="CZ7" s="21">
        <f t="shared" si="6"/>
        <v>0</v>
      </c>
      <c r="DA7" s="21">
        <f t="shared" si="6"/>
        <v>0</v>
      </c>
      <c r="DB7" s="21">
        <f t="shared" si="6"/>
        <v>0</v>
      </c>
      <c r="DC7" s="21">
        <f t="shared" si="6"/>
        <v>0</v>
      </c>
      <c r="DD7" s="21">
        <f t="shared" si="6"/>
        <v>0</v>
      </c>
      <c r="DE7" s="21">
        <f t="shared" si="6"/>
        <v>0</v>
      </c>
      <c r="DF7" s="21">
        <f t="shared" si="6"/>
        <v>0</v>
      </c>
      <c r="DG7" s="21">
        <f t="shared" si="6"/>
        <v>0</v>
      </c>
      <c r="DH7" s="21">
        <f t="shared" si="6"/>
        <v>0</v>
      </c>
      <c r="DI7" s="21">
        <f t="shared" si="6"/>
        <v>0</v>
      </c>
      <c r="DJ7" s="21">
        <f t="shared" si="6"/>
        <v>0</v>
      </c>
      <c r="DK7" s="21">
        <f t="shared" si="6"/>
        <v>0</v>
      </c>
      <c r="DL7" s="21">
        <f t="shared" si="10"/>
        <v>0</v>
      </c>
      <c r="DM7" s="21">
        <f t="shared" si="10"/>
        <v>0</v>
      </c>
      <c r="DN7" s="21">
        <f t="shared" si="10"/>
        <v>0</v>
      </c>
      <c r="DO7" s="21">
        <f t="shared" si="10"/>
        <v>0</v>
      </c>
      <c r="DP7" s="21">
        <f t="shared" si="8"/>
        <v>0</v>
      </c>
      <c r="DQ7" s="21">
        <f t="shared" si="9"/>
        <v>0</v>
      </c>
      <c r="DR7" s="21">
        <f t="shared" si="9"/>
        <v>0</v>
      </c>
      <c r="DS7" s="21">
        <f t="shared" si="9"/>
        <v>0</v>
      </c>
      <c r="DT7" s="21">
        <f t="shared" si="9"/>
        <v>0</v>
      </c>
      <c r="DU7" s="21">
        <f>IF(COUNTIF($C7:$BG7,#REF!)&gt;1,"X",0)</f>
        <v>0</v>
      </c>
      <c r="DV7" s="21">
        <f t="shared" si="9"/>
        <v>0</v>
      </c>
      <c r="DW7" s="21">
        <f t="shared" si="9"/>
        <v>0</v>
      </c>
      <c r="DX7" s="21">
        <f t="shared" si="9"/>
        <v>0</v>
      </c>
      <c r="DY7" s="21">
        <f t="shared" si="9"/>
        <v>0</v>
      </c>
      <c r="DZ7" s="21">
        <f t="shared" si="9"/>
        <v>0</v>
      </c>
      <c r="EA7" s="21">
        <f t="shared" si="9"/>
        <v>0</v>
      </c>
      <c r="EB7" s="21">
        <f t="shared" si="9"/>
        <v>0</v>
      </c>
      <c r="EC7" s="21">
        <f t="shared" si="9"/>
        <v>0</v>
      </c>
      <c r="ED7" s="21">
        <f t="shared" si="9"/>
        <v>0</v>
      </c>
      <c r="EE7" s="21">
        <f t="shared" si="9"/>
        <v>0</v>
      </c>
      <c r="EF7" s="21">
        <f t="shared" si="9"/>
        <v>0</v>
      </c>
      <c r="EG7" s="21">
        <f t="shared" si="9"/>
        <v>0</v>
      </c>
      <c r="EH7" s="21">
        <f t="shared" si="9"/>
        <v>0</v>
      </c>
      <c r="EI7" s="21">
        <f t="shared" si="9"/>
        <v>0</v>
      </c>
    </row>
    <row r="8" spans="1:139" s="21" customFormat="1" ht="15.75" customHeight="1" thickBot="1" x14ac:dyDescent="0.25">
      <c r="A8" s="23"/>
      <c r="B8" s="24">
        <f>IF(CA8&gt;0,0,5)</f>
        <v>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0"/>
      <c r="BW8" s="20"/>
      <c r="BX8" s="20"/>
      <c r="BY8" s="20"/>
      <c r="CA8" s="21">
        <f t="shared" si="3"/>
        <v>0</v>
      </c>
      <c r="CB8" s="21">
        <f t="shared" si="4"/>
        <v>0</v>
      </c>
      <c r="CC8" s="21">
        <f t="shared" si="4"/>
        <v>0</v>
      </c>
      <c r="CD8" s="21">
        <f t="shared" si="4"/>
        <v>0</v>
      </c>
      <c r="CE8" s="21">
        <f t="shared" si="4"/>
        <v>0</v>
      </c>
      <c r="CF8" s="21">
        <f t="shared" si="4"/>
        <v>0</v>
      </c>
      <c r="CG8" s="21">
        <f t="shared" si="4"/>
        <v>0</v>
      </c>
      <c r="CH8" s="21">
        <f t="shared" si="4"/>
        <v>0</v>
      </c>
      <c r="CI8" s="21">
        <f t="shared" si="4"/>
        <v>0</v>
      </c>
      <c r="CJ8" s="21">
        <f t="shared" si="4"/>
        <v>0</v>
      </c>
      <c r="CK8" s="21">
        <f t="shared" si="4"/>
        <v>0</v>
      </c>
      <c r="CL8" s="21">
        <f t="shared" si="4"/>
        <v>0</v>
      </c>
      <c r="CM8" s="21">
        <f t="shared" si="4"/>
        <v>0</v>
      </c>
      <c r="CN8" s="21">
        <f t="shared" si="4"/>
        <v>0</v>
      </c>
      <c r="CO8" s="21">
        <f t="shared" si="4"/>
        <v>0</v>
      </c>
      <c r="CP8" s="21">
        <f t="shared" si="4"/>
        <v>0</v>
      </c>
      <c r="CQ8" s="21">
        <f t="shared" si="4"/>
        <v>0</v>
      </c>
      <c r="CR8" s="21">
        <f t="shared" si="5"/>
        <v>0</v>
      </c>
      <c r="CV8" s="21">
        <f t="shared" si="6"/>
        <v>0</v>
      </c>
      <c r="CW8" s="21">
        <f t="shared" si="6"/>
        <v>0</v>
      </c>
      <c r="CX8" s="21">
        <f t="shared" si="6"/>
        <v>0</v>
      </c>
      <c r="CY8" s="21">
        <f t="shared" si="6"/>
        <v>0</v>
      </c>
      <c r="CZ8" s="21">
        <f t="shared" si="6"/>
        <v>0</v>
      </c>
      <c r="DA8" s="21">
        <f t="shared" si="6"/>
        <v>0</v>
      </c>
      <c r="DB8" s="21">
        <f t="shared" si="6"/>
        <v>0</v>
      </c>
      <c r="DC8" s="21">
        <f t="shared" si="6"/>
        <v>0</v>
      </c>
      <c r="DD8" s="21">
        <f t="shared" si="6"/>
        <v>0</v>
      </c>
      <c r="DE8" s="21">
        <f t="shared" si="6"/>
        <v>0</v>
      </c>
      <c r="DF8" s="21">
        <f t="shared" si="6"/>
        <v>0</v>
      </c>
      <c r="DG8" s="21">
        <f t="shared" si="6"/>
        <v>0</v>
      </c>
      <c r="DH8" s="21">
        <f t="shared" si="6"/>
        <v>0</v>
      </c>
      <c r="DI8" s="21">
        <f t="shared" si="6"/>
        <v>0</v>
      </c>
      <c r="DJ8" s="21">
        <f t="shared" si="6"/>
        <v>0</v>
      </c>
      <c r="DK8" s="21">
        <f t="shared" si="6"/>
        <v>0</v>
      </c>
      <c r="DL8" s="21">
        <f t="shared" si="10"/>
        <v>0</v>
      </c>
      <c r="DM8" s="21">
        <f t="shared" si="10"/>
        <v>0</v>
      </c>
      <c r="DN8" s="21">
        <f t="shared" si="10"/>
        <v>0</v>
      </c>
      <c r="DO8" s="21">
        <f t="shared" si="10"/>
        <v>0</v>
      </c>
      <c r="DP8" s="21">
        <f t="shared" si="8"/>
        <v>0</v>
      </c>
      <c r="DQ8" s="21">
        <f t="shared" si="9"/>
        <v>0</v>
      </c>
      <c r="DR8" s="21">
        <f t="shared" si="9"/>
        <v>0</v>
      </c>
      <c r="DS8" s="21">
        <f t="shared" si="9"/>
        <v>0</v>
      </c>
      <c r="DT8" s="21">
        <f t="shared" si="9"/>
        <v>0</v>
      </c>
      <c r="DU8" s="21">
        <f t="shared" si="9"/>
        <v>0</v>
      </c>
      <c r="DV8" s="21">
        <f t="shared" si="9"/>
        <v>0</v>
      </c>
      <c r="DW8" s="21">
        <f t="shared" si="9"/>
        <v>0</v>
      </c>
      <c r="DX8" s="21">
        <f t="shared" si="9"/>
        <v>0</v>
      </c>
      <c r="DY8" s="21">
        <f t="shared" si="9"/>
        <v>0</v>
      </c>
      <c r="DZ8" s="21">
        <f t="shared" si="9"/>
        <v>0</v>
      </c>
      <c r="EA8" s="21">
        <f t="shared" si="9"/>
        <v>0</v>
      </c>
      <c r="EB8" s="21">
        <f t="shared" si="9"/>
        <v>0</v>
      </c>
      <c r="EC8" s="21">
        <f t="shared" si="9"/>
        <v>0</v>
      </c>
      <c r="ED8" s="21">
        <f t="shared" si="9"/>
        <v>0</v>
      </c>
      <c r="EE8" s="21">
        <f t="shared" si="9"/>
        <v>0</v>
      </c>
      <c r="EF8" s="21">
        <f t="shared" si="9"/>
        <v>0</v>
      </c>
      <c r="EG8" s="21">
        <f t="shared" si="9"/>
        <v>0</v>
      </c>
      <c r="EH8" s="21">
        <f t="shared" si="9"/>
        <v>0</v>
      </c>
      <c r="EI8" s="21">
        <f t="shared" si="9"/>
        <v>0</v>
      </c>
    </row>
    <row r="9" spans="1:139" s="21" customFormat="1" ht="15.75" customHeight="1" x14ac:dyDescent="0.2">
      <c r="A9" s="117" t="s">
        <v>174</v>
      </c>
      <c r="B9" s="27">
        <f>IF(CA9&gt;0,0,1)</f>
        <v>1</v>
      </c>
      <c r="C9" s="17" t="s">
        <v>60</v>
      </c>
      <c r="D9" s="17" t="s">
        <v>175</v>
      </c>
      <c r="E9" s="17" t="s">
        <v>157</v>
      </c>
      <c r="F9" s="17" t="s">
        <v>176</v>
      </c>
      <c r="G9" s="17" t="s">
        <v>116</v>
      </c>
      <c r="H9" s="17" t="s">
        <v>177</v>
      </c>
      <c r="I9" s="17" t="s">
        <v>115</v>
      </c>
      <c r="J9" s="17" t="s">
        <v>178</v>
      </c>
      <c r="K9" s="17" t="s">
        <v>80</v>
      </c>
      <c r="L9" s="17" t="s">
        <v>179</v>
      </c>
      <c r="M9" s="17" t="s">
        <v>180</v>
      </c>
      <c r="N9" s="17" t="s">
        <v>181</v>
      </c>
      <c r="O9" s="17" t="s">
        <v>121</v>
      </c>
      <c r="P9" s="17" t="s">
        <v>122</v>
      </c>
      <c r="Q9" s="17" t="s">
        <v>111</v>
      </c>
      <c r="R9" s="17"/>
      <c r="S9" s="17"/>
      <c r="T9" s="17"/>
      <c r="U9" s="17"/>
      <c r="V9" s="17" t="s">
        <v>182</v>
      </c>
      <c r="W9" s="17" t="s">
        <v>183</v>
      </c>
      <c r="X9" s="17" t="s">
        <v>184</v>
      </c>
      <c r="Y9" s="17" t="s">
        <v>185</v>
      </c>
      <c r="Z9" s="17" t="s">
        <v>186</v>
      </c>
      <c r="AA9" s="17" t="s">
        <v>187</v>
      </c>
      <c r="AB9" s="17" t="s">
        <v>188</v>
      </c>
      <c r="AC9" s="17" t="s">
        <v>131</v>
      </c>
      <c r="AD9" s="17" t="s">
        <v>140</v>
      </c>
      <c r="AE9" s="17" t="s">
        <v>173</v>
      </c>
      <c r="AF9" s="17" t="s">
        <v>134</v>
      </c>
      <c r="AG9" s="17" t="s">
        <v>189</v>
      </c>
      <c r="AH9" s="17" t="s">
        <v>148</v>
      </c>
      <c r="AI9" s="17" t="s">
        <v>119</v>
      </c>
      <c r="AJ9" s="17"/>
      <c r="AK9" s="17"/>
      <c r="AL9" s="17"/>
      <c r="AM9" s="17" t="s">
        <v>114</v>
      </c>
      <c r="AN9" s="17" t="s">
        <v>130</v>
      </c>
      <c r="AO9" s="17" t="s">
        <v>190</v>
      </c>
      <c r="AP9" s="17" t="s">
        <v>113</v>
      </c>
      <c r="AQ9" s="17" t="s">
        <v>158</v>
      </c>
      <c r="AR9" s="17" t="s">
        <v>159</v>
      </c>
      <c r="AS9" s="17" t="s">
        <v>165</v>
      </c>
      <c r="AT9" s="17" t="s">
        <v>145</v>
      </c>
      <c r="AU9" s="17" t="s">
        <v>163</v>
      </c>
      <c r="AV9" s="17" t="s">
        <v>128</v>
      </c>
      <c r="AW9" s="17" t="s">
        <v>141</v>
      </c>
      <c r="AX9" s="17" t="s">
        <v>168</v>
      </c>
      <c r="AY9" s="17" t="s">
        <v>191</v>
      </c>
      <c r="AZ9" s="17" t="s">
        <v>112</v>
      </c>
      <c r="BA9" s="17" t="s">
        <v>143</v>
      </c>
      <c r="BB9" s="17" t="s">
        <v>167</v>
      </c>
      <c r="BC9" s="17" t="s">
        <v>137</v>
      </c>
      <c r="BD9" s="17" t="s">
        <v>154</v>
      </c>
      <c r="BE9" s="17" t="s">
        <v>156</v>
      </c>
      <c r="BF9" s="17" t="s">
        <v>155</v>
      </c>
      <c r="BG9" s="17" t="s">
        <v>192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20"/>
      <c r="BW9" s="20"/>
      <c r="BX9" s="20"/>
      <c r="BY9" s="20"/>
      <c r="CA9" s="21">
        <f t="shared" si="3"/>
        <v>0</v>
      </c>
      <c r="CB9" s="21">
        <f t="shared" si="4"/>
        <v>0</v>
      </c>
      <c r="CC9" s="21">
        <f t="shared" si="4"/>
        <v>0</v>
      </c>
      <c r="CD9" s="21">
        <f t="shared" si="4"/>
        <v>0</v>
      </c>
      <c r="CE9" s="21">
        <f t="shared" si="4"/>
        <v>0</v>
      </c>
      <c r="CF9" s="21">
        <f t="shared" si="4"/>
        <v>0</v>
      </c>
      <c r="CG9" s="21">
        <f t="shared" si="4"/>
        <v>0</v>
      </c>
      <c r="CH9" s="21">
        <f t="shared" si="4"/>
        <v>0</v>
      </c>
      <c r="CI9" s="21">
        <f t="shared" si="4"/>
        <v>0</v>
      </c>
      <c r="CJ9" s="21">
        <f t="shared" si="4"/>
        <v>0</v>
      </c>
      <c r="CK9" s="21">
        <f t="shared" si="4"/>
        <v>0</v>
      </c>
      <c r="CL9" s="21">
        <f t="shared" si="4"/>
        <v>0</v>
      </c>
      <c r="CM9" s="21">
        <f t="shared" si="4"/>
        <v>0</v>
      </c>
      <c r="CN9" s="21">
        <f t="shared" si="4"/>
        <v>0</v>
      </c>
      <c r="CO9" s="21">
        <f t="shared" si="4"/>
        <v>0</v>
      </c>
      <c r="CP9" s="21">
        <f t="shared" si="4"/>
        <v>0</v>
      </c>
      <c r="CQ9" s="21">
        <f t="shared" si="4"/>
        <v>0</v>
      </c>
      <c r="CR9" s="21">
        <f t="shared" si="5"/>
        <v>0</v>
      </c>
      <c r="CV9" s="21">
        <f t="shared" si="6"/>
        <v>0</v>
      </c>
      <c r="CW9" s="21">
        <f t="shared" si="6"/>
        <v>0</v>
      </c>
      <c r="CX9" s="21">
        <f t="shared" si="6"/>
        <v>0</v>
      </c>
      <c r="CY9" s="21">
        <f t="shared" si="6"/>
        <v>0</v>
      </c>
      <c r="CZ9" s="21">
        <f t="shared" si="6"/>
        <v>0</v>
      </c>
      <c r="DA9" s="21">
        <f t="shared" si="6"/>
        <v>0</v>
      </c>
      <c r="DB9" s="21">
        <f t="shared" si="6"/>
        <v>0</v>
      </c>
      <c r="DC9" s="21">
        <f t="shared" si="6"/>
        <v>0</v>
      </c>
      <c r="DD9" s="21">
        <f t="shared" si="6"/>
        <v>0</v>
      </c>
      <c r="DE9" s="21">
        <f t="shared" si="6"/>
        <v>0</v>
      </c>
      <c r="DF9" s="21">
        <f t="shared" si="6"/>
        <v>0</v>
      </c>
      <c r="DG9" s="21">
        <f t="shared" si="6"/>
        <v>0</v>
      </c>
      <c r="DH9" s="21">
        <f t="shared" si="6"/>
        <v>0</v>
      </c>
      <c r="DI9" s="21">
        <f t="shared" si="6"/>
        <v>0</v>
      </c>
      <c r="DJ9" s="21">
        <f t="shared" si="6"/>
        <v>0</v>
      </c>
      <c r="DK9" s="21">
        <f t="shared" si="6"/>
        <v>0</v>
      </c>
      <c r="DL9" s="21">
        <f t="shared" si="10"/>
        <v>0</v>
      </c>
      <c r="DM9" s="21">
        <f t="shared" si="10"/>
        <v>0</v>
      </c>
      <c r="DN9" s="21">
        <f t="shared" si="10"/>
        <v>0</v>
      </c>
      <c r="DO9" s="21">
        <f t="shared" si="10"/>
        <v>0</v>
      </c>
      <c r="DP9" s="21">
        <f t="shared" si="8"/>
        <v>0</v>
      </c>
      <c r="DQ9" s="21">
        <f t="shared" si="9"/>
        <v>0</v>
      </c>
      <c r="DR9" s="21">
        <f t="shared" si="9"/>
        <v>0</v>
      </c>
      <c r="DS9" s="21">
        <f t="shared" si="9"/>
        <v>0</v>
      </c>
      <c r="DT9" s="21">
        <f t="shared" si="9"/>
        <v>0</v>
      </c>
      <c r="DU9" s="21">
        <f t="shared" si="9"/>
        <v>0</v>
      </c>
      <c r="DV9" s="21">
        <f t="shared" si="9"/>
        <v>0</v>
      </c>
      <c r="DW9" s="21">
        <f t="shared" si="9"/>
        <v>0</v>
      </c>
      <c r="DX9" s="21">
        <f t="shared" si="9"/>
        <v>0</v>
      </c>
      <c r="DY9" s="21">
        <f t="shared" si="9"/>
        <v>0</v>
      </c>
      <c r="DZ9" s="21">
        <f t="shared" si="9"/>
        <v>0</v>
      </c>
      <c r="EA9" s="21">
        <f t="shared" si="9"/>
        <v>0</v>
      </c>
      <c r="EB9" s="21">
        <f t="shared" si="9"/>
        <v>0</v>
      </c>
      <c r="EC9" s="21">
        <f t="shared" si="9"/>
        <v>0</v>
      </c>
      <c r="ED9" s="21">
        <f t="shared" si="9"/>
        <v>0</v>
      </c>
      <c r="EE9" s="21">
        <f t="shared" si="9"/>
        <v>0</v>
      </c>
      <c r="EF9" s="21">
        <f t="shared" si="9"/>
        <v>0</v>
      </c>
      <c r="EG9" s="21">
        <f t="shared" si="9"/>
        <v>0</v>
      </c>
      <c r="EH9" s="21">
        <f t="shared" si="9"/>
        <v>0</v>
      </c>
      <c r="EI9" s="21">
        <f t="shared" si="9"/>
        <v>0</v>
      </c>
    </row>
    <row r="10" spans="1:139" s="21" customFormat="1" ht="15.75" customHeight="1" x14ac:dyDescent="0.2">
      <c r="A10" s="115" t="s">
        <v>193</v>
      </c>
      <c r="B10" s="28">
        <f>IF(CA10&gt;0,0,2)</f>
        <v>2</v>
      </c>
      <c r="C10" s="17" t="s">
        <v>110</v>
      </c>
      <c r="D10" s="17" t="s">
        <v>175</v>
      </c>
      <c r="E10" s="17" t="s">
        <v>159</v>
      </c>
      <c r="F10" s="17" t="s">
        <v>63</v>
      </c>
      <c r="G10" s="17" t="s">
        <v>171</v>
      </c>
      <c r="H10" s="17" t="s">
        <v>177</v>
      </c>
      <c r="I10" s="17" t="s">
        <v>115</v>
      </c>
      <c r="J10" s="17" t="s">
        <v>185</v>
      </c>
      <c r="K10" s="17" t="s">
        <v>129</v>
      </c>
      <c r="L10" s="17" t="s">
        <v>181</v>
      </c>
      <c r="M10" s="17" t="s">
        <v>186</v>
      </c>
      <c r="N10" s="17" t="s">
        <v>156</v>
      </c>
      <c r="O10" s="17" t="s">
        <v>194</v>
      </c>
      <c r="P10" s="17" t="s">
        <v>122</v>
      </c>
      <c r="Q10" s="17" t="s">
        <v>111</v>
      </c>
      <c r="R10" s="17"/>
      <c r="S10" s="17"/>
      <c r="T10" s="17"/>
      <c r="U10" s="17"/>
      <c r="V10" s="17" t="s">
        <v>143</v>
      </c>
      <c r="W10" s="17" t="s">
        <v>182</v>
      </c>
      <c r="X10" s="17" t="s">
        <v>126</v>
      </c>
      <c r="Y10" s="17" t="s">
        <v>153</v>
      </c>
      <c r="Z10" s="17" t="s">
        <v>195</v>
      </c>
      <c r="AA10" s="17" t="s">
        <v>187</v>
      </c>
      <c r="AB10" s="17" t="s">
        <v>173</v>
      </c>
      <c r="AC10" s="17" t="s">
        <v>131</v>
      </c>
      <c r="AD10" s="17" t="s">
        <v>132</v>
      </c>
      <c r="AE10" s="17" t="s">
        <v>145</v>
      </c>
      <c r="AF10" s="17" t="s">
        <v>134</v>
      </c>
      <c r="AG10" s="17" t="s">
        <v>189</v>
      </c>
      <c r="AH10" s="17" t="s">
        <v>196</v>
      </c>
      <c r="AI10" s="17" t="s">
        <v>163</v>
      </c>
      <c r="AJ10" s="17"/>
      <c r="AK10" s="17"/>
      <c r="AL10" s="17"/>
      <c r="AM10" s="17" t="s">
        <v>114</v>
      </c>
      <c r="AN10" s="17" t="s">
        <v>139</v>
      </c>
      <c r="AO10" s="17" t="s">
        <v>190</v>
      </c>
      <c r="AP10" s="17" t="s">
        <v>141</v>
      </c>
      <c r="AQ10" s="17" t="s">
        <v>158</v>
      </c>
      <c r="AR10" s="17" t="s">
        <v>124</v>
      </c>
      <c r="AS10" s="17" t="s">
        <v>165</v>
      </c>
      <c r="AT10" s="17" t="s">
        <v>180</v>
      </c>
      <c r="AU10" s="17" t="s">
        <v>113</v>
      </c>
      <c r="AV10" s="17" t="s">
        <v>116</v>
      </c>
      <c r="AW10" s="17" t="s">
        <v>148</v>
      </c>
      <c r="AX10" s="17" t="s">
        <v>197</v>
      </c>
      <c r="AY10" s="17" t="s">
        <v>191</v>
      </c>
      <c r="AZ10" s="17" t="s">
        <v>112</v>
      </c>
      <c r="BA10" s="17" t="s">
        <v>151</v>
      </c>
      <c r="BB10" s="17" t="s">
        <v>167</v>
      </c>
      <c r="BC10" s="17" t="s">
        <v>137</v>
      </c>
      <c r="BD10" s="17" t="s">
        <v>176</v>
      </c>
      <c r="BE10" s="17" t="s">
        <v>154</v>
      </c>
      <c r="BF10" s="17" t="s">
        <v>168</v>
      </c>
      <c r="BG10" s="17" t="s">
        <v>192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20"/>
      <c r="BW10" s="20"/>
      <c r="BX10" s="20"/>
      <c r="BY10" s="20"/>
      <c r="CA10" s="21">
        <f t="shared" si="3"/>
        <v>0</v>
      </c>
      <c r="CB10" s="21">
        <f t="shared" si="4"/>
        <v>0</v>
      </c>
      <c r="CC10" s="21">
        <f t="shared" si="4"/>
        <v>0</v>
      </c>
      <c r="CD10" s="21">
        <f t="shared" si="4"/>
        <v>0</v>
      </c>
      <c r="CE10" s="21">
        <f t="shared" si="4"/>
        <v>0</v>
      </c>
      <c r="CF10" s="21">
        <f t="shared" si="4"/>
        <v>0</v>
      </c>
      <c r="CG10" s="21">
        <f t="shared" si="4"/>
        <v>0</v>
      </c>
      <c r="CH10" s="21">
        <f t="shared" si="4"/>
        <v>0</v>
      </c>
      <c r="CI10" s="21">
        <f t="shared" si="4"/>
        <v>0</v>
      </c>
      <c r="CJ10" s="21">
        <f t="shared" si="4"/>
        <v>0</v>
      </c>
      <c r="CK10" s="21">
        <f t="shared" si="4"/>
        <v>0</v>
      </c>
      <c r="CL10" s="21">
        <f t="shared" si="4"/>
        <v>0</v>
      </c>
      <c r="CM10" s="21">
        <f t="shared" si="4"/>
        <v>0</v>
      </c>
      <c r="CN10" s="21">
        <f t="shared" si="4"/>
        <v>0</v>
      </c>
      <c r="CO10" s="21">
        <f t="shared" si="4"/>
        <v>0</v>
      </c>
      <c r="CP10" s="21">
        <f t="shared" si="4"/>
        <v>0</v>
      </c>
      <c r="CQ10" s="21">
        <f t="shared" si="4"/>
        <v>0</v>
      </c>
      <c r="CR10" s="21">
        <f t="shared" si="5"/>
        <v>0</v>
      </c>
      <c r="CV10" s="21">
        <f t="shared" si="6"/>
        <v>0</v>
      </c>
      <c r="CW10" s="21">
        <f t="shared" si="6"/>
        <v>0</v>
      </c>
      <c r="CX10" s="21">
        <f t="shared" si="6"/>
        <v>0</v>
      </c>
      <c r="CY10" s="21">
        <f t="shared" si="6"/>
        <v>0</v>
      </c>
      <c r="CZ10" s="21">
        <f t="shared" si="6"/>
        <v>0</v>
      </c>
      <c r="DA10" s="21">
        <f t="shared" si="6"/>
        <v>0</v>
      </c>
      <c r="DB10" s="21">
        <f t="shared" si="6"/>
        <v>0</v>
      </c>
      <c r="DC10" s="21">
        <f t="shared" si="6"/>
        <v>0</v>
      </c>
      <c r="DD10" s="21">
        <f t="shared" si="6"/>
        <v>0</v>
      </c>
      <c r="DE10" s="21">
        <f t="shared" si="6"/>
        <v>0</v>
      </c>
      <c r="DF10" s="21">
        <f t="shared" si="6"/>
        <v>0</v>
      </c>
      <c r="DG10" s="21">
        <f t="shared" si="6"/>
        <v>0</v>
      </c>
      <c r="DH10" s="21">
        <f t="shared" si="6"/>
        <v>0</v>
      </c>
      <c r="DI10" s="21">
        <f t="shared" si="6"/>
        <v>0</v>
      </c>
      <c r="DJ10" s="21">
        <f t="shared" si="6"/>
        <v>0</v>
      </c>
      <c r="DK10" s="21">
        <f t="shared" si="6"/>
        <v>0</v>
      </c>
      <c r="DL10" s="21">
        <f t="shared" si="10"/>
        <v>0</v>
      </c>
      <c r="DM10" s="21">
        <f t="shared" si="10"/>
        <v>0</v>
      </c>
      <c r="DN10" s="21">
        <f t="shared" si="10"/>
        <v>0</v>
      </c>
      <c r="DO10" s="21">
        <f t="shared" si="10"/>
        <v>0</v>
      </c>
      <c r="DP10" s="21">
        <f t="shared" si="8"/>
        <v>0</v>
      </c>
      <c r="DQ10" s="21">
        <f t="shared" si="9"/>
        <v>0</v>
      </c>
      <c r="DR10" s="21">
        <f t="shared" si="9"/>
        <v>0</v>
      </c>
      <c r="DS10" s="21">
        <f t="shared" si="9"/>
        <v>0</v>
      </c>
      <c r="DT10" s="21">
        <f t="shared" si="9"/>
        <v>0</v>
      </c>
      <c r="DU10" s="21">
        <f t="shared" si="9"/>
        <v>0</v>
      </c>
      <c r="DV10" s="21">
        <f t="shared" si="9"/>
        <v>0</v>
      </c>
      <c r="DW10" s="21">
        <f t="shared" si="9"/>
        <v>0</v>
      </c>
      <c r="DX10" s="21">
        <f t="shared" si="9"/>
        <v>0</v>
      </c>
      <c r="DY10" s="21">
        <f t="shared" si="9"/>
        <v>0</v>
      </c>
      <c r="DZ10" s="21">
        <f t="shared" si="9"/>
        <v>0</v>
      </c>
      <c r="EA10" s="21">
        <f t="shared" si="9"/>
        <v>0</v>
      </c>
      <c r="EB10" s="21">
        <f t="shared" si="9"/>
        <v>0</v>
      </c>
      <c r="EC10" s="21">
        <f t="shared" si="9"/>
        <v>0</v>
      </c>
      <c r="ED10" s="21">
        <f t="shared" si="9"/>
        <v>0</v>
      </c>
      <c r="EE10" s="21">
        <f t="shared" si="9"/>
        <v>0</v>
      </c>
      <c r="EF10" s="21">
        <f t="shared" si="9"/>
        <v>0</v>
      </c>
      <c r="EG10" s="21">
        <f t="shared" si="9"/>
        <v>0</v>
      </c>
      <c r="EH10" s="21">
        <f t="shared" si="9"/>
        <v>0</v>
      </c>
      <c r="EI10" s="21">
        <f t="shared" si="9"/>
        <v>0</v>
      </c>
    </row>
    <row r="11" spans="1:139" s="21" customFormat="1" ht="15.75" customHeight="1" x14ac:dyDescent="0.2">
      <c r="A11" s="115" t="s">
        <v>174</v>
      </c>
      <c r="B11" s="28">
        <f>IF(CA11&gt;0,0,3)</f>
        <v>3</v>
      </c>
      <c r="C11" s="17" t="s">
        <v>115</v>
      </c>
      <c r="D11" s="17" t="s">
        <v>156</v>
      </c>
      <c r="E11" s="17" t="s">
        <v>110</v>
      </c>
      <c r="F11" s="17" t="s">
        <v>63</v>
      </c>
      <c r="G11" s="17" t="s">
        <v>190</v>
      </c>
      <c r="H11" s="17" t="s">
        <v>112</v>
      </c>
      <c r="I11" s="17" t="s">
        <v>171</v>
      </c>
      <c r="J11" s="17" t="s">
        <v>165</v>
      </c>
      <c r="K11" s="17" t="s">
        <v>122</v>
      </c>
      <c r="L11" s="17" t="s">
        <v>181</v>
      </c>
      <c r="M11" s="17" t="s">
        <v>167</v>
      </c>
      <c r="N11" s="17" t="s">
        <v>126</v>
      </c>
      <c r="O11" s="17" t="s">
        <v>198</v>
      </c>
      <c r="P11" s="17" t="s">
        <v>131</v>
      </c>
      <c r="Q11" s="17" t="s">
        <v>177</v>
      </c>
      <c r="R11" s="17"/>
      <c r="S11" s="17"/>
      <c r="T11" s="17"/>
      <c r="U11" s="17"/>
      <c r="V11" s="17" t="s">
        <v>143</v>
      </c>
      <c r="W11" s="17" t="s">
        <v>128</v>
      </c>
      <c r="X11" s="17" t="s">
        <v>185</v>
      </c>
      <c r="Y11" s="17" t="s">
        <v>199</v>
      </c>
      <c r="Z11" s="17" t="s">
        <v>179</v>
      </c>
      <c r="AA11" s="17" t="s">
        <v>139</v>
      </c>
      <c r="AB11" s="17" t="s">
        <v>130</v>
      </c>
      <c r="AC11" s="17" t="s">
        <v>145</v>
      </c>
      <c r="AD11" s="17" t="s">
        <v>125</v>
      </c>
      <c r="AE11" s="17" t="s">
        <v>148</v>
      </c>
      <c r="AF11" s="17" t="s">
        <v>182</v>
      </c>
      <c r="AG11" s="17" t="s">
        <v>140</v>
      </c>
      <c r="AH11" s="17" t="s">
        <v>189</v>
      </c>
      <c r="AI11" s="17" t="s">
        <v>135</v>
      </c>
      <c r="AJ11" s="17"/>
      <c r="AK11" s="17"/>
      <c r="AL11" s="17"/>
      <c r="AM11" s="17" t="s">
        <v>153</v>
      </c>
      <c r="AN11" s="17" t="s">
        <v>111</v>
      </c>
      <c r="AO11" s="17" t="s">
        <v>176</v>
      </c>
      <c r="AP11" s="17" t="s">
        <v>141</v>
      </c>
      <c r="AQ11" s="17" t="s">
        <v>134</v>
      </c>
      <c r="AR11" s="17" t="s">
        <v>124</v>
      </c>
      <c r="AS11" s="17" t="s">
        <v>187</v>
      </c>
      <c r="AT11" s="17" t="s">
        <v>163</v>
      </c>
      <c r="AU11" s="17" t="s">
        <v>116</v>
      </c>
      <c r="AV11" s="17" t="s">
        <v>137</v>
      </c>
      <c r="AW11" s="17" t="s">
        <v>200</v>
      </c>
      <c r="AX11" s="17" t="s">
        <v>197</v>
      </c>
      <c r="AY11" s="17" t="s">
        <v>132</v>
      </c>
      <c r="AZ11" s="17" t="s">
        <v>114</v>
      </c>
      <c r="BA11" s="17" t="s">
        <v>172</v>
      </c>
      <c r="BB11" s="17" t="s">
        <v>162</v>
      </c>
      <c r="BC11" s="17" t="s">
        <v>180</v>
      </c>
      <c r="BD11" s="17" t="s">
        <v>155</v>
      </c>
      <c r="BE11" s="17" t="s">
        <v>168</v>
      </c>
      <c r="BF11" s="17" t="s">
        <v>186</v>
      </c>
      <c r="BG11" s="17" t="s">
        <v>191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20"/>
      <c r="BW11" s="20"/>
      <c r="BX11" s="20"/>
      <c r="BY11" s="20"/>
      <c r="CA11" s="21">
        <f t="shared" si="3"/>
        <v>0</v>
      </c>
      <c r="CB11" s="21">
        <f t="shared" si="4"/>
        <v>0</v>
      </c>
      <c r="CC11" s="21">
        <f t="shared" si="4"/>
        <v>0</v>
      </c>
      <c r="CD11" s="21">
        <f t="shared" si="4"/>
        <v>0</v>
      </c>
      <c r="CE11" s="21">
        <f t="shared" si="4"/>
        <v>0</v>
      </c>
      <c r="CF11" s="21">
        <f t="shared" si="4"/>
        <v>0</v>
      </c>
      <c r="CG11" s="21">
        <f t="shared" si="4"/>
        <v>0</v>
      </c>
      <c r="CH11" s="21">
        <f t="shared" si="4"/>
        <v>0</v>
      </c>
      <c r="CI11" s="21">
        <f t="shared" si="4"/>
        <v>0</v>
      </c>
      <c r="CJ11" s="21">
        <f t="shared" si="4"/>
        <v>0</v>
      </c>
      <c r="CK11" s="21">
        <f t="shared" si="4"/>
        <v>0</v>
      </c>
      <c r="CL11" s="21">
        <f t="shared" si="4"/>
        <v>0</v>
      </c>
      <c r="CM11" s="21">
        <f t="shared" si="4"/>
        <v>0</v>
      </c>
      <c r="CN11" s="21">
        <f t="shared" si="4"/>
        <v>0</v>
      </c>
      <c r="CO11" s="21">
        <f t="shared" si="4"/>
        <v>0</v>
      </c>
      <c r="CP11" s="21">
        <f t="shared" si="4"/>
        <v>0</v>
      </c>
      <c r="CQ11" s="21">
        <f t="shared" si="4"/>
        <v>0</v>
      </c>
      <c r="CR11" s="21">
        <f t="shared" si="5"/>
        <v>0</v>
      </c>
      <c r="CV11" s="21">
        <f t="shared" si="6"/>
        <v>0</v>
      </c>
      <c r="CW11" s="21">
        <f t="shared" si="6"/>
        <v>0</v>
      </c>
      <c r="CX11" s="21">
        <f t="shared" si="6"/>
        <v>0</v>
      </c>
      <c r="CY11" s="21">
        <f t="shared" si="6"/>
        <v>0</v>
      </c>
      <c r="CZ11" s="21">
        <f t="shared" si="6"/>
        <v>0</v>
      </c>
      <c r="DA11" s="21">
        <f t="shared" si="6"/>
        <v>0</v>
      </c>
      <c r="DB11" s="21">
        <f t="shared" si="6"/>
        <v>0</v>
      </c>
      <c r="DC11" s="21">
        <f t="shared" si="6"/>
        <v>0</v>
      </c>
      <c r="DD11" s="21">
        <f t="shared" si="6"/>
        <v>0</v>
      </c>
      <c r="DE11" s="21">
        <f t="shared" si="6"/>
        <v>0</v>
      </c>
      <c r="DF11" s="21">
        <f t="shared" si="6"/>
        <v>0</v>
      </c>
      <c r="DG11" s="21">
        <f t="shared" si="6"/>
        <v>0</v>
      </c>
      <c r="DH11" s="21">
        <f t="shared" si="6"/>
        <v>0</v>
      </c>
      <c r="DI11" s="21">
        <f t="shared" si="6"/>
        <v>0</v>
      </c>
      <c r="DJ11" s="21">
        <f t="shared" si="6"/>
        <v>0</v>
      </c>
      <c r="DK11" s="21">
        <f t="shared" si="6"/>
        <v>0</v>
      </c>
      <c r="DL11" s="21">
        <f t="shared" si="10"/>
        <v>0</v>
      </c>
      <c r="DM11" s="21">
        <f t="shared" si="10"/>
        <v>0</v>
      </c>
      <c r="DN11" s="21">
        <f t="shared" si="10"/>
        <v>0</v>
      </c>
      <c r="DO11" s="21">
        <f t="shared" si="10"/>
        <v>0</v>
      </c>
      <c r="DP11" s="21">
        <f t="shared" si="8"/>
        <v>0</v>
      </c>
      <c r="DQ11" s="21">
        <f t="shared" si="9"/>
        <v>0</v>
      </c>
      <c r="DR11" s="21">
        <f t="shared" si="9"/>
        <v>0</v>
      </c>
      <c r="DS11" s="21">
        <f t="shared" si="9"/>
        <v>0</v>
      </c>
      <c r="DT11" s="21">
        <f t="shared" si="9"/>
        <v>0</v>
      </c>
      <c r="DU11" s="21">
        <f t="shared" si="9"/>
        <v>0</v>
      </c>
      <c r="DV11" s="21">
        <f t="shared" si="9"/>
        <v>0</v>
      </c>
      <c r="DW11" s="21">
        <f t="shared" si="9"/>
        <v>0</v>
      </c>
      <c r="DX11" s="21">
        <f t="shared" si="9"/>
        <v>0</v>
      </c>
      <c r="DY11" s="21">
        <f t="shared" si="9"/>
        <v>0</v>
      </c>
      <c r="DZ11" s="21">
        <f t="shared" si="9"/>
        <v>0</v>
      </c>
      <c r="EA11" s="21">
        <f t="shared" si="9"/>
        <v>0</v>
      </c>
      <c r="EB11" s="21">
        <f t="shared" si="9"/>
        <v>0</v>
      </c>
      <c r="EC11" s="21">
        <f t="shared" si="9"/>
        <v>0</v>
      </c>
      <c r="ED11" s="21">
        <f t="shared" si="9"/>
        <v>0</v>
      </c>
      <c r="EE11" s="21">
        <f t="shared" si="9"/>
        <v>0</v>
      </c>
      <c r="EF11" s="21">
        <f t="shared" si="9"/>
        <v>0</v>
      </c>
      <c r="EG11" s="21">
        <f t="shared" si="9"/>
        <v>0</v>
      </c>
      <c r="EH11" s="21">
        <f t="shared" si="9"/>
        <v>0</v>
      </c>
      <c r="EI11" s="21">
        <f t="shared" si="9"/>
        <v>0</v>
      </c>
    </row>
    <row r="12" spans="1:139" s="21" customFormat="1" ht="15.75" customHeight="1" x14ac:dyDescent="0.2">
      <c r="A12" s="115"/>
      <c r="B12" s="28">
        <f>IF(CA12&gt;0,0,4)</f>
        <v>4</v>
      </c>
      <c r="C12" s="17" t="s">
        <v>191</v>
      </c>
      <c r="D12" s="17" t="s">
        <v>170</v>
      </c>
      <c r="E12" s="17" t="s">
        <v>110</v>
      </c>
      <c r="F12" s="17" t="s">
        <v>112</v>
      </c>
      <c r="G12" s="17" t="s">
        <v>190</v>
      </c>
      <c r="H12" s="17" t="s">
        <v>178</v>
      </c>
      <c r="I12" s="17" t="s">
        <v>121</v>
      </c>
      <c r="J12" s="17" t="s">
        <v>113</v>
      </c>
      <c r="K12" s="17" t="s">
        <v>122</v>
      </c>
      <c r="L12" s="17" t="s">
        <v>135</v>
      </c>
      <c r="M12" s="17" t="s">
        <v>159</v>
      </c>
      <c r="N12" s="17" t="s">
        <v>126</v>
      </c>
      <c r="O12" s="17" t="s">
        <v>179</v>
      </c>
      <c r="P12" s="17" t="s">
        <v>131</v>
      </c>
      <c r="Q12" s="17" t="s">
        <v>177</v>
      </c>
      <c r="R12" s="17"/>
      <c r="S12" s="17"/>
      <c r="T12" s="17"/>
      <c r="U12" s="17"/>
      <c r="V12" s="17" t="s">
        <v>155</v>
      </c>
      <c r="W12" s="17" t="s">
        <v>171</v>
      </c>
      <c r="X12" s="17" t="s">
        <v>185</v>
      </c>
      <c r="Y12" s="17" t="s">
        <v>199</v>
      </c>
      <c r="Z12" s="17" t="s">
        <v>128</v>
      </c>
      <c r="AA12" s="17" t="s">
        <v>129</v>
      </c>
      <c r="AB12" s="17" t="s">
        <v>130</v>
      </c>
      <c r="AC12" s="17" t="s">
        <v>145</v>
      </c>
      <c r="AD12" s="17" t="s">
        <v>125</v>
      </c>
      <c r="AE12" s="17" t="s">
        <v>201</v>
      </c>
      <c r="AF12" s="17" t="s">
        <v>182</v>
      </c>
      <c r="AG12" s="17" t="s">
        <v>140</v>
      </c>
      <c r="AH12" s="17" t="s">
        <v>115</v>
      </c>
      <c r="AI12" s="17" t="s">
        <v>186</v>
      </c>
      <c r="AJ12" s="17"/>
      <c r="AK12" s="17"/>
      <c r="AL12" s="17"/>
      <c r="AM12" s="17" t="s">
        <v>181</v>
      </c>
      <c r="AN12" s="17" t="s">
        <v>111</v>
      </c>
      <c r="AO12" s="17" t="s">
        <v>124</v>
      </c>
      <c r="AP12" s="17" t="s">
        <v>143</v>
      </c>
      <c r="AQ12" s="17" t="s">
        <v>197</v>
      </c>
      <c r="AR12" s="17" t="s">
        <v>157</v>
      </c>
      <c r="AS12" s="17" t="s">
        <v>187</v>
      </c>
      <c r="AT12" s="17" t="s">
        <v>189</v>
      </c>
      <c r="AU12" s="17" t="s">
        <v>116</v>
      </c>
      <c r="AV12" s="17" t="s">
        <v>137</v>
      </c>
      <c r="AW12" s="17" t="s">
        <v>200</v>
      </c>
      <c r="AX12" s="17" t="s">
        <v>165</v>
      </c>
      <c r="AY12" s="17" t="s">
        <v>173</v>
      </c>
      <c r="AZ12" s="17" t="s">
        <v>114</v>
      </c>
      <c r="BA12" s="17" t="s">
        <v>172</v>
      </c>
      <c r="BB12" s="17" t="s">
        <v>176</v>
      </c>
      <c r="BC12" s="17" t="s">
        <v>153</v>
      </c>
      <c r="BD12" s="17" t="s">
        <v>195</v>
      </c>
      <c r="BE12" s="17" t="s">
        <v>202</v>
      </c>
      <c r="BF12" s="17" t="s">
        <v>134</v>
      </c>
      <c r="BG12" s="17" t="s">
        <v>168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20"/>
      <c r="BW12" s="20"/>
      <c r="BX12" s="20"/>
      <c r="BY12" s="20"/>
      <c r="CA12" s="21">
        <f t="shared" si="3"/>
        <v>0</v>
      </c>
      <c r="CB12" s="21">
        <f t="shared" si="4"/>
        <v>0</v>
      </c>
      <c r="CC12" s="21">
        <f t="shared" si="4"/>
        <v>0</v>
      </c>
      <c r="CD12" s="21">
        <f t="shared" si="4"/>
        <v>0</v>
      </c>
      <c r="CE12" s="21">
        <f t="shared" si="4"/>
        <v>0</v>
      </c>
      <c r="CF12" s="21">
        <f t="shared" si="4"/>
        <v>0</v>
      </c>
      <c r="CG12" s="21">
        <f t="shared" si="4"/>
        <v>0</v>
      </c>
      <c r="CH12" s="21">
        <f t="shared" si="4"/>
        <v>0</v>
      </c>
      <c r="CI12" s="21">
        <f t="shared" si="4"/>
        <v>0</v>
      </c>
      <c r="CJ12" s="21">
        <f t="shared" si="4"/>
        <v>0</v>
      </c>
      <c r="CK12" s="21">
        <f t="shared" si="4"/>
        <v>0</v>
      </c>
      <c r="CL12" s="21">
        <f t="shared" si="4"/>
        <v>0</v>
      </c>
      <c r="CM12" s="21">
        <f t="shared" si="4"/>
        <v>0</v>
      </c>
      <c r="CN12" s="21">
        <f t="shared" si="4"/>
        <v>0</v>
      </c>
      <c r="CO12" s="21">
        <f t="shared" si="4"/>
        <v>0</v>
      </c>
      <c r="CP12" s="21">
        <f t="shared" si="4"/>
        <v>0</v>
      </c>
      <c r="CQ12" s="21">
        <f t="shared" si="4"/>
        <v>0</v>
      </c>
      <c r="CR12" s="21">
        <f t="shared" si="5"/>
        <v>0</v>
      </c>
      <c r="CV12" s="21">
        <f t="shared" si="6"/>
        <v>0</v>
      </c>
      <c r="CW12" s="21">
        <f t="shared" si="6"/>
        <v>0</v>
      </c>
      <c r="CX12" s="21">
        <f t="shared" si="6"/>
        <v>0</v>
      </c>
      <c r="CY12" s="21">
        <f t="shared" si="6"/>
        <v>0</v>
      </c>
      <c r="CZ12" s="21">
        <f t="shared" si="6"/>
        <v>0</v>
      </c>
      <c r="DA12" s="21">
        <f t="shared" si="6"/>
        <v>0</v>
      </c>
      <c r="DB12" s="21">
        <f t="shared" si="6"/>
        <v>0</v>
      </c>
      <c r="DC12" s="21">
        <f t="shared" si="6"/>
        <v>0</v>
      </c>
      <c r="DD12" s="21">
        <f t="shared" si="6"/>
        <v>0</v>
      </c>
      <c r="DE12" s="21">
        <f t="shared" si="6"/>
        <v>0</v>
      </c>
      <c r="DF12" s="21">
        <f t="shared" si="6"/>
        <v>0</v>
      </c>
      <c r="DG12" s="21">
        <f t="shared" si="6"/>
        <v>0</v>
      </c>
      <c r="DH12" s="21">
        <f t="shared" si="6"/>
        <v>0</v>
      </c>
      <c r="DI12" s="21">
        <f t="shared" si="6"/>
        <v>0</v>
      </c>
      <c r="DJ12" s="21">
        <f t="shared" si="6"/>
        <v>0</v>
      </c>
      <c r="DK12" s="21">
        <f t="shared" si="6"/>
        <v>0</v>
      </c>
      <c r="DL12" s="21">
        <f t="shared" si="10"/>
        <v>0</v>
      </c>
      <c r="DM12" s="21">
        <f t="shared" si="10"/>
        <v>0</v>
      </c>
      <c r="DN12" s="21">
        <f t="shared" si="10"/>
        <v>0</v>
      </c>
      <c r="DO12" s="21">
        <f t="shared" si="10"/>
        <v>0</v>
      </c>
      <c r="DP12" s="21">
        <f t="shared" si="8"/>
        <v>0</v>
      </c>
      <c r="DQ12" s="21">
        <f t="shared" si="9"/>
        <v>0</v>
      </c>
      <c r="DR12" s="21">
        <f t="shared" si="9"/>
        <v>0</v>
      </c>
      <c r="DS12" s="21">
        <f t="shared" si="9"/>
        <v>0</v>
      </c>
      <c r="DT12" s="21">
        <f t="shared" si="9"/>
        <v>0</v>
      </c>
      <c r="DU12" s="21">
        <f t="shared" si="9"/>
        <v>0</v>
      </c>
      <c r="DV12" s="21">
        <f t="shared" si="9"/>
        <v>0</v>
      </c>
      <c r="DW12" s="21">
        <f t="shared" si="9"/>
        <v>0</v>
      </c>
      <c r="DX12" s="21">
        <f t="shared" si="9"/>
        <v>0</v>
      </c>
      <c r="DY12" s="21">
        <f t="shared" si="9"/>
        <v>0</v>
      </c>
      <c r="DZ12" s="21">
        <f t="shared" si="9"/>
        <v>0</v>
      </c>
      <c r="EA12" s="21">
        <f t="shared" si="9"/>
        <v>0</v>
      </c>
      <c r="EB12" s="21">
        <f t="shared" si="9"/>
        <v>0</v>
      </c>
      <c r="EC12" s="21">
        <f t="shared" si="9"/>
        <v>0</v>
      </c>
      <c r="ED12" s="21">
        <f t="shared" si="9"/>
        <v>0</v>
      </c>
      <c r="EE12" s="21">
        <f t="shared" si="9"/>
        <v>0</v>
      </c>
      <c r="EF12" s="21">
        <f t="shared" si="9"/>
        <v>0</v>
      </c>
      <c r="EG12" s="21">
        <f t="shared" si="9"/>
        <v>0</v>
      </c>
      <c r="EH12" s="21">
        <f t="shared" si="9"/>
        <v>0</v>
      </c>
      <c r="EI12" s="21">
        <f t="shared" si="9"/>
        <v>0</v>
      </c>
    </row>
    <row r="13" spans="1:139" s="21" customFormat="1" ht="15.75" customHeight="1" thickBot="1" x14ac:dyDescent="0.25">
      <c r="A13" s="116"/>
      <c r="B13" s="29">
        <f>IF(CA13&gt;0,0,5)</f>
        <v>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0"/>
      <c r="BW13" s="20"/>
      <c r="BX13" s="20"/>
      <c r="BY13" s="20"/>
      <c r="CA13" s="21">
        <f t="shared" si="3"/>
        <v>0</v>
      </c>
      <c r="CB13" s="21">
        <f t="shared" si="4"/>
        <v>0</v>
      </c>
      <c r="CC13" s="21">
        <f t="shared" si="4"/>
        <v>0</v>
      </c>
      <c r="CD13" s="21">
        <f t="shared" si="4"/>
        <v>0</v>
      </c>
      <c r="CE13" s="21">
        <f t="shared" si="4"/>
        <v>0</v>
      </c>
      <c r="CF13" s="21">
        <f t="shared" si="4"/>
        <v>0</v>
      </c>
      <c r="CG13" s="21">
        <f t="shared" si="4"/>
        <v>0</v>
      </c>
      <c r="CH13" s="21">
        <f t="shared" si="4"/>
        <v>0</v>
      </c>
      <c r="CI13" s="21">
        <f t="shared" si="4"/>
        <v>0</v>
      </c>
      <c r="CJ13" s="21">
        <f t="shared" si="4"/>
        <v>0</v>
      </c>
      <c r="CK13" s="21">
        <f t="shared" si="4"/>
        <v>0</v>
      </c>
      <c r="CL13" s="21">
        <f t="shared" si="4"/>
        <v>0</v>
      </c>
      <c r="CM13" s="21">
        <f t="shared" si="4"/>
        <v>0</v>
      </c>
      <c r="CN13" s="21">
        <f t="shared" si="4"/>
        <v>0</v>
      </c>
      <c r="CO13" s="21">
        <f t="shared" si="4"/>
        <v>0</v>
      </c>
      <c r="CP13" s="21">
        <f t="shared" si="4"/>
        <v>0</v>
      </c>
      <c r="CQ13" s="21">
        <f t="shared" si="4"/>
        <v>0</v>
      </c>
      <c r="CR13" s="21">
        <f t="shared" si="5"/>
        <v>0</v>
      </c>
      <c r="CV13" s="21">
        <f t="shared" si="6"/>
        <v>0</v>
      </c>
      <c r="CW13" s="21">
        <f t="shared" si="6"/>
        <v>0</v>
      </c>
      <c r="CX13" s="21">
        <f t="shared" si="6"/>
        <v>0</v>
      </c>
      <c r="CY13" s="21">
        <f t="shared" si="6"/>
        <v>0</v>
      </c>
      <c r="CZ13" s="21">
        <f t="shared" si="6"/>
        <v>0</v>
      </c>
      <c r="DA13" s="21">
        <f t="shared" si="6"/>
        <v>0</v>
      </c>
      <c r="DB13" s="21">
        <f t="shared" si="6"/>
        <v>0</v>
      </c>
      <c r="DC13" s="21">
        <f t="shared" si="6"/>
        <v>0</v>
      </c>
      <c r="DD13" s="21">
        <f t="shared" si="6"/>
        <v>0</v>
      </c>
      <c r="DE13" s="21">
        <f t="shared" si="6"/>
        <v>0</v>
      </c>
      <c r="DF13" s="21">
        <f t="shared" si="6"/>
        <v>0</v>
      </c>
      <c r="DG13" s="21">
        <f t="shared" si="6"/>
        <v>0</v>
      </c>
      <c r="DH13" s="21">
        <f t="shared" si="6"/>
        <v>0</v>
      </c>
      <c r="DI13" s="21">
        <f t="shared" si="6"/>
        <v>0</v>
      </c>
      <c r="DJ13" s="21">
        <f t="shared" si="6"/>
        <v>0</v>
      </c>
      <c r="DK13" s="21">
        <f t="shared" si="6"/>
        <v>0</v>
      </c>
      <c r="DL13" s="21">
        <f t="shared" si="10"/>
        <v>0</v>
      </c>
      <c r="DM13" s="21">
        <f t="shared" si="10"/>
        <v>0</v>
      </c>
      <c r="DN13" s="21">
        <f t="shared" si="10"/>
        <v>0</v>
      </c>
      <c r="DO13" s="21">
        <f t="shared" si="10"/>
        <v>0</v>
      </c>
      <c r="DP13" s="21">
        <f t="shared" si="8"/>
        <v>0</v>
      </c>
      <c r="DQ13" s="21">
        <f t="shared" si="9"/>
        <v>0</v>
      </c>
      <c r="DR13" s="21">
        <f t="shared" si="9"/>
        <v>0</v>
      </c>
      <c r="DS13" s="21">
        <f t="shared" si="9"/>
        <v>0</v>
      </c>
      <c r="DT13" s="21">
        <f t="shared" si="9"/>
        <v>0</v>
      </c>
      <c r="DU13" s="21">
        <f t="shared" si="9"/>
        <v>0</v>
      </c>
      <c r="DV13" s="21">
        <f t="shared" si="9"/>
        <v>0</v>
      </c>
      <c r="DW13" s="21">
        <f t="shared" si="9"/>
        <v>0</v>
      </c>
      <c r="DX13" s="21">
        <f t="shared" si="9"/>
        <v>0</v>
      </c>
      <c r="DY13" s="21">
        <f t="shared" si="9"/>
        <v>0</v>
      </c>
      <c r="DZ13" s="21">
        <f t="shared" si="9"/>
        <v>0</v>
      </c>
      <c r="EA13" s="21">
        <f t="shared" si="9"/>
        <v>0</v>
      </c>
      <c r="EB13" s="21">
        <f t="shared" si="9"/>
        <v>0</v>
      </c>
      <c r="EC13" s="21">
        <f t="shared" si="9"/>
        <v>0</v>
      </c>
      <c r="ED13" s="21">
        <f t="shared" si="9"/>
        <v>0</v>
      </c>
      <c r="EE13" s="21">
        <f t="shared" si="9"/>
        <v>0</v>
      </c>
      <c r="EF13" s="21">
        <f t="shared" si="9"/>
        <v>0</v>
      </c>
      <c r="EG13" s="21">
        <f t="shared" si="9"/>
        <v>0</v>
      </c>
      <c r="EH13" s="21">
        <f t="shared" si="9"/>
        <v>0</v>
      </c>
      <c r="EI13" s="21">
        <f t="shared" si="9"/>
        <v>0</v>
      </c>
    </row>
    <row r="14" spans="1:139" s="21" customFormat="1" ht="15.75" customHeight="1" x14ac:dyDescent="0.2">
      <c r="A14" s="117" t="s">
        <v>203</v>
      </c>
      <c r="B14" s="27">
        <f>IF(CA14&gt;0,0,1)</f>
        <v>1</v>
      </c>
      <c r="C14" s="17" t="s">
        <v>204</v>
      </c>
      <c r="D14" s="17" t="s">
        <v>161</v>
      </c>
      <c r="E14" s="17" t="s">
        <v>120</v>
      </c>
      <c r="F14" s="17" t="s">
        <v>185</v>
      </c>
      <c r="G14" s="17" t="s">
        <v>177</v>
      </c>
      <c r="H14" s="17" t="s">
        <v>205</v>
      </c>
      <c r="I14" s="17" t="s">
        <v>123</v>
      </c>
      <c r="J14" s="17" t="s">
        <v>206</v>
      </c>
      <c r="K14" s="17" t="s">
        <v>207</v>
      </c>
      <c r="L14" s="17" t="s">
        <v>118</v>
      </c>
      <c r="M14" s="17" t="s">
        <v>208</v>
      </c>
      <c r="N14" s="17" t="s">
        <v>180</v>
      </c>
      <c r="O14" s="17" t="s">
        <v>114</v>
      </c>
      <c r="P14" s="17" t="s">
        <v>136</v>
      </c>
      <c r="Q14" s="17" t="s">
        <v>121</v>
      </c>
      <c r="R14" s="17"/>
      <c r="S14" s="17"/>
      <c r="T14" s="19"/>
      <c r="U14" s="19"/>
      <c r="V14" s="17" t="s">
        <v>142</v>
      </c>
      <c r="W14" s="17" t="s">
        <v>128</v>
      </c>
      <c r="X14" s="17" t="s">
        <v>132</v>
      </c>
      <c r="Y14" s="17" t="s">
        <v>209</v>
      </c>
      <c r="Z14" s="17" t="s">
        <v>210</v>
      </c>
      <c r="AA14" s="17" t="s">
        <v>211</v>
      </c>
      <c r="AB14" s="17" t="s">
        <v>137</v>
      </c>
      <c r="AC14" s="17" t="s">
        <v>212</v>
      </c>
      <c r="AD14" s="17" t="s">
        <v>213</v>
      </c>
      <c r="AE14" s="17" t="s">
        <v>189</v>
      </c>
      <c r="AF14" s="17" t="s">
        <v>152</v>
      </c>
      <c r="AG14" s="17" t="s">
        <v>169</v>
      </c>
      <c r="AH14" s="17" t="s">
        <v>214</v>
      </c>
      <c r="AI14" s="17" t="s">
        <v>163</v>
      </c>
      <c r="AJ14" s="17"/>
      <c r="AK14" s="17"/>
      <c r="AL14" s="17"/>
      <c r="AM14" s="17" t="s">
        <v>176</v>
      </c>
      <c r="AN14" s="17" t="s">
        <v>187</v>
      </c>
      <c r="AO14" s="17" t="s">
        <v>117</v>
      </c>
      <c r="AP14" s="17" t="s">
        <v>183</v>
      </c>
      <c r="AQ14" s="17" t="s">
        <v>155</v>
      </c>
      <c r="AR14" s="17" t="s">
        <v>164</v>
      </c>
      <c r="AS14" s="17" t="s">
        <v>215</v>
      </c>
      <c r="AT14" s="17" t="s">
        <v>102</v>
      </c>
      <c r="AU14" s="17" t="s">
        <v>146</v>
      </c>
      <c r="AV14" s="17" t="s">
        <v>133</v>
      </c>
      <c r="AW14" s="17" t="s">
        <v>165</v>
      </c>
      <c r="AX14" s="17" t="s">
        <v>171</v>
      </c>
      <c r="AY14" s="17" t="s">
        <v>149</v>
      </c>
      <c r="AZ14" s="17" t="s">
        <v>216</v>
      </c>
      <c r="BA14" s="17" t="s">
        <v>147</v>
      </c>
      <c r="BB14" s="17" t="s">
        <v>162</v>
      </c>
      <c r="BC14" s="17" t="s">
        <v>159</v>
      </c>
      <c r="BD14" s="17" t="s">
        <v>113</v>
      </c>
      <c r="BE14" s="17" t="s">
        <v>191</v>
      </c>
      <c r="BF14" s="17" t="s">
        <v>168</v>
      </c>
      <c r="BG14" s="17" t="s">
        <v>156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20"/>
      <c r="BW14" s="20"/>
      <c r="BX14" s="20"/>
      <c r="BY14" s="20"/>
      <c r="CA14" s="21">
        <f t="shared" si="3"/>
        <v>0</v>
      </c>
      <c r="CB14" s="21">
        <f t="shared" si="4"/>
        <v>0</v>
      </c>
      <c r="CC14" s="21">
        <f t="shared" si="4"/>
        <v>0</v>
      </c>
      <c r="CD14" s="21">
        <f t="shared" si="4"/>
        <v>0</v>
      </c>
      <c r="CE14" s="21">
        <f t="shared" si="4"/>
        <v>0</v>
      </c>
      <c r="CF14" s="21">
        <f t="shared" si="4"/>
        <v>0</v>
      </c>
      <c r="CG14" s="21">
        <f t="shared" si="4"/>
        <v>0</v>
      </c>
      <c r="CH14" s="21">
        <f t="shared" si="4"/>
        <v>0</v>
      </c>
      <c r="CI14" s="21">
        <f t="shared" si="4"/>
        <v>0</v>
      </c>
      <c r="CJ14" s="21">
        <f t="shared" si="4"/>
        <v>0</v>
      </c>
      <c r="CK14" s="21">
        <f t="shared" si="4"/>
        <v>0</v>
      </c>
      <c r="CL14" s="21">
        <f t="shared" si="4"/>
        <v>0</v>
      </c>
      <c r="CM14" s="21">
        <f t="shared" si="4"/>
        <v>0</v>
      </c>
      <c r="CN14" s="21">
        <f t="shared" si="4"/>
        <v>0</v>
      </c>
      <c r="CO14" s="21">
        <f t="shared" si="4"/>
        <v>0</v>
      </c>
      <c r="CP14" s="21">
        <f t="shared" si="4"/>
        <v>0</v>
      </c>
      <c r="CQ14" s="21">
        <f t="shared" si="4"/>
        <v>0</v>
      </c>
      <c r="CR14" s="21">
        <f t="shared" si="5"/>
        <v>0</v>
      </c>
      <c r="CV14" s="21">
        <f t="shared" si="6"/>
        <v>0</v>
      </c>
      <c r="CW14" s="21">
        <f t="shared" si="6"/>
        <v>0</v>
      </c>
      <c r="CX14" s="21">
        <f t="shared" si="6"/>
        <v>0</v>
      </c>
      <c r="CY14" s="21">
        <f t="shared" si="6"/>
        <v>0</v>
      </c>
      <c r="CZ14" s="21">
        <f t="shared" si="6"/>
        <v>0</v>
      </c>
      <c r="DA14" s="21">
        <f t="shared" si="6"/>
        <v>0</v>
      </c>
      <c r="DB14" s="21">
        <f t="shared" si="6"/>
        <v>0</v>
      </c>
      <c r="DC14" s="21">
        <f t="shared" si="6"/>
        <v>0</v>
      </c>
      <c r="DD14" s="21">
        <f t="shared" si="6"/>
        <v>0</v>
      </c>
      <c r="DE14" s="21">
        <f t="shared" si="6"/>
        <v>0</v>
      </c>
      <c r="DF14" s="21">
        <f t="shared" si="6"/>
        <v>0</v>
      </c>
      <c r="DG14" s="21">
        <f t="shared" si="6"/>
        <v>0</v>
      </c>
      <c r="DH14" s="21">
        <f t="shared" si="6"/>
        <v>0</v>
      </c>
      <c r="DI14" s="21">
        <f t="shared" si="6"/>
        <v>0</v>
      </c>
      <c r="DJ14" s="21">
        <f t="shared" si="6"/>
        <v>0</v>
      </c>
      <c r="DK14" s="21">
        <f t="shared" si="6"/>
        <v>0</v>
      </c>
      <c r="DL14" s="21">
        <f t="shared" si="10"/>
        <v>0</v>
      </c>
      <c r="DM14" s="21">
        <f t="shared" si="10"/>
        <v>0</v>
      </c>
      <c r="DN14" s="21">
        <f t="shared" si="10"/>
        <v>0</v>
      </c>
      <c r="DO14" s="21">
        <f t="shared" si="10"/>
        <v>0</v>
      </c>
      <c r="DP14" s="21">
        <f t="shared" si="8"/>
        <v>0</v>
      </c>
      <c r="DQ14" s="21">
        <f t="shared" si="9"/>
        <v>0</v>
      </c>
      <c r="DR14" s="21">
        <f t="shared" si="9"/>
        <v>0</v>
      </c>
      <c r="DS14" s="21">
        <f t="shared" si="9"/>
        <v>0</v>
      </c>
      <c r="DT14" s="21">
        <f t="shared" si="9"/>
        <v>0</v>
      </c>
      <c r="DU14" s="21">
        <f t="shared" si="9"/>
        <v>0</v>
      </c>
      <c r="DV14" s="21">
        <f t="shared" si="9"/>
        <v>0</v>
      </c>
      <c r="DW14" s="21">
        <f t="shared" si="9"/>
        <v>0</v>
      </c>
      <c r="DX14" s="21">
        <f t="shared" si="9"/>
        <v>0</v>
      </c>
      <c r="DY14" s="21">
        <f>IF(COUNTIF($C14:$BG14,#REF!)&gt;1,"X",0)</f>
        <v>0</v>
      </c>
      <c r="DZ14" s="21">
        <f t="shared" si="9"/>
        <v>0</v>
      </c>
      <c r="EA14" s="21">
        <f>IF(COUNTIF($C14:$BG14,#REF!)&gt;1,"X",0)</f>
        <v>0</v>
      </c>
      <c r="EB14" s="21">
        <f>IF(COUNTIF($C14:$BG14,AZ17)&gt;1,"X",0)</f>
        <v>0</v>
      </c>
      <c r="EC14" s="21">
        <f t="shared" si="9"/>
        <v>0</v>
      </c>
      <c r="ED14" s="21">
        <f t="shared" si="9"/>
        <v>0</v>
      </c>
      <c r="EE14" s="21">
        <f t="shared" si="9"/>
        <v>0</v>
      </c>
      <c r="EF14" s="21">
        <f t="shared" si="9"/>
        <v>0</v>
      </c>
      <c r="EG14" s="21">
        <f t="shared" si="9"/>
        <v>0</v>
      </c>
      <c r="EH14" s="21">
        <f t="shared" si="9"/>
        <v>0</v>
      </c>
      <c r="EI14" s="21">
        <f t="shared" si="9"/>
        <v>0</v>
      </c>
    </row>
    <row r="15" spans="1:139" s="21" customFormat="1" ht="15.75" customHeight="1" x14ac:dyDescent="0.2">
      <c r="A15" s="115" t="s">
        <v>193</v>
      </c>
      <c r="B15" s="28">
        <f>IF(CA15&gt;0,0,2)</f>
        <v>2</v>
      </c>
      <c r="C15" s="17" t="s">
        <v>171</v>
      </c>
      <c r="D15" s="17" t="s">
        <v>176</v>
      </c>
      <c r="E15" s="17" t="s">
        <v>120</v>
      </c>
      <c r="F15" s="17" t="s">
        <v>170</v>
      </c>
      <c r="G15" s="17" t="s">
        <v>177</v>
      </c>
      <c r="H15" s="17" t="s">
        <v>205</v>
      </c>
      <c r="I15" s="17" t="s">
        <v>123</v>
      </c>
      <c r="J15" s="17" t="s">
        <v>206</v>
      </c>
      <c r="K15" s="17" t="s">
        <v>117</v>
      </c>
      <c r="L15" s="17" t="s">
        <v>118</v>
      </c>
      <c r="M15" s="17" t="s">
        <v>185</v>
      </c>
      <c r="N15" s="17" t="s">
        <v>156</v>
      </c>
      <c r="O15" s="17" t="s">
        <v>179</v>
      </c>
      <c r="P15" s="17" t="s">
        <v>136</v>
      </c>
      <c r="Q15" s="17" t="s">
        <v>168</v>
      </c>
      <c r="R15" s="17"/>
      <c r="S15" s="17"/>
      <c r="T15" s="17"/>
      <c r="U15" s="17"/>
      <c r="V15" s="17" t="s">
        <v>142</v>
      </c>
      <c r="W15" s="17" t="s">
        <v>128</v>
      </c>
      <c r="X15" s="17" t="s">
        <v>77</v>
      </c>
      <c r="Y15" s="17" t="s">
        <v>209</v>
      </c>
      <c r="Z15" s="17" t="s">
        <v>210</v>
      </c>
      <c r="AA15" s="17" t="s">
        <v>211</v>
      </c>
      <c r="AB15" s="17" t="s">
        <v>137</v>
      </c>
      <c r="AC15" s="17" t="s">
        <v>212</v>
      </c>
      <c r="AD15" s="17" t="s">
        <v>161</v>
      </c>
      <c r="AE15" s="17" t="s">
        <v>105</v>
      </c>
      <c r="AF15" s="17" t="s">
        <v>152</v>
      </c>
      <c r="AG15" s="17" t="s">
        <v>169</v>
      </c>
      <c r="AH15" s="17" t="s">
        <v>214</v>
      </c>
      <c r="AI15" s="17" t="s">
        <v>189</v>
      </c>
      <c r="AJ15" s="17"/>
      <c r="AK15" s="17"/>
      <c r="AL15" s="17"/>
      <c r="AM15" s="17" t="s">
        <v>89</v>
      </c>
      <c r="AN15" s="17" t="s">
        <v>187</v>
      </c>
      <c r="AO15" s="17" t="s">
        <v>114</v>
      </c>
      <c r="AP15" s="17" t="s">
        <v>165</v>
      </c>
      <c r="AQ15" s="17" t="s">
        <v>213</v>
      </c>
      <c r="AR15" s="17" t="s">
        <v>159</v>
      </c>
      <c r="AS15" s="17" t="s">
        <v>133</v>
      </c>
      <c r="AT15" s="17" t="s">
        <v>186</v>
      </c>
      <c r="AU15" s="17" t="s">
        <v>163</v>
      </c>
      <c r="AV15" s="17" t="s">
        <v>147</v>
      </c>
      <c r="AW15" s="17" t="s">
        <v>191</v>
      </c>
      <c r="AX15" s="17" t="s">
        <v>148</v>
      </c>
      <c r="AY15" s="17" t="s">
        <v>208</v>
      </c>
      <c r="AZ15" s="17" t="s">
        <v>166</v>
      </c>
      <c r="BA15" s="17" t="s">
        <v>132</v>
      </c>
      <c r="BB15" s="17" t="s">
        <v>200</v>
      </c>
      <c r="BC15" s="17" t="s">
        <v>180</v>
      </c>
      <c r="BD15" s="17" t="s">
        <v>154</v>
      </c>
      <c r="BE15" s="17" t="s">
        <v>155</v>
      </c>
      <c r="BF15" s="17" t="s">
        <v>198</v>
      </c>
      <c r="BG15" s="17" t="s">
        <v>164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20"/>
      <c r="BW15" s="20"/>
      <c r="BX15" s="20"/>
      <c r="BY15" s="20"/>
      <c r="CA15" s="21">
        <f t="shared" si="3"/>
        <v>0</v>
      </c>
      <c r="CB15" s="21">
        <f t="shared" si="4"/>
        <v>0</v>
      </c>
      <c r="CC15" s="21">
        <f t="shared" si="4"/>
        <v>0</v>
      </c>
      <c r="CD15" s="21">
        <f t="shared" si="4"/>
        <v>0</v>
      </c>
      <c r="CE15" s="21">
        <f t="shared" si="4"/>
        <v>0</v>
      </c>
      <c r="CF15" s="21">
        <f t="shared" si="4"/>
        <v>0</v>
      </c>
      <c r="CG15" s="21">
        <f t="shared" si="4"/>
        <v>0</v>
      </c>
      <c r="CH15" s="21">
        <f t="shared" si="4"/>
        <v>0</v>
      </c>
      <c r="CI15" s="21">
        <f t="shared" si="4"/>
        <v>0</v>
      </c>
      <c r="CJ15" s="21">
        <f t="shared" si="4"/>
        <v>0</v>
      </c>
      <c r="CK15" s="21">
        <f t="shared" si="4"/>
        <v>0</v>
      </c>
      <c r="CL15" s="21">
        <f t="shared" si="4"/>
        <v>0</v>
      </c>
      <c r="CM15" s="21">
        <f t="shared" si="4"/>
        <v>0</v>
      </c>
      <c r="CN15" s="21">
        <f t="shared" si="4"/>
        <v>0</v>
      </c>
      <c r="CO15" s="21">
        <f t="shared" si="4"/>
        <v>0</v>
      </c>
      <c r="CP15" s="21">
        <f t="shared" si="4"/>
        <v>0</v>
      </c>
      <c r="CQ15" s="21">
        <f t="shared" si="4"/>
        <v>0</v>
      </c>
      <c r="CR15" s="21">
        <f t="shared" si="5"/>
        <v>0</v>
      </c>
      <c r="CV15" s="21">
        <f t="shared" si="6"/>
        <v>0</v>
      </c>
      <c r="CW15" s="21">
        <f t="shared" si="6"/>
        <v>0</v>
      </c>
      <c r="CX15" s="21">
        <f t="shared" si="6"/>
        <v>0</v>
      </c>
      <c r="CY15" s="21">
        <f t="shared" si="6"/>
        <v>0</v>
      </c>
      <c r="CZ15" s="21">
        <f t="shared" si="6"/>
        <v>0</v>
      </c>
      <c r="DA15" s="21">
        <f t="shared" si="6"/>
        <v>0</v>
      </c>
      <c r="DB15" s="21">
        <f t="shared" si="6"/>
        <v>0</v>
      </c>
      <c r="DC15" s="21">
        <f t="shared" si="6"/>
        <v>0</v>
      </c>
      <c r="DD15" s="21">
        <f t="shared" si="6"/>
        <v>0</v>
      </c>
      <c r="DE15" s="21">
        <f t="shared" si="6"/>
        <v>0</v>
      </c>
      <c r="DF15" s="21">
        <f t="shared" si="6"/>
        <v>0</v>
      </c>
      <c r="DG15" s="21">
        <f t="shared" si="6"/>
        <v>0</v>
      </c>
      <c r="DH15" s="21">
        <f t="shared" si="6"/>
        <v>0</v>
      </c>
      <c r="DI15" s="21">
        <f t="shared" si="6"/>
        <v>0</v>
      </c>
      <c r="DJ15" s="21">
        <f t="shared" si="6"/>
        <v>0</v>
      </c>
      <c r="DK15" s="21">
        <f t="shared" si="6"/>
        <v>0</v>
      </c>
      <c r="DL15" s="21">
        <f t="shared" si="10"/>
        <v>0</v>
      </c>
      <c r="DM15" s="21">
        <f t="shared" si="10"/>
        <v>0</v>
      </c>
      <c r="DN15" s="21">
        <f t="shared" si="10"/>
        <v>0</v>
      </c>
      <c r="DO15" s="21">
        <f t="shared" si="10"/>
        <v>0</v>
      </c>
      <c r="DP15" s="21">
        <f t="shared" si="8"/>
        <v>0</v>
      </c>
      <c r="DQ15" s="21">
        <f>IF(COUNTIF($C15:$BG15,#REF!)&gt;1,"X",0)</f>
        <v>0</v>
      </c>
      <c r="DR15" s="21">
        <f t="shared" si="9"/>
        <v>0</v>
      </c>
      <c r="DS15" s="21">
        <f t="shared" si="9"/>
        <v>0</v>
      </c>
      <c r="DT15" s="21">
        <f t="shared" si="9"/>
        <v>0</v>
      </c>
      <c r="DU15" s="21">
        <f t="shared" si="9"/>
        <v>0</v>
      </c>
      <c r="DV15" s="21">
        <f t="shared" si="9"/>
        <v>0</v>
      </c>
      <c r="DW15" s="21">
        <f t="shared" si="9"/>
        <v>0</v>
      </c>
      <c r="DX15" s="21">
        <f t="shared" si="9"/>
        <v>0</v>
      </c>
      <c r="DY15" s="21">
        <f>IF(COUNTIF($C15:$BG15,AW15)&gt;1,"X",0)</f>
        <v>0</v>
      </c>
      <c r="DZ15" s="21">
        <f t="shared" si="9"/>
        <v>0</v>
      </c>
      <c r="EA15" s="21">
        <f>IF(COUNTIF($C15:$BG15,AY14)&gt;1,"X",0)</f>
        <v>0</v>
      </c>
      <c r="EB15" s="21">
        <f>IF(COUNTIF($C15:$BG15,#REF!)&gt;1,"X",0)</f>
        <v>0</v>
      </c>
      <c r="EC15" s="21">
        <f t="shared" si="9"/>
        <v>0</v>
      </c>
      <c r="ED15" s="21">
        <f t="shared" si="9"/>
        <v>0</v>
      </c>
      <c r="EE15" s="21">
        <f t="shared" si="9"/>
        <v>0</v>
      </c>
      <c r="EF15" s="21">
        <f t="shared" si="9"/>
        <v>0</v>
      </c>
      <c r="EG15" s="21">
        <f t="shared" si="9"/>
        <v>0</v>
      </c>
      <c r="EH15" s="21">
        <f t="shared" si="9"/>
        <v>0</v>
      </c>
      <c r="EI15" s="21">
        <f t="shared" si="9"/>
        <v>0</v>
      </c>
    </row>
    <row r="16" spans="1:139" s="21" customFormat="1" ht="15.75" customHeight="1" x14ac:dyDescent="0.2">
      <c r="A16" s="115" t="s">
        <v>217</v>
      </c>
      <c r="B16" s="28">
        <f>IF(CA16&gt;0,0,3)</f>
        <v>3</v>
      </c>
      <c r="C16" s="17" t="s">
        <v>214</v>
      </c>
      <c r="D16" s="17" t="s">
        <v>156</v>
      </c>
      <c r="E16" s="17" t="s">
        <v>218</v>
      </c>
      <c r="F16" s="17" t="s">
        <v>211</v>
      </c>
      <c r="G16" s="17" t="s">
        <v>64</v>
      </c>
      <c r="H16" s="17" t="s">
        <v>169</v>
      </c>
      <c r="I16" s="17" t="s">
        <v>209</v>
      </c>
      <c r="J16" s="17" t="s">
        <v>113</v>
      </c>
      <c r="K16" s="17" t="s">
        <v>176</v>
      </c>
      <c r="L16" s="17" t="s">
        <v>154</v>
      </c>
      <c r="M16" s="17" t="s">
        <v>149</v>
      </c>
      <c r="N16" s="17" t="s">
        <v>125</v>
      </c>
      <c r="O16" s="17" t="s">
        <v>210</v>
      </c>
      <c r="P16" s="17" t="s">
        <v>206</v>
      </c>
      <c r="Q16" s="17" t="s">
        <v>168</v>
      </c>
      <c r="R16" s="17"/>
      <c r="S16" s="17"/>
      <c r="T16" s="17"/>
      <c r="U16" s="17"/>
      <c r="V16" s="17" t="s">
        <v>132</v>
      </c>
      <c r="W16" s="17" t="s">
        <v>177</v>
      </c>
      <c r="X16" s="17" t="s">
        <v>120</v>
      </c>
      <c r="Y16" s="17" t="s">
        <v>126</v>
      </c>
      <c r="Z16" s="17" t="s">
        <v>185</v>
      </c>
      <c r="AA16" s="17" t="s">
        <v>161</v>
      </c>
      <c r="AB16" s="17" t="s">
        <v>152</v>
      </c>
      <c r="AC16" s="17" t="s">
        <v>146</v>
      </c>
      <c r="AD16" s="17" t="s">
        <v>179</v>
      </c>
      <c r="AE16" s="17" t="s">
        <v>205</v>
      </c>
      <c r="AF16" s="17" t="s">
        <v>148</v>
      </c>
      <c r="AG16" s="17" t="s">
        <v>133</v>
      </c>
      <c r="AH16" s="17" t="s">
        <v>136</v>
      </c>
      <c r="AI16" s="17" t="s">
        <v>135</v>
      </c>
      <c r="AJ16" s="17"/>
      <c r="AK16" s="17"/>
      <c r="AL16" s="17"/>
      <c r="AM16" s="17" t="s">
        <v>216</v>
      </c>
      <c r="AN16" s="17" t="s">
        <v>123</v>
      </c>
      <c r="AO16" s="17" t="s">
        <v>114</v>
      </c>
      <c r="AP16" s="17" t="s">
        <v>165</v>
      </c>
      <c r="AQ16" s="17" t="s">
        <v>142</v>
      </c>
      <c r="AR16" s="17" t="s">
        <v>191</v>
      </c>
      <c r="AS16" s="17" t="s">
        <v>159</v>
      </c>
      <c r="AT16" s="17" t="s">
        <v>189</v>
      </c>
      <c r="AU16" s="17" t="s">
        <v>183</v>
      </c>
      <c r="AV16" s="17" t="s">
        <v>128</v>
      </c>
      <c r="AW16" s="17" t="s">
        <v>147</v>
      </c>
      <c r="AX16" s="17" t="s">
        <v>121</v>
      </c>
      <c r="AY16" s="17" t="s">
        <v>208</v>
      </c>
      <c r="AZ16" s="17" t="s">
        <v>166</v>
      </c>
      <c r="BA16" s="17" t="s">
        <v>137</v>
      </c>
      <c r="BB16" s="17" t="s">
        <v>200</v>
      </c>
      <c r="BC16" s="17" t="s">
        <v>186</v>
      </c>
      <c r="BD16" s="17" t="s">
        <v>155</v>
      </c>
      <c r="BE16" s="17" t="s">
        <v>187</v>
      </c>
      <c r="BF16" s="17" t="s">
        <v>198</v>
      </c>
      <c r="BG16" s="17" t="s">
        <v>164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20"/>
      <c r="BW16" s="20"/>
      <c r="BX16" s="20"/>
      <c r="BY16" s="20"/>
      <c r="CA16" s="21">
        <f t="shared" si="3"/>
        <v>0</v>
      </c>
      <c r="CB16" s="21">
        <f t="shared" si="4"/>
        <v>0</v>
      </c>
      <c r="CC16" s="21">
        <f t="shared" si="4"/>
        <v>0</v>
      </c>
      <c r="CD16" s="21">
        <f t="shared" si="4"/>
        <v>0</v>
      </c>
      <c r="CE16" s="21">
        <f t="shared" si="4"/>
        <v>0</v>
      </c>
      <c r="CF16" s="21">
        <f t="shared" si="4"/>
        <v>0</v>
      </c>
      <c r="CG16" s="21">
        <f t="shared" si="4"/>
        <v>0</v>
      </c>
      <c r="CH16" s="21">
        <f t="shared" si="4"/>
        <v>0</v>
      </c>
      <c r="CI16" s="21">
        <f t="shared" si="4"/>
        <v>0</v>
      </c>
      <c r="CJ16" s="21">
        <f t="shared" si="4"/>
        <v>0</v>
      </c>
      <c r="CK16" s="21">
        <f t="shared" si="4"/>
        <v>0</v>
      </c>
      <c r="CL16" s="21">
        <f t="shared" si="4"/>
        <v>0</v>
      </c>
      <c r="CM16" s="21">
        <f t="shared" si="4"/>
        <v>0</v>
      </c>
      <c r="CN16" s="21">
        <f t="shared" si="4"/>
        <v>0</v>
      </c>
      <c r="CO16" s="21">
        <f t="shared" si="4"/>
        <v>0</v>
      </c>
      <c r="CP16" s="21">
        <f t="shared" si="4"/>
        <v>0</v>
      </c>
      <c r="CQ16" s="21">
        <f t="shared" si="4"/>
        <v>0</v>
      </c>
      <c r="CR16" s="21">
        <f t="shared" si="5"/>
        <v>0</v>
      </c>
      <c r="CV16" s="21">
        <f t="shared" si="6"/>
        <v>0</v>
      </c>
      <c r="CW16" s="21">
        <f t="shared" si="6"/>
        <v>0</v>
      </c>
      <c r="CX16" s="21">
        <f t="shared" si="6"/>
        <v>0</v>
      </c>
      <c r="CY16" s="21">
        <f t="shared" si="6"/>
        <v>0</v>
      </c>
      <c r="CZ16" s="21">
        <f t="shared" si="6"/>
        <v>0</v>
      </c>
      <c r="DA16" s="21">
        <f t="shared" si="6"/>
        <v>0</v>
      </c>
      <c r="DB16" s="21">
        <f t="shared" si="6"/>
        <v>0</v>
      </c>
      <c r="DC16" s="21">
        <f t="shared" si="6"/>
        <v>0</v>
      </c>
      <c r="DD16" s="21">
        <f t="shared" si="6"/>
        <v>0</v>
      </c>
      <c r="DE16" s="21">
        <f t="shared" si="6"/>
        <v>0</v>
      </c>
      <c r="DF16" s="21">
        <f t="shared" si="6"/>
        <v>0</v>
      </c>
      <c r="DG16" s="21">
        <f t="shared" si="6"/>
        <v>0</v>
      </c>
      <c r="DH16" s="21">
        <f t="shared" si="6"/>
        <v>0</v>
      </c>
      <c r="DI16" s="21">
        <f t="shared" si="6"/>
        <v>0</v>
      </c>
      <c r="DJ16" s="21">
        <f t="shared" si="6"/>
        <v>0</v>
      </c>
      <c r="DK16" s="21">
        <f t="shared" si="6"/>
        <v>0</v>
      </c>
      <c r="DL16" s="21">
        <f t="shared" si="10"/>
        <v>0</v>
      </c>
      <c r="DM16" s="21">
        <f t="shared" si="10"/>
        <v>0</v>
      </c>
      <c r="DN16" s="21">
        <f t="shared" si="10"/>
        <v>0</v>
      </c>
      <c r="DO16" s="21">
        <f t="shared" si="10"/>
        <v>0</v>
      </c>
      <c r="DP16" s="21">
        <f t="shared" si="8"/>
        <v>0</v>
      </c>
      <c r="DQ16" s="21">
        <f>IF(COUNTIF($C16:$BG16,AO16)&gt;1,"X",0)</f>
        <v>0</v>
      </c>
      <c r="DR16" s="21">
        <f t="shared" si="9"/>
        <v>0</v>
      </c>
      <c r="DS16" s="21">
        <f t="shared" si="9"/>
        <v>0</v>
      </c>
      <c r="DT16" s="21">
        <f t="shared" si="9"/>
        <v>0</v>
      </c>
      <c r="DU16" s="21">
        <f t="shared" si="9"/>
        <v>0</v>
      </c>
      <c r="DV16" s="21">
        <f t="shared" si="9"/>
        <v>0</v>
      </c>
      <c r="DW16" s="21">
        <f t="shared" si="9"/>
        <v>0</v>
      </c>
      <c r="DX16" s="21">
        <f t="shared" si="9"/>
        <v>0</v>
      </c>
      <c r="DY16" s="21">
        <f>IF(COUNTIF($C16:$BG16,AW16)&gt;1,"X",0)</f>
        <v>0</v>
      </c>
      <c r="DZ16" s="21">
        <f t="shared" si="9"/>
        <v>0</v>
      </c>
      <c r="EA16" s="21">
        <f>IF(COUNTIF($C16:$BG16,AY15)&gt;1,"X",0)</f>
        <v>0</v>
      </c>
      <c r="EB16" s="21">
        <f>IF(COUNTIF($C16:$BG16,AZ14)&gt;1,"X",0)</f>
        <v>0</v>
      </c>
      <c r="EC16" s="21">
        <f t="shared" si="9"/>
        <v>0</v>
      </c>
      <c r="ED16" s="21">
        <f t="shared" si="9"/>
        <v>0</v>
      </c>
      <c r="EE16" s="21">
        <f t="shared" si="9"/>
        <v>0</v>
      </c>
      <c r="EF16" s="21">
        <f t="shared" si="9"/>
        <v>0</v>
      </c>
      <c r="EG16" s="21">
        <f t="shared" si="9"/>
        <v>0</v>
      </c>
      <c r="EH16" s="21">
        <f t="shared" si="9"/>
        <v>0</v>
      </c>
      <c r="EI16" s="21">
        <f t="shared" si="9"/>
        <v>0</v>
      </c>
    </row>
    <row r="17" spans="1:139" s="21" customFormat="1" ht="15.75" customHeight="1" x14ac:dyDescent="0.2">
      <c r="A17" s="115"/>
      <c r="B17" s="28">
        <f>IF(CA17&gt;0,0,4)</f>
        <v>4</v>
      </c>
      <c r="C17" s="17" t="s">
        <v>214</v>
      </c>
      <c r="D17" s="17" t="s">
        <v>126</v>
      </c>
      <c r="E17" s="17" t="s">
        <v>218</v>
      </c>
      <c r="F17" s="17" t="s">
        <v>211</v>
      </c>
      <c r="G17" s="17" t="s">
        <v>64</v>
      </c>
      <c r="H17" s="17" t="s">
        <v>169</v>
      </c>
      <c r="I17" s="17" t="s">
        <v>209</v>
      </c>
      <c r="J17" s="17" t="s">
        <v>113</v>
      </c>
      <c r="K17" s="17" t="s">
        <v>165</v>
      </c>
      <c r="L17" s="17" t="s">
        <v>154</v>
      </c>
      <c r="M17" s="17" t="s">
        <v>149</v>
      </c>
      <c r="N17" s="17" t="s">
        <v>176</v>
      </c>
      <c r="O17" s="17" t="s">
        <v>210</v>
      </c>
      <c r="P17" s="17" t="s">
        <v>206</v>
      </c>
      <c r="Q17" s="17" t="s">
        <v>118</v>
      </c>
      <c r="R17" s="17"/>
      <c r="S17" s="17"/>
      <c r="T17" s="17"/>
      <c r="U17" s="17"/>
      <c r="V17" s="17" t="s">
        <v>155</v>
      </c>
      <c r="W17" s="17" t="s">
        <v>177</v>
      </c>
      <c r="X17" s="17" t="s">
        <v>120</v>
      </c>
      <c r="Y17" s="17" t="s">
        <v>185</v>
      </c>
      <c r="Z17" s="17" t="s">
        <v>142</v>
      </c>
      <c r="AA17" s="17" t="s">
        <v>161</v>
      </c>
      <c r="AB17" s="17" t="s">
        <v>133</v>
      </c>
      <c r="AC17" s="17" t="s">
        <v>146</v>
      </c>
      <c r="AD17" s="17" t="s">
        <v>125</v>
      </c>
      <c r="AE17" s="17" t="s">
        <v>148</v>
      </c>
      <c r="AF17" s="17" t="s">
        <v>205</v>
      </c>
      <c r="AG17" s="17" t="s">
        <v>135</v>
      </c>
      <c r="AH17" s="17" t="s">
        <v>136</v>
      </c>
      <c r="AI17" s="17" t="s">
        <v>179</v>
      </c>
      <c r="AJ17" s="17"/>
      <c r="AK17" s="17"/>
      <c r="AL17" s="17"/>
      <c r="AM17" s="17" t="s">
        <v>138</v>
      </c>
      <c r="AN17" s="17" t="s">
        <v>90</v>
      </c>
      <c r="AO17" s="17" t="s">
        <v>195</v>
      </c>
      <c r="AP17" s="17" t="s">
        <v>166</v>
      </c>
      <c r="AQ17" s="17" t="s">
        <v>128</v>
      </c>
      <c r="AR17" s="17" t="s">
        <v>213</v>
      </c>
      <c r="AS17" s="17" t="s">
        <v>159</v>
      </c>
      <c r="AT17" s="17" t="s">
        <v>163</v>
      </c>
      <c r="AU17" s="17" t="s">
        <v>189</v>
      </c>
      <c r="AV17" s="17" t="s">
        <v>121</v>
      </c>
      <c r="AW17" s="17" t="s">
        <v>147</v>
      </c>
      <c r="AX17" s="17" t="s">
        <v>164</v>
      </c>
      <c r="AY17" s="17" t="s">
        <v>180</v>
      </c>
      <c r="AZ17" s="17" t="s">
        <v>114</v>
      </c>
      <c r="BA17" s="17" t="s">
        <v>137</v>
      </c>
      <c r="BB17" s="17" t="s">
        <v>132</v>
      </c>
      <c r="BC17" s="17" t="s">
        <v>162</v>
      </c>
      <c r="BD17" s="17" t="s">
        <v>186</v>
      </c>
      <c r="BE17" s="17" t="s">
        <v>187</v>
      </c>
      <c r="BF17" s="17" t="s">
        <v>123</v>
      </c>
      <c r="BG17" s="17" t="s">
        <v>191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20"/>
      <c r="BW17" s="20"/>
      <c r="BX17" s="20"/>
      <c r="BY17" s="20"/>
      <c r="CA17" s="21">
        <f t="shared" si="3"/>
        <v>0</v>
      </c>
      <c r="CB17" s="21">
        <f t="shared" si="4"/>
        <v>0</v>
      </c>
      <c r="CC17" s="21">
        <f t="shared" si="4"/>
        <v>0</v>
      </c>
      <c r="CD17" s="21">
        <f t="shared" si="4"/>
        <v>0</v>
      </c>
      <c r="CE17" s="21">
        <f t="shared" si="4"/>
        <v>0</v>
      </c>
      <c r="CF17" s="21">
        <f t="shared" si="4"/>
        <v>0</v>
      </c>
      <c r="CG17" s="21">
        <f t="shared" si="4"/>
        <v>0</v>
      </c>
      <c r="CH17" s="21">
        <f t="shared" si="4"/>
        <v>0</v>
      </c>
      <c r="CI17" s="21">
        <f t="shared" si="4"/>
        <v>0</v>
      </c>
      <c r="CJ17" s="21">
        <f t="shared" si="4"/>
        <v>0</v>
      </c>
      <c r="CK17" s="21">
        <f t="shared" si="4"/>
        <v>0</v>
      </c>
      <c r="CL17" s="21">
        <f t="shared" si="4"/>
        <v>0</v>
      </c>
      <c r="CM17" s="21">
        <f t="shared" si="4"/>
        <v>0</v>
      </c>
      <c r="CN17" s="21">
        <f t="shared" si="4"/>
        <v>0</v>
      </c>
      <c r="CO17" s="21">
        <f t="shared" si="4"/>
        <v>0</v>
      </c>
      <c r="CP17" s="21">
        <f t="shared" si="4"/>
        <v>0</v>
      </c>
      <c r="CQ17" s="21">
        <f t="shared" si="4"/>
        <v>0</v>
      </c>
      <c r="CR17" s="21">
        <f t="shared" si="5"/>
        <v>0</v>
      </c>
      <c r="CV17" s="21">
        <f t="shared" si="6"/>
        <v>0</v>
      </c>
      <c r="CW17" s="21">
        <f t="shared" si="6"/>
        <v>0</v>
      </c>
      <c r="CX17" s="21">
        <f t="shared" si="6"/>
        <v>0</v>
      </c>
      <c r="CY17" s="21">
        <f t="shared" si="6"/>
        <v>0</v>
      </c>
      <c r="CZ17" s="21">
        <f t="shared" si="6"/>
        <v>0</v>
      </c>
      <c r="DA17" s="21">
        <f t="shared" si="6"/>
        <v>0</v>
      </c>
      <c r="DB17" s="21">
        <f t="shared" si="6"/>
        <v>0</v>
      </c>
      <c r="DC17" s="21">
        <f t="shared" si="6"/>
        <v>0</v>
      </c>
      <c r="DD17" s="21">
        <f t="shared" si="6"/>
        <v>0</v>
      </c>
      <c r="DE17" s="21">
        <f t="shared" si="6"/>
        <v>0</v>
      </c>
      <c r="DF17" s="21">
        <f t="shared" si="6"/>
        <v>0</v>
      </c>
      <c r="DG17" s="21">
        <f t="shared" si="6"/>
        <v>0</v>
      </c>
      <c r="DH17" s="21">
        <f t="shared" si="6"/>
        <v>0</v>
      </c>
      <c r="DI17" s="21">
        <f t="shared" si="6"/>
        <v>0</v>
      </c>
      <c r="DJ17" s="21">
        <f t="shared" si="6"/>
        <v>0</v>
      </c>
      <c r="DK17" s="21">
        <f t="shared" si="6"/>
        <v>0</v>
      </c>
      <c r="DL17" s="21">
        <f t="shared" si="10"/>
        <v>0</v>
      </c>
      <c r="DM17" s="21">
        <f t="shared" si="10"/>
        <v>0</v>
      </c>
      <c r="DN17" s="21">
        <f t="shared" si="10"/>
        <v>0</v>
      </c>
      <c r="DO17" s="21">
        <f t="shared" si="10"/>
        <v>0</v>
      </c>
      <c r="DP17" s="21">
        <f>IF(COUNTIF(C17:BI17,#REF!)&gt;1,"X",0)</f>
        <v>0</v>
      </c>
      <c r="DQ17" s="21">
        <f>IF(COUNTIF($C17:$BG17,AO15)&gt;1,"X",0)</f>
        <v>0</v>
      </c>
      <c r="DR17" s="21">
        <f t="shared" si="9"/>
        <v>0</v>
      </c>
      <c r="DS17" s="21">
        <f t="shared" si="9"/>
        <v>0</v>
      </c>
      <c r="DT17" s="21">
        <f t="shared" si="9"/>
        <v>0</v>
      </c>
      <c r="DU17" s="21">
        <f t="shared" si="9"/>
        <v>0</v>
      </c>
      <c r="DV17" s="21">
        <f t="shared" si="9"/>
        <v>0</v>
      </c>
      <c r="DW17" s="21">
        <f t="shared" si="9"/>
        <v>0</v>
      </c>
      <c r="DX17" s="21">
        <f t="shared" si="9"/>
        <v>0</v>
      </c>
      <c r="DY17" s="21">
        <f>IF(COUNTIF($C17:$BG17,AW14)&gt;1,"X",0)</f>
        <v>0</v>
      </c>
      <c r="DZ17" s="21">
        <f t="shared" si="9"/>
        <v>0</v>
      </c>
      <c r="EA17" s="21">
        <f t="shared" si="9"/>
        <v>0</v>
      </c>
      <c r="EB17" s="21">
        <f>IF(COUNTIF($C17:$BG17,#REF!)&gt;1,"X",0)</f>
        <v>0</v>
      </c>
      <c r="EC17" s="21">
        <f t="shared" si="9"/>
        <v>0</v>
      </c>
      <c r="ED17" s="21">
        <f t="shared" si="9"/>
        <v>0</v>
      </c>
      <c r="EE17" s="21">
        <f t="shared" si="9"/>
        <v>0</v>
      </c>
      <c r="EF17" s="21">
        <f t="shared" si="9"/>
        <v>0</v>
      </c>
      <c r="EG17" s="21">
        <f t="shared" si="9"/>
        <v>0</v>
      </c>
      <c r="EH17" s="21">
        <f t="shared" si="9"/>
        <v>0</v>
      </c>
      <c r="EI17" s="21">
        <f t="shared" si="9"/>
        <v>0</v>
      </c>
    </row>
    <row r="18" spans="1:139" s="21" customFormat="1" ht="15.75" customHeight="1" thickBot="1" x14ac:dyDescent="0.25">
      <c r="A18" s="116"/>
      <c r="B18" s="29">
        <f>IF(CA18&gt;0,0,5)</f>
        <v>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0"/>
      <c r="BW18" s="20"/>
      <c r="BX18" s="20"/>
      <c r="BY18" s="20"/>
      <c r="CA18" s="21">
        <f t="shared" si="3"/>
        <v>0</v>
      </c>
      <c r="CB18" s="21">
        <f t="shared" si="4"/>
        <v>0</v>
      </c>
      <c r="CC18" s="21">
        <f t="shared" si="4"/>
        <v>0</v>
      </c>
      <c r="CD18" s="21">
        <f t="shared" si="4"/>
        <v>0</v>
      </c>
      <c r="CE18" s="21">
        <f t="shared" si="4"/>
        <v>0</v>
      </c>
      <c r="CF18" s="21">
        <f t="shared" si="4"/>
        <v>0</v>
      </c>
      <c r="CG18" s="21">
        <f t="shared" si="4"/>
        <v>0</v>
      </c>
      <c r="CH18" s="21">
        <f t="shared" si="4"/>
        <v>0</v>
      </c>
      <c r="CI18" s="21">
        <f t="shared" si="4"/>
        <v>0</v>
      </c>
      <c r="CJ18" s="21">
        <f t="shared" si="4"/>
        <v>0</v>
      </c>
      <c r="CK18" s="21">
        <f t="shared" si="4"/>
        <v>0</v>
      </c>
      <c r="CL18" s="21">
        <f t="shared" si="4"/>
        <v>0</v>
      </c>
      <c r="CM18" s="21">
        <f t="shared" si="4"/>
        <v>0</v>
      </c>
      <c r="CN18" s="21">
        <f t="shared" si="4"/>
        <v>0</v>
      </c>
      <c r="CO18" s="21">
        <f t="shared" si="4"/>
        <v>0</v>
      </c>
      <c r="CP18" s="21">
        <f t="shared" si="4"/>
        <v>0</v>
      </c>
      <c r="CQ18" s="21">
        <f t="shared" si="4"/>
        <v>0</v>
      </c>
      <c r="CR18" s="21">
        <f t="shared" si="5"/>
        <v>0</v>
      </c>
      <c r="CV18" s="21">
        <f t="shared" si="6"/>
        <v>0</v>
      </c>
      <c r="CW18" s="21">
        <f t="shared" si="6"/>
        <v>0</v>
      </c>
      <c r="CX18" s="21">
        <f t="shared" si="6"/>
        <v>0</v>
      </c>
      <c r="CY18" s="21">
        <f t="shared" si="6"/>
        <v>0</v>
      </c>
      <c r="CZ18" s="21">
        <f t="shared" si="6"/>
        <v>0</v>
      </c>
      <c r="DA18" s="21">
        <f t="shared" si="6"/>
        <v>0</v>
      </c>
      <c r="DB18" s="21">
        <f t="shared" si="6"/>
        <v>0</v>
      </c>
      <c r="DC18" s="21">
        <f t="shared" si="6"/>
        <v>0</v>
      </c>
      <c r="DD18" s="21">
        <f t="shared" si="6"/>
        <v>0</v>
      </c>
      <c r="DE18" s="21">
        <f t="shared" si="6"/>
        <v>0</v>
      </c>
      <c r="DF18" s="21">
        <f t="shared" si="6"/>
        <v>0</v>
      </c>
      <c r="DG18" s="21">
        <f t="shared" si="6"/>
        <v>0</v>
      </c>
      <c r="DH18" s="21">
        <f t="shared" si="6"/>
        <v>0</v>
      </c>
      <c r="DI18" s="21">
        <f t="shared" si="6"/>
        <v>0</v>
      </c>
      <c r="DJ18" s="21">
        <f t="shared" si="6"/>
        <v>0</v>
      </c>
      <c r="DK18" s="21">
        <f t="shared" si="6"/>
        <v>0</v>
      </c>
      <c r="DL18" s="21">
        <f t="shared" si="10"/>
        <v>0</v>
      </c>
      <c r="DM18" s="21">
        <f t="shared" si="10"/>
        <v>0</v>
      </c>
      <c r="DN18" s="21">
        <f t="shared" si="10"/>
        <v>0</v>
      </c>
      <c r="DO18" s="21">
        <f t="shared" si="10"/>
        <v>0</v>
      </c>
      <c r="DP18" s="21">
        <f t="shared" ref="DP18:DP33" si="11">IF(COUNTIF(C18:BI18,AN18)&gt;1,"X",0)</f>
        <v>0</v>
      </c>
      <c r="DQ18" s="21">
        <f t="shared" ref="DQ18:DU33" si="12">IF(COUNTIF($C18:$BG18,AO18)&gt;1,"X",0)</f>
        <v>0</v>
      </c>
      <c r="DR18" s="21">
        <f t="shared" si="9"/>
        <v>0</v>
      </c>
      <c r="DS18" s="21">
        <f t="shared" si="9"/>
        <v>0</v>
      </c>
      <c r="DT18" s="21">
        <f t="shared" si="9"/>
        <v>0</v>
      </c>
      <c r="DU18" s="21">
        <f t="shared" si="9"/>
        <v>0</v>
      </c>
      <c r="DV18" s="21">
        <f t="shared" si="9"/>
        <v>0</v>
      </c>
      <c r="DW18" s="21">
        <f t="shared" si="9"/>
        <v>0</v>
      </c>
      <c r="DX18" s="21">
        <f t="shared" ref="DX18:EI33" si="13">IF(COUNTIF($C18:$BG18,AV18)&gt;1,"X",0)</f>
        <v>0</v>
      </c>
      <c r="DY18" s="21">
        <f t="shared" si="13"/>
        <v>0</v>
      </c>
      <c r="DZ18" s="21">
        <f t="shared" si="13"/>
        <v>0</v>
      </c>
      <c r="EA18" s="21">
        <f t="shared" si="13"/>
        <v>0</v>
      </c>
      <c r="EB18" s="21">
        <f t="shared" si="13"/>
        <v>0</v>
      </c>
      <c r="EC18" s="21">
        <f t="shared" si="13"/>
        <v>0</v>
      </c>
      <c r="ED18" s="21">
        <f t="shared" si="13"/>
        <v>0</v>
      </c>
      <c r="EE18" s="21">
        <f t="shared" si="13"/>
        <v>0</v>
      </c>
      <c r="EF18" s="21">
        <f t="shared" si="13"/>
        <v>0</v>
      </c>
      <c r="EG18" s="21">
        <f t="shared" si="13"/>
        <v>0</v>
      </c>
      <c r="EH18" s="21">
        <f t="shared" si="13"/>
        <v>0</v>
      </c>
      <c r="EI18" s="21">
        <f t="shared" si="13"/>
        <v>0</v>
      </c>
    </row>
    <row r="19" spans="1:139" s="21" customFormat="1" ht="15.75" customHeight="1" x14ac:dyDescent="0.2">
      <c r="A19" s="117" t="s">
        <v>219</v>
      </c>
      <c r="B19" s="27">
        <f>IF(CA19&gt;0,0,1)</f>
        <v>1</v>
      </c>
      <c r="C19" s="17" t="s">
        <v>191</v>
      </c>
      <c r="D19" s="17" t="s">
        <v>175</v>
      </c>
      <c r="E19" s="17" t="s">
        <v>111</v>
      </c>
      <c r="F19" s="17" t="s">
        <v>136</v>
      </c>
      <c r="G19" s="17" t="s">
        <v>116</v>
      </c>
      <c r="H19" s="17" t="s">
        <v>169</v>
      </c>
      <c r="I19" s="17" t="s">
        <v>138</v>
      </c>
      <c r="J19" s="17" t="s">
        <v>220</v>
      </c>
      <c r="K19" s="17" t="s">
        <v>165</v>
      </c>
      <c r="L19" s="17" t="s">
        <v>176</v>
      </c>
      <c r="M19" s="17" t="s">
        <v>198</v>
      </c>
      <c r="N19" s="17" t="s">
        <v>181</v>
      </c>
      <c r="O19" s="17" t="s">
        <v>149</v>
      </c>
      <c r="P19" s="17" t="s">
        <v>180</v>
      </c>
      <c r="Q19" s="17" t="s">
        <v>123</v>
      </c>
      <c r="R19" s="17"/>
      <c r="S19" s="17"/>
      <c r="T19" s="19"/>
      <c r="U19" s="19"/>
      <c r="V19" s="17" t="s">
        <v>144</v>
      </c>
      <c r="W19" s="17" t="s">
        <v>161</v>
      </c>
      <c r="X19" s="17" t="s">
        <v>122</v>
      </c>
      <c r="Y19" s="17" t="s">
        <v>164</v>
      </c>
      <c r="Z19" s="17" t="s">
        <v>153</v>
      </c>
      <c r="AA19" s="17" t="s">
        <v>179</v>
      </c>
      <c r="AB19" s="17" t="s">
        <v>205</v>
      </c>
      <c r="AC19" s="17" t="s">
        <v>82</v>
      </c>
      <c r="AD19" s="17" t="s">
        <v>140</v>
      </c>
      <c r="AE19" s="17" t="s">
        <v>173</v>
      </c>
      <c r="AF19" s="17" t="s">
        <v>177</v>
      </c>
      <c r="AG19" s="17" t="s">
        <v>163</v>
      </c>
      <c r="AH19" s="17" t="s">
        <v>115</v>
      </c>
      <c r="AI19" s="17" t="s">
        <v>135</v>
      </c>
      <c r="AJ19" s="17"/>
      <c r="AK19" s="17"/>
      <c r="AL19" s="17"/>
      <c r="AM19" s="17" t="s">
        <v>216</v>
      </c>
      <c r="AN19" s="17" t="s">
        <v>146</v>
      </c>
      <c r="AO19" s="17" t="s">
        <v>121</v>
      </c>
      <c r="AP19" s="17" t="s">
        <v>187</v>
      </c>
      <c r="AQ19" s="17" t="s">
        <v>93</v>
      </c>
      <c r="AR19" s="17" t="s">
        <v>143</v>
      </c>
      <c r="AS19" s="17" t="s">
        <v>159</v>
      </c>
      <c r="AT19" s="17" t="s">
        <v>147</v>
      </c>
      <c r="AU19" s="17" t="s">
        <v>189</v>
      </c>
      <c r="AV19" s="17" t="s">
        <v>128</v>
      </c>
      <c r="AW19" s="17" t="s">
        <v>221</v>
      </c>
      <c r="AX19" s="17" t="s">
        <v>137</v>
      </c>
      <c r="AY19" s="17" t="s">
        <v>132</v>
      </c>
      <c r="AZ19" s="17" t="s">
        <v>182</v>
      </c>
      <c r="BA19" s="17" t="s">
        <v>139</v>
      </c>
      <c r="BB19" s="17" t="s">
        <v>112</v>
      </c>
      <c r="BC19" s="17" t="s">
        <v>142</v>
      </c>
      <c r="BD19" s="17" t="s">
        <v>192</v>
      </c>
      <c r="BE19" s="17" t="s">
        <v>154</v>
      </c>
      <c r="BF19" s="17" t="s">
        <v>134</v>
      </c>
      <c r="BG19" s="17" t="s">
        <v>222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20"/>
      <c r="BW19" s="20"/>
      <c r="BX19" s="20"/>
      <c r="BY19" s="20"/>
      <c r="CA19" s="21">
        <f t="shared" si="3"/>
        <v>0</v>
      </c>
      <c r="CB19" s="21">
        <f t="shared" si="4"/>
        <v>0</v>
      </c>
      <c r="CC19" s="21">
        <f t="shared" si="4"/>
        <v>0</v>
      </c>
      <c r="CD19" s="21">
        <f t="shared" si="4"/>
        <v>0</v>
      </c>
      <c r="CE19" s="21">
        <f t="shared" si="4"/>
        <v>0</v>
      </c>
      <c r="CF19" s="21">
        <f t="shared" si="4"/>
        <v>0</v>
      </c>
      <c r="CG19" s="21">
        <f t="shared" si="4"/>
        <v>0</v>
      </c>
      <c r="CH19" s="21">
        <f t="shared" si="4"/>
        <v>0</v>
      </c>
      <c r="CI19" s="21">
        <f t="shared" si="4"/>
        <v>0</v>
      </c>
      <c r="CJ19" s="21">
        <f t="shared" si="4"/>
        <v>0</v>
      </c>
      <c r="CK19" s="21">
        <f t="shared" si="4"/>
        <v>0</v>
      </c>
      <c r="CL19" s="21">
        <f t="shared" si="4"/>
        <v>0</v>
      </c>
      <c r="CM19" s="21">
        <f t="shared" si="4"/>
        <v>0</v>
      </c>
      <c r="CN19" s="21">
        <f t="shared" si="4"/>
        <v>0</v>
      </c>
      <c r="CO19" s="21">
        <f t="shared" si="4"/>
        <v>0</v>
      </c>
      <c r="CP19" s="21">
        <f t="shared" si="4"/>
        <v>0</v>
      </c>
      <c r="CQ19" s="21">
        <f t="shared" ref="CQ19:CQ33" si="14">IF(COUNTIF($C19:$BG19,R19)&gt;1,"X",0)</f>
        <v>0</v>
      </c>
      <c r="CR19" s="21">
        <f t="shared" si="5"/>
        <v>0</v>
      </c>
      <c r="CV19" s="21">
        <f t="shared" si="6"/>
        <v>0</v>
      </c>
      <c r="CW19" s="21">
        <f t="shared" si="6"/>
        <v>0</v>
      </c>
      <c r="CX19" s="21">
        <f t="shared" si="6"/>
        <v>0</v>
      </c>
      <c r="CY19" s="21">
        <f t="shared" si="6"/>
        <v>0</v>
      </c>
      <c r="CZ19" s="21">
        <f t="shared" si="6"/>
        <v>0</v>
      </c>
      <c r="DA19" s="21">
        <f t="shared" si="6"/>
        <v>0</v>
      </c>
      <c r="DB19" s="21">
        <f t="shared" si="6"/>
        <v>0</v>
      </c>
      <c r="DC19" s="21">
        <f t="shared" si="6"/>
        <v>0</v>
      </c>
      <c r="DD19" s="21">
        <f t="shared" si="6"/>
        <v>0</v>
      </c>
      <c r="DE19" s="21">
        <f t="shared" si="6"/>
        <v>0</v>
      </c>
      <c r="DF19" s="21">
        <f t="shared" si="6"/>
        <v>0</v>
      </c>
      <c r="DG19" s="21">
        <f t="shared" si="6"/>
        <v>0</v>
      </c>
      <c r="DH19" s="21">
        <f t="shared" si="6"/>
        <v>0</v>
      </c>
      <c r="DI19" s="21">
        <f t="shared" si="6"/>
        <v>0</v>
      </c>
      <c r="DJ19" s="21">
        <f t="shared" si="6"/>
        <v>0</v>
      </c>
      <c r="DK19" s="21">
        <f t="shared" si="6"/>
        <v>0</v>
      </c>
      <c r="DL19" s="21">
        <f t="shared" si="10"/>
        <v>0</v>
      </c>
      <c r="DM19" s="21">
        <f t="shared" si="10"/>
        <v>0</v>
      </c>
      <c r="DN19" s="21">
        <f t="shared" si="10"/>
        <v>0</v>
      </c>
      <c r="DO19" s="21">
        <f t="shared" si="10"/>
        <v>0</v>
      </c>
      <c r="DP19" s="21">
        <f t="shared" si="11"/>
        <v>0</v>
      </c>
      <c r="DQ19" s="21">
        <f t="shared" si="12"/>
        <v>0</v>
      </c>
      <c r="DR19" s="21">
        <f t="shared" si="12"/>
        <v>0</v>
      </c>
      <c r="DS19" s="21">
        <f t="shared" si="12"/>
        <v>0</v>
      </c>
      <c r="DT19" s="21">
        <f t="shared" si="12"/>
        <v>0</v>
      </c>
      <c r="DU19" s="21">
        <f t="shared" si="12"/>
        <v>0</v>
      </c>
      <c r="DV19" s="21">
        <f>IF(COUNTIF($C19:$BG19,AT19)&gt;1,"X",0)</f>
        <v>0</v>
      </c>
      <c r="DW19" s="21">
        <f>IF(COUNTIF($C19:$BG19,AU22)&gt;1,"X",0)</f>
        <v>0</v>
      </c>
      <c r="DX19" s="21">
        <f>IF(COUNTIF($C19:$BG19,AV19)&gt;1,"X",0)</f>
        <v>0</v>
      </c>
      <c r="DY19" s="21">
        <f t="shared" si="13"/>
        <v>0</v>
      </c>
      <c r="DZ19" s="21">
        <f t="shared" si="13"/>
        <v>0</v>
      </c>
      <c r="EA19" s="21">
        <f t="shared" si="13"/>
        <v>0</v>
      </c>
      <c r="EB19" s="21">
        <f t="shared" si="13"/>
        <v>0</v>
      </c>
      <c r="EC19" s="21">
        <f t="shared" si="13"/>
        <v>0</v>
      </c>
      <c r="ED19" s="21">
        <f t="shared" si="13"/>
        <v>0</v>
      </c>
      <c r="EE19" s="21">
        <f t="shared" si="13"/>
        <v>0</v>
      </c>
      <c r="EF19" s="21">
        <f t="shared" si="13"/>
        <v>0</v>
      </c>
      <c r="EG19" s="21">
        <f t="shared" si="13"/>
        <v>0</v>
      </c>
      <c r="EH19" s="21">
        <f t="shared" si="13"/>
        <v>0</v>
      </c>
      <c r="EI19" s="21">
        <f t="shared" si="13"/>
        <v>0</v>
      </c>
    </row>
    <row r="20" spans="1:139" s="21" customFormat="1" ht="15.75" customHeight="1" x14ac:dyDescent="0.2">
      <c r="A20" s="115" t="s">
        <v>193</v>
      </c>
      <c r="B20" s="28">
        <f>IF(CA20&gt;0,0,2)</f>
        <v>2</v>
      </c>
      <c r="C20" s="17" t="s">
        <v>131</v>
      </c>
      <c r="D20" s="17" t="s">
        <v>175</v>
      </c>
      <c r="E20" s="17" t="s">
        <v>111</v>
      </c>
      <c r="F20" s="17" t="s">
        <v>123</v>
      </c>
      <c r="G20" s="17" t="s">
        <v>116</v>
      </c>
      <c r="H20" s="17" t="s">
        <v>86</v>
      </c>
      <c r="I20" s="17" t="s">
        <v>138</v>
      </c>
      <c r="J20" s="17" t="s">
        <v>150</v>
      </c>
      <c r="K20" s="17" t="s">
        <v>80</v>
      </c>
      <c r="L20" s="17" t="s">
        <v>154</v>
      </c>
      <c r="M20" s="17" t="s">
        <v>119</v>
      </c>
      <c r="N20" s="17" t="s">
        <v>181</v>
      </c>
      <c r="O20" s="17" t="s">
        <v>149</v>
      </c>
      <c r="P20" s="17" t="s">
        <v>185</v>
      </c>
      <c r="Q20" s="17" t="s">
        <v>186</v>
      </c>
      <c r="R20" s="17"/>
      <c r="S20" s="17"/>
      <c r="T20" s="17"/>
      <c r="U20" s="17"/>
      <c r="V20" s="17" t="s">
        <v>222</v>
      </c>
      <c r="W20" s="17" t="s">
        <v>122</v>
      </c>
      <c r="X20" s="17" t="s">
        <v>132</v>
      </c>
      <c r="Y20" s="17" t="s">
        <v>153</v>
      </c>
      <c r="Z20" s="17" t="s">
        <v>128</v>
      </c>
      <c r="AA20" s="17" t="s">
        <v>161</v>
      </c>
      <c r="AB20" s="17" t="s">
        <v>173</v>
      </c>
      <c r="AC20" s="17" t="s">
        <v>199</v>
      </c>
      <c r="AD20" s="17" t="s">
        <v>83</v>
      </c>
      <c r="AE20" s="17" t="s">
        <v>164</v>
      </c>
      <c r="AF20" s="17" t="s">
        <v>177</v>
      </c>
      <c r="AG20" s="17" t="s">
        <v>135</v>
      </c>
      <c r="AH20" s="17" t="s">
        <v>148</v>
      </c>
      <c r="AI20" s="17" t="s">
        <v>179</v>
      </c>
      <c r="AJ20" s="17"/>
      <c r="AK20" s="17"/>
      <c r="AL20" s="17"/>
      <c r="AM20" s="17" t="s">
        <v>216</v>
      </c>
      <c r="AN20" s="17" t="s">
        <v>146</v>
      </c>
      <c r="AO20" s="17" t="s">
        <v>183</v>
      </c>
      <c r="AP20" s="17" t="s">
        <v>187</v>
      </c>
      <c r="AQ20" s="17" t="s">
        <v>158</v>
      </c>
      <c r="AR20" s="17" t="s">
        <v>159</v>
      </c>
      <c r="AS20" s="17" t="s">
        <v>191</v>
      </c>
      <c r="AT20" s="17" t="s">
        <v>176</v>
      </c>
      <c r="AU20" s="17" t="s">
        <v>155</v>
      </c>
      <c r="AV20" s="17" t="s">
        <v>147</v>
      </c>
      <c r="AW20" s="17" t="s">
        <v>165</v>
      </c>
      <c r="AX20" s="17" t="s">
        <v>137</v>
      </c>
      <c r="AY20" s="17" t="s">
        <v>133</v>
      </c>
      <c r="AZ20" s="17" t="s">
        <v>182</v>
      </c>
      <c r="BA20" s="17" t="s">
        <v>139</v>
      </c>
      <c r="BB20" s="17" t="s">
        <v>112</v>
      </c>
      <c r="BC20" s="17" t="s">
        <v>142</v>
      </c>
      <c r="BD20" s="17" t="s">
        <v>192</v>
      </c>
      <c r="BE20" s="17" t="s">
        <v>156</v>
      </c>
      <c r="BF20" s="17" t="s">
        <v>121</v>
      </c>
      <c r="BG20" s="17" t="s">
        <v>140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20"/>
      <c r="BW20" s="20"/>
      <c r="BX20" s="20"/>
      <c r="BY20" s="20"/>
      <c r="CA20" s="21">
        <f t="shared" si="3"/>
        <v>0</v>
      </c>
      <c r="CB20" s="21">
        <f t="shared" ref="CB20:CP33" si="15">IF(COUNTIF($C20:$BG20,C20)&gt;1,"X",0)</f>
        <v>0</v>
      </c>
      <c r="CC20" s="21">
        <f t="shared" si="15"/>
        <v>0</v>
      </c>
      <c r="CD20" s="21">
        <f t="shared" si="15"/>
        <v>0</v>
      </c>
      <c r="CE20" s="21">
        <f t="shared" si="15"/>
        <v>0</v>
      </c>
      <c r="CF20" s="21">
        <f t="shared" si="15"/>
        <v>0</v>
      </c>
      <c r="CG20" s="21">
        <f t="shared" si="15"/>
        <v>0</v>
      </c>
      <c r="CH20" s="21">
        <f t="shared" si="15"/>
        <v>0</v>
      </c>
      <c r="CI20" s="21">
        <f t="shared" si="15"/>
        <v>0</v>
      </c>
      <c r="CJ20" s="21">
        <f t="shared" si="15"/>
        <v>0</v>
      </c>
      <c r="CK20" s="21">
        <f t="shared" si="15"/>
        <v>0</v>
      </c>
      <c r="CL20" s="21">
        <f t="shared" si="15"/>
        <v>0</v>
      </c>
      <c r="CM20" s="21">
        <f t="shared" si="15"/>
        <v>0</v>
      </c>
      <c r="CN20" s="21">
        <f t="shared" si="15"/>
        <v>0</v>
      </c>
      <c r="CO20" s="21">
        <f t="shared" si="15"/>
        <v>0</v>
      </c>
      <c r="CP20" s="21">
        <f t="shared" si="15"/>
        <v>0</v>
      </c>
      <c r="CQ20" s="21">
        <f t="shared" si="14"/>
        <v>0</v>
      </c>
      <c r="CR20" s="21">
        <f t="shared" si="5"/>
        <v>0</v>
      </c>
      <c r="CV20" s="21">
        <f t="shared" si="6"/>
        <v>0</v>
      </c>
      <c r="CW20" s="21">
        <f t="shared" si="6"/>
        <v>0</v>
      </c>
      <c r="CX20" s="21">
        <f t="shared" si="6"/>
        <v>0</v>
      </c>
      <c r="CY20" s="21">
        <f t="shared" si="6"/>
        <v>0</v>
      </c>
      <c r="CZ20" s="21">
        <f t="shared" si="6"/>
        <v>0</v>
      </c>
      <c r="DA20" s="21">
        <f t="shared" si="6"/>
        <v>0</v>
      </c>
      <c r="DB20" s="21">
        <f t="shared" si="6"/>
        <v>0</v>
      </c>
      <c r="DC20" s="21">
        <f t="shared" si="6"/>
        <v>0</v>
      </c>
      <c r="DD20" s="21">
        <f t="shared" si="6"/>
        <v>0</v>
      </c>
      <c r="DE20" s="21">
        <f t="shared" si="6"/>
        <v>0</v>
      </c>
      <c r="DF20" s="21">
        <f t="shared" si="6"/>
        <v>0</v>
      </c>
      <c r="DG20" s="21">
        <f t="shared" si="6"/>
        <v>0</v>
      </c>
      <c r="DH20" s="21">
        <f t="shared" si="6"/>
        <v>0</v>
      </c>
      <c r="DI20" s="21">
        <f t="shared" si="6"/>
        <v>0</v>
      </c>
      <c r="DJ20" s="21">
        <f t="shared" ref="DJ20:DK33" si="16">IF(COUNTIF($C20:$BG20,AF20)&gt;1,"X",0)</f>
        <v>0</v>
      </c>
      <c r="DK20" s="21">
        <f t="shared" si="16"/>
        <v>0</v>
      </c>
      <c r="DL20" s="21">
        <f t="shared" si="10"/>
        <v>0</v>
      </c>
      <c r="DM20" s="21">
        <f t="shared" si="10"/>
        <v>0</v>
      </c>
      <c r="DN20" s="21">
        <f t="shared" si="10"/>
        <v>0</v>
      </c>
      <c r="DO20" s="21">
        <f t="shared" si="10"/>
        <v>0</v>
      </c>
      <c r="DP20" s="21">
        <f t="shared" si="11"/>
        <v>0</v>
      </c>
      <c r="DQ20" s="21">
        <f t="shared" si="12"/>
        <v>0</v>
      </c>
      <c r="DR20" s="21">
        <f t="shared" si="12"/>
        <v>0</v>
      </c>
      <c r="DS20" s="21">
        <f t="shared" si="12"/>
        <v>0</v>
      </c>
      <c r="DT20" s="21">
        <f t="shared" si="12"/>
        <v>0</v>
      </c>
      <c r="DU20" s="21">
        <f t="shared" si="12"/>
        <v>0</v>
      </c>
      <c r="DV20" s="21">
        <f>IF(COUNTIF($C20:$BG20,AT20)&gt;1,"X",0)</f>
        <v>0</v>
      </c>
      <c r="DW20" s="21">
        <f>IF(COUNTIF($C20:$BG20,AU20)&gt;1,"X",0)</f>
        <v>0</v>
      </c>
      <c r="DX20" s="21">
        <f>IF(COUNTIF($C20:$BG20,AV21)&gt;1,"X",0)</f>
        <v>0</v>
      </c>
      <c r="DY20" s="21">
        <f t="shared" si="13"/>
        <v>0</v>
      </c>
      <c r="DZ20" s="21">
        <f t="shared" si="13"/>
        <v>0</v>
      </c>
      <c r="EA20" s="21">
        <f t="shared" si="13"/>
        <v>0</v>
      </c>
      <c r="EB20" s="21">
        <f t="shared" si="13"/>
        <v>0</v>
      </c>
      <c r="EC20" s="21">
        <f t="shared" si="13"/>
        <v>0</v>
      </c>
      <c r="ED20" s="21">
        <f t="shared" si="13"/>
        <v>0</v>
      </c>
      <c r="EE20" s="21">
        <f t="shared" si="13"/>
        <v>0</v>
      </c>
      <c r="EF20" s="21">
        <f t="shared" si="13"/>
        <v>0</v>
      </c>
      <c r="EG20" s="21">
        <f t="shared" si="13"/>
        <v>0</v>
      </c>
      <c r="EH20" s="21">
        <f t="shared" si="13"/>
        <v>0</v>
      </c>
      <c r="EI20" s="21">
        <f t="shared" si="13"/>
        <v>0</v>
      </c>
    </row>
    <row r="21" spans="1:139" s="21" customFormat="1" ht="15.75" customHeight="1" x14ac:dyDescent="0.2">
      <c r="A21" s="115" t="s">
        <v>223</v>
      </c>
      <c r="B21" s="28">
        <f>IF(CA21&gt;0,0,3)</f>
        <v>3</v>
      </c>
      <c r="C21" s="17" t="s">
        <v>169</v>
      </c>
      <c r="D21" s="17" t="s">
        <v>150</v>
      </c>
      <c r="E21" s="17" t="s">
        <v>159</v>
      </c>
      <c r="F21" s="17" t="s">
        <v>112</v>
      </c>
      <c r="G21" s="17" t="s">
        <v>117</v>
      </c>
      <c r="H21" s="17" t="s">
        <v>121</v>
      </c>
      <c r="I21" s="17" t="s">
        <v>199</v>
      </c>
      <c r="J21" s="17" t="s">
        <v>116</v>
      </c>
      <c r="K21" s="17" t="s">
        <v>129</v>
      </c>
      <c r="L21" s="17" t="s">
        <v>179</v>
      </c>
      <c r="M21" s="17" t="s">
        <v>185</v>
      </c>
      <c r="N21" s="17" t="s">
        <v>192</v>
      </c>
      <c r="O21" s="17" t="s">
        <v>194</v>
      </c>
      <c r="P21" s="17" t="s">
        <v>136</v>
      </c>
      <c r="Q21" s="17" t="s">
        <v>111</v>
      </c>
      <c r="R21" s="17"/>
      <c r="S21" s="17"/>
      <c r="T21" s="17"/>
      <c r="U21" s="17"/>
      <c r="V21" s="17" t="s">
        <v>142</v>
      </c>
      <c r="W21" s="17" t="s">
        <v>182</v>
      </c>
      <c r="X21" s="17" t="s">
        <v>176</v>
      </c>
      <c r="Y21" s="17" t="s">
        <v>153</v>
      </c>
      <c r="Z21" s="17" t="s">
        <v>115</v>
      </c>
      <c r="AA21" s="17" t="s">
        <v>161</v>
      </c>
      <c r="AB21" s="17" t="s">
        <v>135</v>
      </c>
      <c r="AC21" s="17" t="s">
        <v>187</v>
      </c>
      <c r="AD21" s="17" t="s">
        <v>144</v>
      </c>
      <c r="AE21" s="17" t="s">
        <v>164</v>
      </c>
      <c r="AF21" s="17" t="s">
        <v>163</v>
      </c>
      <c r="AG21" s="17" t="s">
        <v>205</v>
      </c>
      <c r="AH21" s="17" t="s">
        <v>177</v>
      </c>
      <c r="AI21" s="17" t="s">
        <v>146</v>
      </c>
      <c r="AJ21" s="17"/>
      <c r="AK21" s="17"/>
      <c r="AL21" s="17"/>
      <c r="AM21" s="17" t="s">
        <v>138</v>
      </c>
      <c r="AN21" s="17" t="s">
        <v>123</v>
      </c>
      <c r="AO21" s="17" t="s">
        <v>124</v>
      </c>
      <c r="AP21" s="17" t="s">
        <v>113</v>
      </c>
      <c r="AQ21" s="17" t="s">
        <v>171</v>
      </c>
      <c r="AR21" s="17" t="s">
        <v>155</v>
      </c>
      <c r="AS21" s="17" t="s">
        <v>191</v>
      </c>
      <c r="AT21" s="17" t="s">
        <v>180</v>
      </c>
      <c r="AU21" s="17" t="s">
        <v>190</v>
      </c>
      <c r="AV21" s="17" t="s">
        <v>195</v>
      </c>
      <c r="AW21" s="17" t="s">
        <v>147</v>
      </c>
      <c r="AX21" s="17" t="s">
        <v>148</v>
      </c>
      <c r="AY21" s="17" t="s">
        <v>224</v>
      </c>
      <c r="AZ21" s="17" t="s">
        <v>216</v>
      </c>
      <c r="BA21" s="17" t="s">
        <v>186</v>
      </c>
      <c r="BB21" s="17" t="s">
        <v>137</v>
      </c>
      <c r="BC21" s="17" t="s">
        <v>134</v>
      </c>
      <c r="BD21" s="17" t="s">
        <v>189</v>
      </c>
      <c r="BE21" s="17" t="s">
        <v>156</v>
      </c>
      <c r="BF21" s="17" t="s">
        <v>133</v>
      </c>
      <c r="BG21" s="17" t="s">
        <v>140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20"/>
      <c r="BW21" s="20"/>
      <c r="BX21" s="20"/>
      <c r="BY21" s="20"/>
      <c r="CA21" s="21">
        <f t="shared" si="3"/>
        <v>0</v>
      </c>
      <c r="CB21" s="21">
        <f t="shared" si="15"/>
        <v>0</v>
      </c>
      <c r="CC21" s="21">
        <f t="shared" si="15"/>
        <v>0</v>
      </c>
      <c r="CD21" s="21">
        <f t="shared" si="15"/>
        <v>0</v>
      </c>
      <c r="CE21" s="21">
        <f t="shared" si="15"/>
        <v>0</v>
      </c>
      <c r="CF21" s="21">
        <f t="shared" si="15"/>
        <v>0</v>
      </c>
      <c r="CG21" s="21">
        <f t="shared" si="15"/>
        <v>0</v>
      </c>
      <c r="CH21" s="21">
        <f t="shared" si="15"/>
        <v>0</v>
      </c>
      <c r="CI21" s="21">
        <f t="shared" si="15"/>
        <v>0</v>
      </c>
      <c r="CJ21" s="21">
        <f t="shared" si="15"/>
        <v>0</v>
      </c>
      <c r="CK21" s="21">
        <f t="shared" si="15"/>
        <v>0</v>
      </c>
      <c r="CL21" s="21">
        <f t="shared" si="15"/>
        <v>0</v>
      </c>
      <c r="CM21" s="21">
        <f t="shared" si="15"/>
        <v>0</v>
      </c>
      <c r="CN21" s="21">
        <f t="shared" si="15"/>
        <v>0</v>
      </c>
      <c r="CO21" s="21">
        <f t="shared" si="15"/>
        <v>0</v>
      </c>
      <c r="CP21" s="21">
        <f t="shared" si="15"/>
        <v>0</v>
      </c>
      <c r="CQ21" s="21">
        <f t="shared" si="14"/>
        <v>0</v>
      </c>
      <c r="CR21" s="21">
        <f t="shared" si="5"/>
        <v>0</v>
      </c>
      <c r="CV21" s="21">
        <f t="shared" ref="CV21:DI33" si="17">IF(COUNTIF($C21:$BG21,R21)&gt;1,"X",0)</f>
        <v>0</v>
      </c>
      <c r="CW21" s="21">
        <f t="shared" si="17"/>
        <v>0</v>
      </c>
      <c r="CX21" s="21">
        <f t="shared" si="17"/>
        <v>0</v>
      </c>
      <c r="CY21" s="21">
        <f t="shared" si="17"/>
        <v>0</v>
      </c>
      <c r="CZ21" s="21">
        <f t="shared" si="17"/>
        <v>0</v>
      </c>
      <c r="DA21" s="21">
        <f t="shared" si="17"/>
        <v>0</v>
      </c>
      <c r="DB21" s="21">
        <f t="shared" si="17"/>
        <v>0</v>
      </c>
      <c r="DC21" s="21">
        <f t="shared" si="17"/>
        <v>0</v>
      </c>
      <c r="DD21" s="21">
        <f t="shared" si="17"/>
        <v>0</v>
      </c>
      <c r="DE21" s="21">
        <f t="shared" si="17"/>
        <v>0</v>
      </c>
      <c r="DF21" s="21">
        <f t="shared" si="17"/>
        <v>0</v>
      </c>
      <c r="DG21" s="21">
        <f t="shared" si="17"/>
        <v>0</v>
      </c>
      <c r="DH21" s="21">
        <f t="shared" si="17"/>
        <v>0</v>
      </c>
      <c r="DI21" s="21">
        <f t="shared" si="17"/>
        <v>0</v>
      </c>
      <c r="DJ21" s="21">
        <f t="shared" si="16"/>
        <v>0</v>
      </c>
      <c r="DK21" s="21">
        <f t="shared" si="16"/>
        <v>0</v>
      </c>
      <c r="DL21" s="21">
        <f t="shared" si="10"/>
        <v>0</v>
      </c>
      <c r="DM21" s="21">
        <f t="shared" si="10"/>
        <v>0</v>
      </c>
      <c r="DN21" s="21">
        <f t="shared" si="10"/>
        <v>0</v>
      </c>
      <c r="DO21" s="21">
        <f t="shared" si="10"/>
        <v>0</v>
      </c>
      <c r="DP21" s="21">
        <f t="shared" si="11"/>
        <v>0</v>
      </c>
      <c r="DQ21" s="21">
        <f t="shared" si="12"/>
        <v>0</v>
      </c>
      <c r="DR21" s="21">
        <f t="shared" si="12"/>
        <v>0</v>
      </c>
      <c r="DS21" s="21">
        <f t="shared" si="12"/>
        <v>0</v>
      </c>
      <c r="DT21" s="21">
        <f t="shared" si="12"/>
        <v>0</v>
      </c>
      <c r="DU21" s="21">
        <f t="shared" si="12"/>
        <v>0</v>
      </c>
      <c r="DV21" s="21">
        <f>IF(COUNTIF($C21:$BG21,AT21)&gt;1,"X",0)</f>
        <v>0</v>
      </c>
      <c r="DW21" s="21">
        <f>IF(COUNTIF($C21:$BG21,AU21)&gt;1,"X",0)</f>
        <v>0</v>
      </c>
      <c r="DX21" s="21">
        <f>IF(COUNTIF($C21:$BG21,#REF!)&gt;1,"X",0)</f>
        <v>0</v>
      </c>
      <c r="DY21" s="21">
        <f t="shared" si="13"/>
        <v>0</v>
      </c>
      <c r="DZ21" s="21">
        <f t="shared" si="13"/>
        <v>0</v>
      </c>
      <c r="EA21" s="21">
        <f t="shared" si="13"/>
        <v>0</v>
      </c>
      <c r="EB21" s="21">
        <f t="shared" si="13"/>
        <v>0</v>
      </c>
      <c r="EC21" s="21">
        <f t="shared" si="13"/>
        <v>0</v>
      </c>
      <c r="ED21" s="21">
        <f t="shared" si="13"/>
        <v>0</v>
      </c>
      <c r="EE21" s="21">
        <f t="shared" si="13"/>
        <v>0</v>
      </c>
      <c r="EF21" s="21">
        <f t="shared" si="13"/>
        <v>0</v>
      </c>
      <c r="EG21" s="21">
        <f t="shared" si="13"/>
        <v>0</v>
      </c>
      <c r="EH21" s="21">
        <f t="shared" si="13"/>
        <v>0</v>
      </c>
      <c r="EI21" s="21">
        <f t="shared" si="13"/>
        <v>0</v>
      </c>
    </row>
    <row r="22" spans="1:139" s="21" customFormat="1" ht="15.75" customHeight="1" x14ac:dyDescent="0.2">
      <c r="A22" s="115"/>
      <c r="B22" s="28">
        <f>IF(CA22&gt;0,0,4)</f>
        <v>4</v>
      </c>
      <c r="C22" s="17" t="s">
        <v>169</v>
      </c>
      <c r="D22" s="17" t="s">
        <v>150</v>
      </c>
      <c r="E22" s="17" t="s">
        <v>178</v>
      </c>
      <c r="F22" s="17" t="s">
        <v>136</v>
      </c>
      <c r="G22" s="17" t="s">
        <v>117</v>
      </c>
      <c r="H22" s="17" t="s">
        <v>199</v>
      </c>
      <c r="I22" s="17" t="s">
        <v>115</v>
      </c>
      <c r="J22" s="17" t="s">
        <v>182</v>
      </c>
      <c r="K22" s="17" t="s">
        <v>191</v>
      </c>
      <c r="L22" s="17" t="s">
        <v>93</v>
      </c>
      <c r="M22" s="17" t="s">
        <v>149</v>
      </c>
      <c r="N22" s="17" t="s">
        <v>192</v>
      </c>
      <c r="O22" s="17" t="s">
        <v>119</v>
      </c>
      <c r="P22" s="17" t="s">
        <v>87</v>
      </c>
      <c r="Q22" s="17" t="s">
        <v>111</v>
      </c>
      <c r="R22" s="17"/>
      <c r="S22" s="17"/>
      <c r="T22" s="17"/>
      <c r="U22" s="17"/>
      <c r="V22" s="17" t="s">
        <v>132</v>
      </c>
      <c r="W22" s="17" t="s">
        <v>205</v>
      </c>
      <c r="X22" s="17" t="s">
        <v>179</v>
      </c>
      <c r="Y22" s="17" t="s">
        <v>134</v>
      </c>
      <c r="Z22" s="17" t="s">
        <v>185</v>
      </c>
      <c r="AA22" s="17" t="s">
        <v>129</v>
      </c>
      <c r="AB22" s="17" t="s">
        <v>135</v>
      </c>
      <c r="AC22" s="17" t="s">
        <v>187</v>
      </c>
      <c r="AD22" s="17" t="s">
        <v>171</v>
      </c>
      <c r="AE22" s="17" t="s">
        <v>189</v>
      </c>
      <c r="AF22" s="17" t="s">
        <v>148</v>
      </c>
      <c r="AG22" s="17" t="s">
        <v>172</v>
      </c>
      <c r="AH22" s="17" t="s">
        <v>177</v>
      </c>
      <c r="AI22" s="17" t="s">
        <v>146</v>
      </c>
      <c r="AJ22" s="17"/>
      <c r="AK22" s="17"/>
      <c r="AL22" s="17"/>
      <c r="AM22" s="17" t="s">
        <v>153</v>
      </c>
      <c r="AN22" s="17" t="s">
        <v>123</v>
      </c>
      <c r="AO22" s="17" t="s">
        <v>124</v>
      </c>
      <c r="AP22" s="17" t="s">
        <v>113</v>
      </c>
      <c r="AQ22" s="17" t="s">
        <v>155</v>
      </c>
      <c r="AR22" s="17" t="s">
        <v>164</v>
      </c>
      <c r="AS22" s="17" t="s">
        <v>181</v>
      </c>
      <c r="AT22" s="17" t="s">
        <v>180</v>
      </c>
      <c r="AU22" s="17" t="s">
        <v>225</v>
      </c>
      <c r="AV22" s="17" t="s">
        <v>173</v>
      </c>
      <c r="AW22" s="17" t="s">
        <v>133</v>
      </c>
      <c r="AX22" s="17" t="s">
        <v>165</v>
      </c>
      <c r="AY22" s="17" t="s">
        <v>224</v>
      </c>
      <c r="AZ22" s="17" t="s">
        <v>216</v>
      </c>
      <c r="BA22" s="17" t="s">
        <v>147</v>
      </c>
      <c r="BB22" s="17" t="s">
        <v>137</v>
      </c>
      <c r="BC22" s="17" t="s">
        <v>159</v>
      </c>
      <c r="BD22" s="17" t="s">
        <v>163</v>
      </c>
      <c r="BE22" s="17" t="s">
        <v>83</v>
      </c>
      <c r="BF22" s="17" t="s">
        <v>138</v>
      </c>
      <c r="BG22" s="17" t="s">
        <v>156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20"/>
      <c r="BW22" s="20"/>
      <c r="BX22" s="20"/>
      <c r="BY22" s="20"/>
      <c r="CA22" s="21">
        <f t="shared" si="3"/>
        <v>0</v>
      </c>
      <c r="CB22" s="21">
        <f t="shared" si="15"/>
        <v>0</v>
      </c>
      <c r="CC22" s="21">
        <f t="shared" si="15"/>
        <v>0</v>
      </c>
      <c r="CD22" s="21">
        <f t="shared" si="15"/>
        <v>0</v>
      </c>
      <c r="CE22" s="21">
        <f t="shared" si="15"/>
        <v>0</v>
      </c>
      <c r="CF22" s="21">
        <f t="shared" si="15"/>
        <v>0</v>
      </c>
      <c r="CG22" s="21">
        <f t="shared" si="15"/>
        <v>0</v>
      </c>
      <c r="CH22" s="21">
        <f t="shared" si="15"/>
        <v>0</v>
      </c>
      <c r="CI22" s="21">
        <f t="shared" si="15"/>
        <v>0</v>
      </c>
      <c r="CJ22" s="21">
        <f t="shared" si="15"/>
        <v>0</v>
      </c>
      <c r="CK22" s="21">
        <f t="shared" si="15"/>
        <v>0</v>
      </c>
      <c r="CL22" s="21">
        <f t="shared" si="15"/>
        <v>0</v>
      </c>
      <c r="CM22" s="21">
        <f t="shared" si="15"/>
        <v>0</v>
      </c>
      <c r="CN22" s="21">
        <f t="shared" si="15"/>
        <v>0</v>
      </c>
      <c r="CO22" s="21">
        <f t="shared" si="15"/>
        <v>0</v>
      </c>
      <c r="CP22" s="21">
        <f t="shared" si="15"/>
        <v>0</v>
      </c>
      <c r="CQ22" s="21">
        <f t="shared" si="14"/>
        <v>0</v>
      </c>
      <c r="CR22" s="21">
        <f t="shared" si="5"/>
        <v>0</v>
      </c>
      <c r="CV22" s="21">
        <f t="shared" si="17"/>
        <v>0</v>
      </c>
      <c r="CW22" s="21">
        <f t="shared" si="17"/>
        <v>0</v>
      </c>
      <c r="CX22" s="21">
        <f t="shared" si="17"/>
        <v>0</v>
      </c>
      <c r="CY22" s="21">
        <f t="shared" si="17"/>
        <v>0</v>
      </c>
      <c r="CZ22" s="21">
        <f t="shared" si="17"/>
        <v>0</v>
      </c>
      <c r="DA22" s="21">
        <f t="shared" si="17"/>
        <v>0</v>
      </c>
      <c r="DB22" s="21">
        <f t="shared" si="17"/>
        <v>0</v>
      </c>
      <c r="DC22" s="21">
        <f t="shared" si="17"/>
        <v>0</v>
      </c>
      <c r="DD22" s="21">
        <f t="shared" si="17"/>
        <v>0</v>
      </c>
      <c r="DE22" s="21">
        <f t="shared" si="17"/>
        <v>0</v>
      </c>
      <c r="DF22" s="21">
        <f t="shared" si="17"/>
        <v>0</v>
      </c>
      <c r="DG22" s="21">
        <f t="shared" si="17"/>
        <v>0</v>
      </c>
      <c r="DH22" s="21">
        <f t="shared" si="17"/>
        <v>0</v>
      </c>
      <c r="DI22" s="21">
        <f t="shared" si="17"/>
        <v>0</v>
      </c>
      <c r="DJ22" s="21">
        <f t="shared" si="16"/>
        <v>0</v>
      </c>
      <c r="DK22" s="21">
        <f t="shared" si="16"/>
        <v>0</v>
      </c>
      <c r="DL22" s="21">
        <f t="shared" si="10"/>
        <v>0</v>
      </c>
      <c r="DM22" s="21">
        <f t="shared" si="10"/>
        <v>0</v>
      </c>
      <c r="DN22" s="21">
        <f t="shared" si="10"/>
        <v>0</v>
      </c>
      <c r="DO22" s="21">
        <f t="shared" si="10"/>
        <v>0</v>
      </c>
      <c r="DP22" s="21">
        <f t="shared" si="11"/>
        <v>0</v>
      </c>
      <c r="DQ22" s="21">
        <f t="shared" si="12"/>
        <v>0</v>
      </c>
      <c r="DR22" s="21">
        <f t="shared" si="12"/>
        <v>0</v>
      </c>
      <c r="DS22" s="21">
        <f t="shared" si="12"/>
        <v>0</v>
      </c>
      <c r="DT22" s="21">
        <f t="shared" si="12"/>
        <v>0</v>
      </c>
      <c r="DU22" s="21">
        <f t="shared" si="12"/>
        <v>0</v>
      </c>
      <c r="DV22" s="21">
        <f>IF(COUNTIF($C22:$BG22,AT22)&gt;1,"X",0)</f>
        <v>0</v>
      </c>
      <c r="DW22" s="21">
        <f>IF(COUNTIF($C22:$BG22,#REF!)&gt;1,"X",0)</f>
        <v>0</v>
      </c>
      <c r="DX22" s="21">
        <f t="shared" ref="DX22:DX33" si="18">IF(COUNTIF($C22:$BG22,AV22)&gt;1,"X",0)</f>
        <v>0</v>
      </c>
      <c r="DY22" s="21">
        <f t="shared" si="13"/>
        <v>0</v>
      </c>
      <c r="DZ22" s="21">
        <f t="shared" si="13"/>
        <v>0</v>
      </c>
      <c r="EA22" s="21">
        <f t="shared" si="13"/>
        <v>0</v>
      </c>
      <c r="EB22" s="21">
        <f t="shared" si="13"/>
        <v>0</v>
      </c>
      <c r="EC22" s="21">
        <f t="shared" si="13"/>
        <v>0</v>
      </c>
      <c r="ED22" s="21">
        <f t="shared" si="13"/>
        <v>0</v>
      </c>
      <c r="EE22" s="21">
        <f t="shared" si="13"/>
        <v>0</v>
      </c>
      <c r="EF22" s="21">
        <f t="shared" si="13"/>
        <v>0</v>
      </c>
      <c r="EG22" s="21">
        <f t="shared" si="13"/>
        <v>0</v>
      </c>
      <c r="EH22" s="21">
        <f t="shared" si="13"/>
        <v>0</v>
      </c>
      <c r="EI22" s="21">
        <f t="shared" si="13"/>
        <v>0</v>
      </c>
    </row>
    <row r="23" spans="1:139" s="21" customFormat="1" ht="15.75" customHeight="1" thickBot="1" x14ac:dyDescent="0.25">
      <c r="A23" s="116"/>
      <c r="B23" s="29">
        <f>IF(CA23&gt;0,0,5)</f>
        <v>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0"/>
      <c r="BW23" s="20"/>
      <c r="BX23" s="20"/>
      <c r="BY23" s="20"/>
      <c r="CA23" s="21">
        <f t="shared" si="3"/>
        <v>0</v>
      </c>
      <c r="CB23" s="21">
        <f t="shared" si="15"/>
        <v>0</v>
      </c>
      <c r="CC23" s="21">
        <f t="shared" si="15"/>
        <v>0</v>
      </c>
      <c r="CD23" s="21">
        <f t="shared" si="15"/>
        <v>0</v>
      </c>
      <c r="CE23" s="21">
        <f t="shared" si="15"/>
        <v>0</v>
      </c>
      <c r="CF23" s="21">
        <f t="shared" si="15"/>
        <v>0</v>
      </c>
      <c r="CG23" s="21">
        <f t="shared" si="15"/>
        <v>0</v>
      </c>
      <c r="CH23" s="21">
        <f t="shared" si="15"/>
        <v>0</v>
      </c>
      <c r="CI23" s="21">
        <f t="shared" si="15"/>
        <v>0</v>
      </c>
      <c r="CJ23" s="21">
        <f t="shared" si="15"/>
        <v>0</v>
      </c>
      <c r="CK23" s="21">
        <f t="shared" si="15"/>
        <v>0</v>
      </c>
      <c r="CL23" s="21">
        <f t="shared" si="15"/>
        <v>0</v>
      </c>
      <c r="CM23" s="21">
        <f t="shared" si="15"/>
        <v>0</v>
      </c>
      <c r="CN23" s="21">
        <f t="shared" si="15"/>
        <v>0</v>
      </c>
      <c r="CO23" s="21">
        <f t="shared" si="15"/>
        <v>0</v>
      </c>
      <c r="CP23" s="21">
        <f t="shared" si="15"/>
        <v>0</v>
      </c>
      <c r="CQ23" s="21">
        <f t="shared" si="14"/>
        <v>0</v>
      </c>
      <c r="CR23" s="21">
        <f t="shared" si="5"/>
        <v>0</v>
      </c>
      <c r="CV23" s="21">
        <f t="shared" si="17"/>
        <v>0</v>
      </c>
      <c r="CW23" s="21">
        <f t="shared" si="17"/>
        <v>0</v>
      </c>
      <c r="CX23" s="21">
        <f t="shared" si="17"/>
        <v>0</v>
      </c>
      <c r="CY23" s="21">
        <f t="shared" si="17"/>
        <v>0</v>
      </c>
      <c r="CZ23" s="21">
        <f t="shared" si="17"/>
        <v>0</v>
      </c>
      <c r="DA23" s="21">
        <f t="shared" si="17"/>
        <v>0</v>
      </c>
      <c r="DB23" s="21">
        <f t="shared" si="17"/>
        <v>0</v>
      </c>
      <c r="DC23" s="21">
        <f t="shared" si="17"/>
        <v>0</v>
      </c>
      <c r="DD23" s="21">
        <f t="shared" si="17"/>
        <v>0</v>
      </c>
      <c r="DE23" s="21">
        <f t="shared" si="17"/>
        <v>0</v>
      </c>
      <c r="DF23" s="21">
        <f t="shared" si="17"/>
        <v>0</v>
      </c>
      <c r="DG23" s="21">
        <f t="shared" si="17"/>
        <v>0</v>
      </c>
      <c r="DH23" s="21">
        <f t="shared" si="17"/>
        <v>0</v>
      </c>
      <c r="DI23" s="21">
        <f t="shared" si="17"/>
        <v>0</v>
      </c>
      <c r="DJ23" s="21">
        <f t="shared" si="16"/>
        <v>0</v>
      </c>
      <c r="DK23" s="21">
        <f t="shared" si="16"/>
        <v>0</v>
      </c>
      <c r="DL23" s="21">
        <f t="shared" si="10"/>
        <v>0</v>
      </c>
      <c r="DM23" s="21">
        <f t="shared" si="10"/>
        <v>0</v>
      </c>
      <c r="DN23" s="21">
        <f t="shared" si="10"/>
        <v>0</v>
      </c>
      <c r="DO23" s="21">
        <f t="shared" si="10"/>
        <v>0</v>
      </c>
      <c r="DP23" s="21">
        <f t="shared" si="11"/>
        <v>0</v>
      </c>
      <c r="DQ23" s="21">
        <f t="shared" si="12"/>
        <v>0</v>
      </c>
      <c r="DR23" s="21">
        <f t="shared" si="12"/>
        <v>0</v>
      </c>
      <c r="DS23" s="21">
        <f t="shared" si="12"/>
        <v>0</v>
      </c>
      <c r="DT23" s="21">
        <f t="shared" si="12"/>
        <v>0</v>
      </c>
      <c r="DU23" s="21">
        <f t="shared" si="12"/>
        <v>0</v>
      </c>
      <c r="DV23" s="21">
        <f>IF(COUNTIF($C23:$BG23,AT23)&gt;1,"X",0)</f>
        <v>0</v>
      </c>
      <c r="DW23" s="21">
        <f t="shared" ref="DW23:DW33" si="19">IF(COUNTIF($C23:$BG23,AU23)&gt;1,"X",0)</f>
        <v>0</v>
      </c>
      <c r="DX23" s="21">
        <f t="shared" si="18"/>
        <v>0</v>
      </c>
      <c r="DY23" s="21">
        <f t="shared" si="13"/>
        <v>0</v>
      </c>
      <c r="DZ23" s="21">
        <f t="shared" si="13"/>
        <v>0</v>
      </c>
      <c r="EA23" s="21">
        <f t="shared" si="13"/>
        <v>0</v>
      </c>
      <c r="EB23" s="21">
        <f t="shared" si="13"/>
        <v>0</v>
      </c>
      <c r="EC23" s="21">
        <f t="shared" si="13"/>
        <v>0</v>
      </c>
      <c r="ED23" s="21">
        <f t="shared" si="13"/>
        <v>0</v>
      </c>
      <c r="EE23" s="21">
        <f t="shared" si="13"/>
        <v>0</v>
      </c>
      <c r="EF23" s="21">
        <f t="shared" si="13"/>
        <v>0</v>
      </c>
      <c r="EG23" s="21">
        <f t="shared" si="13"/>
        <v>0</v>
      </c>
      <c r="EH23" s="21">
        <f t="shared" si="13"/>
        <v>0</v>
      </c>
      <c r="EI23" s="21">
        <f t="shared" si="13"/>
        <v>0</v>
      </c>
    </row>
    <row r="24" spans="1:139" s="21" customFormat="1" ht="15.75" customHeight="1" x14ac:dyDescent="0.2">
      <c r="A24" s="117" t="s">
        <v>226</v>
      </c>
      <c r="B24" s="27">
        <f>IF(CA24&gt;0,0,1)</f>
        <v>1</v>
      </c>
      <c r="C24" s="17" t="s">
        <v>169</v>
      </c>
      <c r="D24" s="17" t="s">
        <v>161</v>
      </c>
      <c r="E24" s="17" t="s">
        <v>62</v>
      </c>
      <c r="F24" s="17" t="s">
        <v>157</v>
      </c>
      <c r="G24" s="17" t="s">
        <v>208</v>
      </c>
      <c r="H24" s="17" t="s">
        <v>171</v>
      </c>
      <c r="I24" s="17" t="s">
        <v>168</v>
      </c>
      <c r="J24" s="17" t="s">
        <v>116</v>
      </c>
      <c r="K24" s="17" t="s">
        <v>122</v>
      </c>
      <c r="L24" s="17" t="s">
        <v>227</v>
      </c>
      <c r="M24" s="17" t="s">
        <v>149</v>
      </c>
      <c r="N24" s="17" t="s">
        <v>125</v>
      </c>
      <c r="O24" s="17" t="s">
        <v>119</v>
      </c>
      <c r="P24" s="17" t="s">
        <v>182</v>
      </c>
      <c r="Q24" s="17" t="s">
        <v>118</v>
      </c>
      <c r="R24" s="17"/>
      <c r="S24" s="17"/>
      <c r="T24" s="19"/>
      <c r="U24" s="19"/>
      <c r="V24" s="17" t="s">
        <v>213</v>
      </c>
      <c r="W24" s="17" t="s">
        <v>163</v>
      </c>
      <c r="X24" s="17" t="s">
        <v>141</v>
      </c>
      <c r="Y24" s="17" t="s">
        <v>100</v>
      </c>
      <c r="Z24" s="17" t="s">
        <v>177</v>
      </c>
      <c r="AA24" s="17" t="s">
        <v>143</v>
      </c>
      <c r="AB24" s="17" t="s">
        <v>152</v>
      </c>
      <c r="AC24" s="17" t="s">
        <v>199</v>
      </c>
      <c r="AD24" s="17" t="s">
        <v>140</v>
      </c>
      <c r="AE24" s="17" t="s">
        <v>205</v>
      </c>
      <c r="AF24" s="17" t="s">
        <v>134</v>
      </c>
      <c r="AG24" s="17" t="s">
        <v>189</v>
      </c>
      <c r="AH24" s="17" t="s">
        <v>115</v>
      </c>
      <c r="AI24" s="17" t="s">
        <v>133</v>
      </c>
      <c r="AJ24" s="17"/>
      <c r="AK24" s="17"/>
      <c r="AL24" s="17"/>
      <c r="AM24" s="17" t="s">
        <v>181</v>
      </c>
      <c r="AN24" s="17" t="s">
        <v>111</v>
      </c>
      <c r="AO24" s="17" t="s">
        <v>117</v>
      </c>
      <c r="AP24" s="17" t="s">
        <v>167</v>
      </c>
      <c r="AQ24" s="17" t="s">
        <v>187</v>
      </c>
      <c r="AR24" s="17" t="s">
        <v>164</v>
      </c>
      <c r="AS24" s="17" t="s">
        <v>130</v>
      </c>
      <c r="AT24" s="17" t="s">
        <v>139</v>
      </c>
      <c r="AU24" s="17" t="s">
        <v>192</v>
      </c>
      <c r="AV24" s="17" t="s">
        <v>165</v>
      </c>
      <c r="AW24" s="17" t="s">
        <v>145</v>
      </c>
      <c r="AX24" s="17" t="s">
        <v>121</v>
      </c>
      <c r="AY24" s="17" t="s">
        <v>206</v>
      </c>
      <c r="AZ24" s="17" t="s">
        <v>102</v>
      </c>
      <c r="BA24" s="17" t="s">
        <v>176</v>
      </c>
      <c r="BB24" s="17" t="s">
        <v>112</v>
      </c>
      <c r="BC24" s="17" t="s">
        <v>172</v>
      </c>
      <c r="BD24" s="17" t="s">
        <v>146</v>
      </c>
      <c r="BE24" s="17" t="s">
        <v>228</v>
      </c>
      <c r="BF24" s="17" t="s">
        <v>138</v>
      </c>
      <c r="BG24" s="17" t="s">
        <v>180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20"/>
      <c r="BW24" s="20"/>
      <c r="BX24" s="20"/>
      <c r="BY24" s="20"/>
      <c r="CA24" s="21">
        <f t="shared" si="3"/>
        <v>0</v>
      </c>
      <c r="CB24" s="21">
        <f t="shared" si="15"/>
        <v>0</v>
      </c>
      <c r="CC24" s="21">
        <f t="shared" si="15"/>
        <v>0</v>
      </c>
      <c r="CD24" s="21">
        <f t="shared" si="15"/>
        <v>0</v>
      </c>
      <c r="CE24" s="21">
        <f t="shared" si="15"/>
        <v>0</v>
      </c>
      <c r="CF24" s="21">
        <f t="shared" si="15"/>
        <v>0</v>
      </c>
      <c r="CG24" s="21">
        <f t="shared" si="15"/>
        <v>0</v>
      </c>
      <c r="CH24" s="21">
        <f t="shared" si="15"/>
        <v>0</v>
      </c>
      <c r="CI24" s="21">
        <f t="shared" si="15"/>
        <v>0</v>
      </c>
      <c r="CJ24" s="21">
        <f t="shared" si="15"/>
        <v>0</v>
      </c>
      <c r="CK24" s="21">
        <f t="shared" si="15"/>
        <v>0</v>
      </c>
      <c r="CL24" s="21">
        <f t="shared" si="15"/>
        <v>0</v>
      </c>
      <c r="CM24" s="21">
        <f t="shared" si="15"/>
        <v>0</v>
      </c>
      <c r="CN24" s="21">
        <f t="shared" si="15"/>
        <v>0</v>
      </c>
      <c r="CO24" s="21">
        <f t="shared" si="15"/>
        <v>0</v>
      </c>
      <c r="CP24" s="21">
        <f t="shared" si="15"/>
        <v>0</v>
      </c>
      <c r="CQ24" s="21">
        <f t="shared" si="14"/>
        <v>0</v>
      </c>
      <c r="CR24" s="21">
        <f t="shared" si="5"/>
        <v>0</v>
      </c>
      <c r="CV24" s="21">
        <f t="shared" si="17"/>
        <v>0</v>
      </c>
      <c r="CW24" s="21">
        <f t="shared" si="17"/>
        <v>0</v>
      </c>
      <c r="CX24" s="21">
        <f t="shared" si="17"/>
        <v>0</v>
      </c>
      <c r="CY24" s="21">
        <f t="shared" si="17"/>
        <v>0</v>
      </c>
      <c r="CZ24" s="21">
        <f t="shared" si="17"/>
        <v>0</v>
      </c>
      <c r="DA24" s="21">
        <f t="shared" si="17"/>
        <v>0</v>
      </c>
      <c r="DB24" s="21">
        <f t="shared" si="17"/>
        <v>0</v>
      </c>
      <c r="DC24" s="21">
        <f t="shared" si="17"/>
        <v>0</v>
      </c>
      <c r="DD24" s="21">
        <f t="shared" si="17"/>
        <v>0</v>
      </c>
      <c r="DE24" s="21">
        <f t="shared" si="17"/>
        <v>0</v>
      </c>
      <c r="DF24" s="21">
        <f t="shared" si="17"/>
        <v>0</v>
      </c>
      <c r="DG24" s="21">
        <f t="shared" si="17"/>
        <v>0</v>
      </c>
      <c r="DH24" s="21">
        <f t="shared" si="17"/>
        <v>0</v>
      </c>
      <c r="DI24" s="21">
        <f t="shared" si="17"/>
        <v>0</v>
      </c>
      <c r="DJ24" s="21">
        <f t="shared" si="16"/>
        <v>0</v>
      </c>
      <c r="DK24" s="21">
        <f t="shared" si="16"/>
        <v>0</v>
      </c>
      <c r="DL24" s="21">
        <f t="shared" si="10"/>
        <v>0</v>
      </c>
      <c r="DM24" s="21">
        <f t="shared" si="10"/>
        <v>0</v>
      </c>
      <c r="DN24" s="21">
        <f t="shared" si="10"/>
        <v>0</v>
      </c>
      <c r="DO24" s="21">
        <f t="shared" si="10"/>
        <v>0</v>
      </c>
      <c r="DP24" s="21">
        <f t="shared" si="11"/>
        <v>0</v>
      </c>
      <c r="DQ24" s="21">
        <f t="shared" si="12"/>
        <v>0</v>
      </c>
      <c r="DR24" s="21">
        <f t="shared" si="12"/>
        <v>0</v>
      </c>
      <c r="DS24" s="21">
        <f t="shared" si="12"/>
        <v>0</v>
      </c>
      <c r="DT24" s="21">
        <f t="shared" ref="DT24:DV27" si="20">IF(COUNTIF($C24:$BG24,AR29)&gt;1,"X",0)</f>
        <v>0</v>
      </c>
      <c r="DU24" s="21">
        <f t="shared" si="20"/>
        <v>0</v>
      </c>
      <c r="DV24" s="21">
        <f t="shared" si="20"/>
        <v>0</v>
      </c>
      <c r="DW24" s="21">
        <f t="shared" si="19"/>
        <v>0</v>
      </c>
      <c r="DX24" s="21">
        <f t="shared" si="18"/>
        <v>0</v>
      </c>
      <c r="DY24" s="21">
        <f t="shared" si="13"/>
        <v>0</v>
      </c>
      <c r="DZ24" s="21">
        <f t="shared" si="13"/>
        <v>0</v>
      </c>
      <c r="EA24" s="21">
        <f t="shared" si="13"/>
        <v>0</v>
      </c>
      <c r="EB24" s="21">
        <f t="shared" si="13"/>
        <v>0</v>
      </c>
      <c r="EC24" s="21">
        <f t="shared" si="13"/>
        <v>0</v>
      </c>
      <c r="ED24" s="21">
        <f t="shared" si="13"/>
        <v>0</v>
      </c>
      <c r="EE24" s="21">
        <f t="shared" si="13"/>
        <v>0</v>
      </c>
      <c r="EF24" s="21">
        <f t="shared" si="13"/>
        <v>0</v>
      </c>
      <c r="EG24" s="21">
        <f t="shared" si="13"/>
        <v>0</v>
      </c>
      <c r="EH24" s="21">
        <f t="shared" si="13"/>
        <v>0</v>
      </c>
      <c r="EI24" s="21">
        <f t="shared" si="13"/>
        <v>0</v>
      </c>
    </row>
    <row r="25" spans="1:139" s="21" customFormat="1" ht="15.75" customHeight="1" x14ac:dyDescent="0.2">
      <c r="A25" s="115" t="s">
        <v>193</v>
      </c>
      <c r="B25" s="28">
        <f>IF(CA25&gt;0,0,2)</f>
        <v>2</v>
      </c>
      <c r="C25" s="17" t="s">
        <v>169</v>
      </c>
      <c r="D25" s="17" t="s">
        <v>161</v>
      </c>
      <c r="E25" s="17" t="s">
        <v>120</v>
      </c>
      <c r="F25" s="17" t="s">
        <v>157</v>
      </c>
      <c r="G25" s="17" t="s">
        <v>190</v>
      </c>
      <c r="H25" s="17" t="s">
        <v>112</v>
      </c>
      <c r="I25" s="17" t="s">
        <v>138</v>
      </c>
      <c r="J25" s="17" t="s">
        <v>116</v>
      </c>
      <c r="K25" s="17" t="s">
        <v>125</v>
      </c>
      <c r="L25" s="17" t="s">
        <v>118</v>
      </c>
      <c r="M25" s="17" t="s">
        <v>70</v>
      </c>
      <c r="N25" s="17" t="s">
        <v>180</v>
      </c>
      <c r="O25" s="17" t="s">
        <v>119</v>
      </c>
      <c r="P25" s="17" t="s">
        <v>208</v>
      </c>
      <c r="Q25" s="17" t="s">
        <v>182</v>
      </c>
      <c r="R25" s="17"/>
      <c r="S25" s="17"/>
      <c r="T25" s="17"/>
      <c r="U25" s="17"/>
      <c r="V25" s="17" t="s">
        <v>176</v>
      </c>
      <c r="W25" s="17" t="s">
        <v>122</v>
      </c>
      <c r="X25" s="17" t="s">
        <v>141</v>
      </c>
      <c r="Y25" s="17" t="s">
        <v>164</v>
      </c>
      <c r="Z25" s="17" t="s">
        <v>177</v>
      </c>
      <c r="AA25" s="17" t="s">
        <v>80</v>
      </c>
      <c r="AB25" s="17" t="s">
        <v>229</v>
      </c>
      <c r="AC25" s="17" t="s">
        <v>199</v>
      </c>
      <c r="AD25" s="17" t="s">
        <v>140</v>
      </c>
      <c r="AE25" s="17" t="s">
        <v>145</v>
      </c>
      <c r="AF25" s="17" t="s">
        <v>222</v>
      </c>
      <c r="AG25" s="17" t="s">
        <v>163</v>
      </c>
      <c r="AH25" s="17" t="s">
        <v>115</v>
      </c>
      <c r="AI25" s="17" t="s">
        <v>189</v>
      </c>
      <c r="AJ25" s="17"/>
      <c r="AK25" s="17"/>
      <c r="AL25" s="17"/>
      <c r="AM25" s="17" t="s">
        <v>181</v>
      </c>
      <c r="AN25" s="17" t="s">
        <v>130</v>
      </c>
      <c r="AO25" s="17" t="s">
        <v>117</v>
      </c>
      <c r="AP25" s="17" t="s">
        <v>92</v>
      </c>
      <c r="AQ25" s="17" t="s">
        <v>187</v>
      </c>
      <c r="AR25" s="17" t="s">
        <v>171</v>
      </c>
      <c r="AS25" s="17" t="s">
        <v>152</v>
      </c>
      <c r="AT25" s="17" t="s">
        <v>139</v>
      </c>
      <c r="AU25" s="17" t="s">
        <v>192</v>
      </c>
      <c r="AV25" s="17" t="s">
        <v>173</v>
      </c>
      <c r="AW25" s="17" t="s">
        <v>168</v>
      </c>
      <c r="AX25" s="17" t="s">
        <v>197</v>
      </c>
      <c r="AY25" s="17" t="s">
        <v>206</v>
      </c>
      <c r="AZ25" s="17" t="s">
        <v>166</v>
      </c>
      <c r="BA25" s="17" t="s">
        <v>143</v>
      </c>
      <c r="BB25" s="17" t="s">
        <v>165</v>
      </c>
      <c r="BC25" s="17" t="s">
        <v>172</v>
      </c>
      <c r="BD25" s="17" t="s">
        <v>146</v>
      </c>
      <c r="BE25" s="17" t="s">
        <v>228</v>
      </c>
      <c r="BF25" s="17" t="s">
        <v>134</v>
      </c>
      <c r="BG25" s="17" t="s">
        <v>186</v>
      </c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20"/>
      <c r="BW25" s="20"/>
      <c r="BX25" s="20"/>
      <c r="BY25" s="20"/>
      <c r="CA25" s="21">
        <f t="shared" si="3"/>
        <v>0</v>
      </c>
      <c r="CB25" s="21">
        <f t="shared" si="15"/>
        <v>0</v>
      </c>
      <c r="CC25" s="21">
        <f t="shared" si="15"/>
        <v>0</v>
      </c>
      <c r="CD25" s="21">
        <f t="shared" si="15"/>
        <v>0</v>
      </c>
      <c r="CE25" s="21">
        <f t="shared" si="15"/>
        <v>0</v>
      </c>
      <c r="CF25" s="21">
        <f t="shared" si="15"/>
        <v>0</v>
      </c>
      <c r="CG25" s="21">
        <f t="shared" si="15"/>
        <v>0</v>
      </c>
      <c r="CH25" s="21">
        <f t="shared" si="15"/>
        <v>0</v>
      </c>
      <c r="CI25" s="21">
        <f t="shared" si="15"/>
        <v>0</v>
      </c>
      <c r="CJ25" s="21">
        <f t="shared" si="15"/>
        <v>0</v>
      </c>
      <c r="CK25" s="21">
        <f t="shared" si="15"/>
        <v>0</v>
      </c>
      <c r="CL25" s="21">
        <f t="shared" si="15"/>
        <v>0</v>
      </c>
      <c r="CM25" s="21">
        <f t="shared" si="15"/>
        <v>0</v>
      </c>
      <c r="CN25" s="21">
        <f t="shared" si="15"/>
        <v>0</v>
      </c>
      <c r="CO25" s="21">
        <f t="shared" si="15"/>
        <v>0</v>
      </c>
      <c r="CP25" s="21">
        <f t="shared" si="15"/>
        <v>0</v>
      </c>
      <c r="CQ25" s="21">
        <f t="shared" si="14"/>
        <v>0</v>
      </c>
      <c r="CR25" s="21">
        <f t="shared" si="5"/>
        <v>0</v>
      </c>
      <c r="CV25" s="21">
        <f t="shared" si="17"/>
        <v>0</v>
      </c>
      <c r="CW25" s="21">
        <f t="shared" si="17"/>
        <v>0</v>
      </c>
      <c r="CX25" s="21">
        <f t="shared" si="17"/>
        <v>0</v>
      </c>
      <c r="CY25" s="21">
        <f t="shared" si="17"/>
        <v>0</v>
      </c>
      <c r="CZ25" s="21">
        <f t="shared" si="17"/>
        <v>0</v>
      </c>
      <c r="DA25" s="21">
        <f t="shared" si="17"/>
        <v>0</v>
      </c>
      <c r="DB25" s="21">
        <f t="shared" si="17"/>
        <v>0</v>
      </c>
      <c r="DC25" s="21">
        <f t="shared" si="17"/>
        <v>0</v>
      </c>
      <c r="DD25" s="21">
        <f t="shared" si="17"/>
        <v>0</v>
      </c>
      <c r="DE25" s="21">
        <f t="shared" si="17"/>
        <v>0</v>
      </c>
      <c r="DF25" s="21">
        <f t="shared" si="17"/>
        <v>0</v>
      </c>
      <c r="DG25" s="21">
        <f t="shared" si="17"/>
        <v>0</v>
      </c>
      <c r="DH25" s="21">
        <f t="shared" si="17"/>
        <v>0</v>
      </c>
      <c r="DI25" s="21">
        <f t="shared" si="17"/>
        <v>0</v>
      </c>
      <c r="DJ25" s="21">
        <f t="shared" si="16"/>
        <v>0</v>
      </c>
      <c r="DK25" s="21">
        <f t="shared" si="16"/>
        <v>0</v>
      </c>
      <c r="DL25" s="21">
        <f t="shared" si="10"/>
        <v>0</v>
      </c>
      <c r="DM25" s="21">
        <f t="shared" si="10"/>
        <v>0</v>
      </c>
      <c r="DN25" s="21">
        <f t="shared" si="10"/>
        <v>0</v>
      </c>
      <c r="DO25" s="21">
        <f t="shared" si="10"/>
        <v>0</v>
      </c>
      <c r="DP25" s="21">
        <f t="shared" si="11"/>
        <v>0</v>
      </c>
      <c r="DQ25" s="21">
        <f t="shared" si="12"/>
        <v>0</v>
      </c>
      <c r="DR25" s="21">
        <f t="shared" si="12"/>
        <v>0</v>
      </c>
      <c r="DS25" s="21">
        <f t="shared" si="12"/>
        <v>0</v>
      </c>
      <c r="DT25" s="21">
        <f t="shared" si="20"/>
        <v>0</v>
      </c>
      <c r="DU25" s="21">
        <f t="shared" si="20"/>
        <v>0</v>
      </c>
      <c r="DV25" s="21">
        <f t="shared" si="20"/>
        <v>0</v>
      </c>
      <c r="DW25" s="21">
        <f t="shared" si="19"/>
        <v>0</v>
      </c>
      <c r="DX25" s="21">
        <f t="shared" si="18"/>
        <v>0</v>
      </c>
      <c r="DY25" s="21">
        <f t="shared" si="13"/>
        <v>0</v>
      </c>
      <c r="DZ25" s="21">
        <f t="shared" si="13"/>
        <v>0</v>
      </c>
      <c r="EA25" s="21">
        <f t="shared" si="13"/>
        <v>0</v>
      </c>
      <c r="EB25" s="21">
        <f t="shared" si="13"/>
        <v>0</v>
      </c>
      <c r="EC25" s="21">
        <f t="shared" si="13"/>
        <v>0</v>
      </c>
      <c r="ED25" s="21">
        <f t="shared" si="13"/>
        <v>0</v>
      </c>
      <c r="EE25" s="21">
        <f t="shared" si="13"/>
        <v>0</v>
      </c>
      <c r="EF25" s="21">
        <f t="shared" si="13"/>
        <v>0</v>
      </c>
      <c r="EG25" s="21">
        <f t="shared" si="13"/>
        <v>0</v>
      </c>
      <c r="EH25" s="21">
        <f t="shared" si="13"/>
        <v>0</v>
      </c>
      <c r="EI25" s="21">
        <f t="shared" si="13"/>
        <v>0</v>
      </c>
    </row>
    <row r="26" spans="1:139" s="21" customFormat="1" ht="15.75" customHeight="1" x14ac:dyDescent="0.2">
      <c r="A26" s="115" t="s">
        <v>230</v>
      </c>
      <c r="B26" s="28">
        <f>IF(CA26&gt;0,0,3)</f>
        <v>3</v>
      </c>
      <c r="C26" s="17" t="s">
        <v>205</v>
      </c>
      <c r="D26" s="17" t="s">
        <v>167</v>
      </c>
      <c r="E26" s="17" t="s">
        <v>157</v>
      </c>
      <c r="F26" s="17" t="s">
        <v>158</v>
      </c>
      <c r="G26" s="17" t="s">
        <v>129</v>
      </c>
      <c r="H26" s="17" t="s">
        <v>199</v>
      </c>
      <c r="I26" s="17" t="s">
        <v>121</v>
      </c>
      <c r="J26" s="17" t="s">
        <v>138</v>
      </c>
      <c r="K26" s="17" t="s">
        <v>117</v>
      </c>
      <c r="L26" s="17" t="s">
        <v>206</v>
      </c>
      <c r="M26" s="17" t="s">
        <v>119</v>
      </c>
      <c r="N26" s="17" t="s">
        <v>181</v>
      </c>
      <c r="O26" s="17" t="s">
        <v>125</v>
      </c>
      <c r="P26" s="17" t="s">
        <v>180</v>
      </c>
      <c r="Q26" s="17" t="s">
        <v>182</v>
      </c>
      <c r="R26" s="17"/>
      <c r="S26" s="17"/>
      <c r="T26" s="17"/>
      <c r="U26" s="17"/>
      <c r="V26" s="17" t="s">
        <v>187</v>
      </c>
      <c r="W26" s="17" t="s">
        <v>161</v>
      </c>
      <c r="X26" s="17" t="s">
        <v>122</v>
      </c>
      <c r="Y26" s="17" t="s">
        <v>164</v>
      </c>
      <c r="Z26" s="17" t="s">
        <v>115</v>
      </c>
      <c r="AA26" s="17" t="s">
        <v>139</v>
      </c>
      <c r="AB26" s="17" t="s">
        <v>172</v>
      </c>
      <c r="AC26" s="17" t="s">
        <v>213</v>
      </c>
      <c r="AD26" s="17" t="s">
        <v>177</v>
      </c>
      <c r="AE26" s="17" t="s">
        <v>189</v>
      </c>
      <c r="AF26" s="17" t="s">
        <v>171</v>
      </c>
      <c r="AG26" s="17" t="s">
        <v>169</v>
      </c>
      <c r="AH26" s="17" t="s">
        <v>136</v>
      </c>
      <c r="AI26" s="17" t="s">
        <v>215</v>
      </c>
      <c r="AJ26" s="17"/>
      <c r="AK26" s="17"/>
      <c r="AL26" s="17"/>
      <c r="AM26" s="17" t="s">
        <v>144</v>
      </c>
      <c r="AN26" s="17" t="s">
        <v>146</v>
      </c>
      <c r="AO26" s="17" t="s">
        <v>190</v>
      </c>
      <c r="AP26" s="17" t="s">
        <v>166</v>
      </c>
      <c r="AQ26" s="17" t="s">
        <v>197</v>
      </c>
      <c r="AR26" s="17" t="s">
        <v>155</v>
      </c>
      <c r="AS26" s="17" t="s">
        <v>152</v>
      </c>
      <c r="AT26" s="17" t="s">
        <v>145</v>
      </c>
      <c r="AU26" s="17" t="s">
        <v>116</v>
      </c>
      <c r="AV26" s="17" t="s">
        <v>208</v>
      </c>
      <c r="AW26" s="17" t="s">
        <v>141</v>
      </c>
      <c r="AX26" s="17" t="s">
        <v>112</v>
      </c>
      <c r="AY26" s="17" t="s">
        <v>173</v>
      </c>
      <c r="AZ26" s="17" t="s">
        <v>192</v>
      </c>
      <c r="BA26" s="17" t="s">
        <v>143</v>
      </c>
      <c r="BB26" s="17" t="s">
        <v>165</v>
      </c>
      <c r="BC26" s="17" t="s">
        <v>133</v>
      </c>
      <c r="BD26" s="17" t="s">
        <v>140</v>
      </c>
      <c r="BE26" s="17" t="s">
        <v>118</v>
      </c>
      <c r="BF26" s="17" t="s">
        <v>134</v>
      </c>
      <c r="BG26" s="17" t="s">
        <v>130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20"/>
      <c r="BW26" s="20"/>
      <c r="BX26" s="20"/>
      <c r="BY26" s="20"/>
      <c r="CA26" s="21">
        <f t="shared" si="3"/>
        <v>0</v>
      </c>
      <c r="CB26" s="21">
        <f t="shared" si="15"/>
        <v>0</v>
      </c>
      <c r="CC26" s="21">
        <f t="shared" si="15"/>
        <v>0</v>
      </c>
      <c r="CD26" s="21">
        <f t="shared" si="15"/>
        <v>0</v>
      </c>
      <c r="CE26" s="21">
        <f t="shared" si="15"/>
        <v>0</v>
      </c>
      <c r="CF26" s="21">
        <f t="shared" si="15"/>
        <v>0</v>
      </c>
      <c r="CG26" s="21">
        <f t="shared" si="15"/>
        <v>0</v>
      </c>
      <c r="CH26" s="21">
        <f t="shared" si="15"/>
        <v>0</v>
      </c>
      <c r="CI26" s="21">
        <f t="shared" si="15"/>
        <v>0</v>
      </c>
      <c r="CJ26" s="21">
        <f t="shared" si="15"/>
        <v>0</v>
      </c>
      <c r="CK26" s="21">
        <f t="shared" si="15"/>
        <v>0</v>
      </c>
      <c r="CL26" s="21">
        <f t="shared" si="15"/>
        <v>0</v>
      </c>
      <c r="CM26" s="21">
        <f t="shared" si="15"/>
        <v>0</v>
      </c>
      <c r="CN26" s="21">
        <f t="shared" si="15"/>
        <v>0</v>
      </c>
      <c r="CO26" s="21">
        <f t="shared" si="15"/>
        <v>0</v>
      </c>
      <c r="CP26" s="21">
        <f t="shared" si="15"/>
        <v>0</v>
      </c>
      <c r="CQ26" s="21">
        <f t="shared" si="14"/>
        <v>0</v>
      </c>
      <c r="CR26" s="21">
        <f t="shared" si="5"/>
        <v>0</v>
      </c>
      <c r="CV26" s="21">
        <f t="shared" si="17"/>
        <v>0</v>
      </c>
      <c r="CW26" s="21">
        <f t="shared" si="17"/>
        <v>0</v>
      </c>
      <c r="CX26" s="21">
        <f t="shared" si="17"/>
        <v>0</v>
      </c>
      <c r="CY26" s="21">
        <f t="shared" si="17"/>
        <v>0</v>
      </c>
      <c r="CZ26" s="21">
        <f t="shared" si="17"/>
        <v>0</v>
      </c>
      <c r="DA26" s="21">
        <f t="shared" si="17"/>
        <v>0</v>
      </c>
      <c r="DB26" s="21">
        <f t="shared" si="17"/>
        <v>0</v>
      </c>
      <c r="DC26" s="21">
        <f t="shared" si="17"/>
        <v>0</v>
      </c>
      <c r="DD26" s="21">
        <f t="shared" si="17"/>
        <v>0</v>
      </c>
      <c r="DE26" s="21">
        <f t="shared" si="17"/>
        <v>0</v>
      </c>
      <c r="DF26" s="21">
        <f t="shared" si="17"/>
        <v>0</v>
      </c>
      <c r="DG26" s="21">
        <f t="shared" si="17"/>
        <v>0</v>
      </c>
      <c r="DH26" s="21">
        <f t="shared" si="17"/>
        <v>0</v>
      </c>
      <c r="DI26" s="21">
        <f t="shared" si="17"/>
        <v>0</v>
      </c>
      <c r="DJ26" s="21">
        <f t="shared" si="16"/>
        <v>0</v>
      </c>
      <c r="DK26" s="21">
        <f t="shared" si="16"/>
        <v>0</v>
      </c>
      <c r="DL26" s="21">
        <f t="shared" si="10"/>
        <v>0</v>
      </c>
      <c r="DM26" s="21">
        <f t="shared" si="10"/>
        <v>0</v>
      </c>
      <c r="DN26" s="21">
        <f t="shared" si="10"/>
        <v>0</v>
      </c>
      <c r="DO26" s="21">
        <f t="shared" si="10"/>
        <v>0</v>
      </c>
      <c r="DP26" s="21">
        <f t="shared" si="11"/>
        <v>0</v>
      </c>
      <c r="DQ26" s="21">
        <f t="shared" si="12"/>
        <v>0</v>
      </c>
      <c r="DR26" s="21">
        <f t="shared" si="12"/>
        <v>0</v>
      </c>
      <c r="DS26" s="21">
        <f t="shared" si="12"/>
        <v>0</v>
      </c>
      <c r="DT26" s="21">
        <f t="shared" si="20"/>
        <v>0</v>
      </c>
      <c r="DU26" s="21">
        <f t="shared" si="20"/>
        <v>0</v>
      </c>
      <c r="DV26" s="21">
        <f t="shared" si="20"/>
        <v>0</v>
      </c>
      <c r="DW26" s="21">
        <f t="shared" si="19"/>
        <v>0</v>
      </c>
      <c r="DX26" s="21">
        <f t="shared" si="18"/>
        <v>0</v>
      </c>
      <c r="DY26" s="21">
        <f t="shared" si="13"/>
        <v>0</v>
      </c>
      <c r="DZ26" s="21">
        <f t="shared" si="13"/>
        <v>0</v>
      </c>
      <c r="EA26" s="21">
        <f t="shared" si="13"/>
        <v>0</v>
      </c>
      <c r="EB26" s="21">
        <f t="shared" si="13"/>
        <v>0</v>
      </c>
      <c r="EC26" s="21">
        <f t="shared" si="13"/>
        <v>0</v>
      </c>
      <c r="ED26" s="21">
        <f t="shared" si="13"/>
        <v>0</v>
      </c>
      <c r="EE26" s="21">
        <f t="shared" si="13"/>
        <v>0</v>
      </c>
      <c r="EF26" s="21">
        <f t="shared" si="13"/>
        <v>0</v>
      </c>
      <c r="EG26" s="21">
        <f t="shared" si="13"/>
        <v>0</v>
      </c>
      <c r="EH26" s="21">
        <f t="shared" si="13"/>
        <v>0</v>
      </c>
      <c r="EI26" s="21">
        <f t="shared" si="13"/>
        <v>0</v>
      </c>
    </row>
    <row r="27" spans="1:139" s="21" customFormat="1" ht="15.75" customHeight="1" x14ac:dyDescent="0.2">
      <c r="A27" s="115"/>
      <c r="B27" s="28">
        <f>IF(CA27&gt;0,0,4)</f>
        <v>4</v>
      </c>
      <c r="C27" s="17" t="s">
        <v>190</v>
      </c>
      <c r="D27" s="17" t="s">
        <v>167</v>
      </c>
      <c r="E27" s="17" t="s">
        <v>157</v>
      </c>
      <c r="F27" s="17" t="s">
        <v>158</v>
      </c>
      <c r="G27" s="17" t="s">
        <v>129</v>
      </c>
      <c r="H27" s="17" t="s">
        <v>86</v>
      </c>
      <c r="I27" s="17" t="s">
        <v>199</v>
      </c>
      <c r="J27" s="17" t="s">
        <v>138</v>
      </c>
      <c r="K27" s="17" t="s">
        <v>117</v>
      </c>
      <c r="L27" s="17" t="s">
        <v>206</v>
      </c>
      <c r="M27" s="17" t="s">
        <v>119</v>
      </c>
      <c r="N27" s="17" t="s">
        <v>181</v>
      </c>
      <c r="O27" s="17" t="s">
        <v>125</v>
      </c>
      <c r="P27" s="17" t="s">
        <v>176</v>
      </c>
      <c r="Q27" s="17" t="s">
        <v>168</v>
      </c>
      <c r="R27" s="17"/>
      <c r="S27" s="17"/>
      <c r="T27" s="17"/>
      <c r="U27" s="17"/>
      <c r="V27" s="17" t="s">
        <v>187</v>
      </c>
      <c r="W27" s="17" t="s">
        <v>161</v>
      </c>
      <c r="X27" s="17" t="s">
        <v>122</v>
      </c>
      <c r="Y27" s="17" t="s">
        <v>133</v>
      </c>
      <c r="Z27" s="17" t="s">
        <v>115</v>
      </c>
      <c r="AA27" s="17" t="s">
        <v>184</v>
      </c>
      <c r="AB27" s="17" t="s">
        <v>173</v>
      </c>
      <c r="AC27" s="17" t="s">
        <v>146</v>
      </c>
      <c r="AD27" s="17" t="s">
        <v>177</v>
      </c>
      <c r="AE27" s="17" t="s">
        <v>164</v>
      </c>
      <c r="AF27" s="17" t="s">
        <v>152</v>
      </c>
      <c r="AG27" s="17" t="s">
        <v>213</v>
      </c>
      <c r="AH27" s="17" t="s">
        <v>205</v>
      </c>
      <c r="AI27" s="17" t="s">
        <v>172</v>
      </c>
      <c r="AJ27" s="17"/>
      <c r="AK27" s="17"/>
      <c r="AL27" s="17"/>
      <c r="AM27" s="17" t="s">
        <v>144</v>
      </c>
      <c r="AN27" s="17" t="s">
        <v>171</v>
      </c>
      <c r="AO27" s="17" t="s">
        <v>121</v>
      </c>
      <c r="AP27" s="17" t="s">
        <v>166</v>
      </c>
      <c r="AQ27" s="17" t="s">
        <v>197</v>
      </c>
      <c r="AR27" s="17" t="s">
        <v>143</v>
      </c>
      <c r="AS27" s="17" t="s">
        <v>186</v>
      </c>
      <c r="AT27" s="17" t="s">
        <v>145</v>
      </c>
      <c r="AU27" s="17" t="s">
        <v>189</v>
      </c>
      <c r="AV27" s="17" t="s">
        <v>116</v>
      </c>
      <c r="AW27" s="17" t="s">
        <v>165</v>
      </c>
      <c r="AX27" s="17" t="s">
        <v>112</v>
      </c>
      <c r="AY27" s="17" t="s">
        <v>111</v>
      </c>
      <c r="AZ27" s="17" t="s">
        <v>192</v>
      </c>
      <c r="BA27" s="17" t="s">
        <v>180</v>
      </c>
      <c r="BB27" s="17" t="s">
        <v>182</v>
      </c>
      <c r="BC27" s="17" t="s">
        <v>134</v>
      </c>
      <c r="BD27" s="17" t="s">
        <v>140</v>
      </c>
      <c r="BE27" s="17" t="s">
        <v>118</v>
      </c>
      <c r="BF27" s="17" t="s">
        <v>155</v>
      </c>
      <c r="BG27" s="17" t="s">
        <v>130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20"/>
      <c r="BW27" s="20"/>
      <c r="BX27" s="20"/>
      <c r="BY27" s="20"/>
      <c r="CA27" s="21">
        <f t="shared" si="3"/>
        <v>0</v>
      </c>
      <c r="CB27" s="21">
        <f t="shared" si="15"/>
        <v>0</v>
      </c>
      <c r="CC27" s="21">
        <f t="shared" si="15"/>
        <v>0</v>
      </c>
      <c r="CD27" s="21">
        <f t="shared" si="15"/>
        <v>0</v>
      </c>
      <c r="CE27" s="21">
        <f t="shared" si="15"/>
        <v>0</v>
      </c>
      <c r="CF27" s="21">
        <f t="shared" si="15"/>
        <v>0</v>
      </c>
      <c r="CG27" s="21">
        <f t="shared" si="15"/>
        <v>0</v>
      </c>
      <c r="CH27" s="21">
        <f t="shared" si="15"/>
        <v>0</v>
      </c>
      <c r="CI27" s="21">
        <f t="shared" si="15"/>
        <v>0</v>
      </c>
      <c r="CJ27" s="21">
        <f t="shared" si="15"/>
        <v>0</v>
      </c>
      <c r="CK27" s="21">
        <f t="shared" si="15"/>
        <v>0</v>
      </c>
      <c r="CL27" s="21">
        <f t="shared" si="15"/>
        <v>0</v>
      </c>
      <c r="CM27" s="21">
        <f t="shared" si="15"/>
        <v>0</v>
      </c>
      <c r="CN27" s="21">
        <f t="shared" si="15"/>
        <v>0</v>
      </c>
      <c r="CO27" s="21">
        <f t="shared" si="15"/>
        <v>0</v>
      </c>
      <c r="CP27" s="21">
        <f t="shared" si="15"/>
        <v>0</v>
      </c>
      <c r="CQ27" s="21">
        <f t="shared" si="14"/>
        <v>0</v>
      </c>
      <c r="CR27" s="21">
        <f t="shared" si="5"/>
        <v>0</v>
      </c>
      <c r="CV27" s="21">
        <f t="shared" si="17"/>
        <v>0</v>
      </c>
      <c r="CW27" s="21">
        <f t="shared" si="17"/>
        <v>0</v>
      </c>
      <c r="CX27" s="21">
        <f t="shared" si="17"/>
        <v>0</v>
      </c>
      <c r="CY27" s="21">
        <f t="shared" si="17"/>
        <v>0</v>
      </c>
      <c r="CZ27" s="21">
        <f t="shared" si="17"/>
        <v>0</v>
      </c>
      <c r="DA27" s="21">
        <f t="shared" si="17"/>
        <v>0</v>
      </c>
      <c r="DB27" s="21">
        <f t="shared" si="17"/>
        <v>0</v>
      </c>
      <c r="DC27" s="21">
        <f t="shared" si="17"/>
        <v>0</v>
      </c>
      <c r="DD27" s="21">
        <f t="shared" si="17"/>
        <v>0</v>
      </c>
      <c r="DE27" s="21">
        <f t="shared" si="17"/>
        <v>0</v>
      </c>
      <c r="DF27" s="21">
        <f t="shared" si="17"/>
        <v>0</v>
      </c>
      <c r="DG27" s="21">
        <f t="shared" si="17"/>
        <v>0</v>
      </c>
      <c r="DH27" s="21">
        <f t="shared" si="17"/>
        <v>0</v>
      </c>
      <c r="DI27" s="21">
        <f t="shared" si="17"/>
        <v>0</v>
      </c>
      <c r="DJ27" s="21">
        <f t="shared" si="16"/>
        <v>0</v>
      </c>
      <c r="DK27" s="21">
        <f t="shared" si="16"/>
        <v>0</v>
      </c>
      <c r="DL27" s="21">
        <f t="shared" si="10"/>
        <v>0</v>
      </c>
      <c r="DM27" s="21">
        <f t="shared" si="10"/>
        <v>0</v>
      </c>
      <c r="DN27" s="21">
        <f t="shared" si="10"/>
        <v>0</v>
      </c>
      <c r="DO27" s="21">
        <f t="shared" si="10"/>
        <v>0</v>
      </c>
      <c r="DP27" s="21">
        <f t="shared" si="11"/>
        <v>0</v>
      </c>
      <c r="DQ27" s="21">
        <f t="shared" si="12"/>
        <v>0</v>
      </c>
      <c r="DR27" s="21">
        <f t="shared" si="12"/>
        <v>0</v>
      </c>
      <c r="DS27" s="21">
        <f t="shared" si="12"/>
        <v>0</v>
      </c>
      <c r="DT27" s="21">
        <f t="shared" si="20"/>
        <v>0</v>
      </c>
      <c r="DU27" s="21">
        <f t="shared" si="20"/>
        <v>0</v>
      </c>
      <c r="DV27" s="21">
        <f t="shared" si="20"/>
        <v>0</v>
      </c>
      <c r="DW27" s="21">
        <f t="shared" si="19"/>
        <v>0</v>
      </c>
      <c r="DX27" s="21">
        <f t="shared" si="18"/>
        <v>0</v>
      </c>
      <c r="DY27" s="21">
        <f t="shared" si="13"/>
        <v>0</v>
      </c>
      <c r="DZ27" s="21">
        <f t="shared" si="13"/>
        <v>0</v>
      </c>
      <c r="EA27" s="21">
        <f t="shared" si="13"/>
        <v>0</v>
      </c>
      <c r="EB27" s="21">
        <f t="shared" si="13"/>
        <v>0</v>
      </c>
      <c r="EC27" s="21">
        <f t="shared" si="13"/>
        <v>0</v>
      </c>
      <c r="ED27" s="21">
        <f t="shared" si="13"/>
        <v>0</v>
      </c>
      <c r="EE27" s="21">
        <f t="shared" si="13"/>
        <v>0</v>
      </c>
      <c r="EF27" s="21">
        <f t="shared" si="13"/>
        <v>0</v>
      </c>
      <c r="EG27" s="21">
        <f t="shared" si="13"/>
        <v>0</v>
      </c>
      <c r="EH27" s="21">
        <f t="shared" si="13"/>
        <v>0</v>
      </c>
      <c r="EI27" s="21">
        <f t="shared" si="13"/>
        <v>0</v>
      </c>
    </row>
    <row r="28" spans="1:139" s="21" customFormat="1" ht="15.75" customHeight="1" thickBot="1" x14ac:dyDescent="0.25">
      <c r="A28" s="116"/>
      <c r="B28" s="29">
        <f>IF(CA28&gt;0,0,5)</f>
        <v>5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0"/>
      <c r="BW28" s="20"/>
      <c r="BX28" s="20"/>
      <c r="BY28" s="20"/>
      <c r="CA28" s="21">
        <f t="shared" si="3"/>
        <v>0</v>
      </c>
      <c r="CB28" s="21">
        <f t="shared" si="15"/>
        <v>0</v>
      </c>
      <c r="CC28" s="21">
        <f t="shared" si="15"/>
        <v>0</v>
      </c>
      <c r="CD28" s="21">
        <f t="shared" si="15"/>
        <v>0</v>
      </c>
      <c r="CE28" s="21">
        <f t="shared" si="15"/>
        <v>0</v>
      </c>
      <c r="CF28" s="21">
        <f t="shared" si="15"/>
        <v>0</v>
      </c>
      <c r="CG28" s="21">
        <f t="shared" si="15"/>
        <v>0</v>
      </c>
      <c r="CH28" s="21">
        <f t="shared" si="15"/>
        <v>0</v>
      </c>
      <c r="CI28" s="21">
        <f t="shared" si="15"/>
        <v>0</v>
      </c>
      <c r="CJ28" s="21">
        <f t="shared" si="15"/>
        <v>0</v>
      </c>
      <c r="CK28" s="21">
        <f t="shared" si="15"/>
        <v>0</v>
      </c>
      <c r="CL28" s="21">
        <f t="shared" si="15"/>
        <v>0</v>
      </c>
      <c r="CM28" s="21">
        <f t="shared" si="15"/>
        <v>0</v>
      </c>
      <c r="CN28" s="21">
        <f t="shared" si="15"/>
        <v>0</v>
      </c>
      <c r="CO28" s="21">
        <f t="shared" si="15"/>
        <v>0</v>
      </c>
      <c r="CP28" s="21">
        <f t="shared" si="15"/>
        <v>0</v>
      </c>
      <c r="CQ28" s="21">
        <f t="shared" si="14"/>
        <v>0</v>
      </c>
      <c r="CR28" s="21">
        <f t="shared" si="5"/>
        <v>0</v>
      </c>
      <c r="CV28" s="21">
        <f t="shared" si="17"/>
        <v>0</v>
      </c>
      <c r="CW28" s="21">
        <f t="shared" si="17"/>
        <v>0</v>
      </c>
      <c r="CX28" s="21">
        <f t="shared" si="17"/>
        <v>0</v>
      </c>
      <c r="CY28" s="21">
        <f t="shared" si="17"/>
        <v>0</v>
      </c>
      <c r="CZ28" s="21">
        <f t="shared" si="17"/>
        <v>0</v>
      </c>
      <c r="DA28" s="21">
        <f t="shared" si="17"/>
        <v>0</v>
      </c>
      <c r="DB28" s="21">
        <f t="shared" si="17"/>
        <v>0</v>
      </c>
      <c r="DC28" s="21">
        <f t="shared" si="17"/>
        <v>0</v>
      </c>
      <c r="DD28" s="21">
        <f t="shared" si="17"/>
        <v>0</v>
      </c>
      <c r="DE28" s="21">
        <f t="shared" si="17"/>
        <v>0</v>
      </c>
      <c r="DF28" s="21">
        <f t="shared" si="17"/>
        <v>0</v>
      </c>
      <c r="DG28" s="21">
        <f t="shared" si="17"/>
        <v>0</v>
      </c>
      <c r="DH28" s="21">
        <f t="shared" si="17"/>
        <v>0</v>
      </c>
      <c r="DI28" s="21">
        <f t="shared" si="17"/>
        <v>0</v>
      </c>
      <c r="DJ28" s="21">
        <f t="shared" si="16"/>
        <v>0</v>
      </c>
      <c r="DK28" s="21">
        <f t="shared" si="16"/>
        <v>0</v>
      </c>
      <c r="DL28" s="21">
        <f t="shared" si="10"/>
        <v>0</v>
      </c>
      <c r="DM28" s="21">
        <f t="shared" si="10"/>
        <v>0</v>
      </c>
      <c r="DN28" s="21">
        <f t="shared" si="10"/>
        <v>0</v>
      </c>
      <c r="DO28" s="21">
        <f t="shared" si="10"/>
        <v>0</v>
      </c>
      <c r="DP28" s="21">
        <f t="shared" si="11"/>
        <v>0</v>
      </c>
      <c r="DQ28" s="21">
        <f t="shared" si="12"/>
        <v>0</v>
      </c>
      <c r="DR28" s="21">
        <f t="shared" si="12"/>
        <v>0</v>
      </c>
      <c r="DS28" s="21">
        <f t="shared" si="12"/>
        <v>0</v>
      </c>
      <c r="DT28" s="21">
        <f>IF(COUNTIF($C28:$BG28,AR28)&gt;1,"X",0)</f>
        <v>0</v>
      </c>
      <c r="DU28" s="21">
        <f>IF(COUNTIF($C28:$BG28,AS28)&gt;1,"X",0)</f>
        <v>0</v>
      </c>
      <c r="DV28" s="21">
        <f>IF(COUNTIF($C28:$BG28,AT28)&gt;1,"X",0)</f>
        <v>0</v>
      </c>
      <c r="DW28" s="21">
        <f t="shared" si="19"/>
        <v>0</v>
      </c>
      <c r="DX28" s="21">
        <f t="shared" si="18"/>
        <v>0</v>
      </c>
      <c r="DY28" s="21">
        <f t="shared" si="13"/>
        <v>0</v>
      </c>
      <c r="DZ28" s="21">
        <f t="shared" si="13"/>
        <v>0</v>
      </c>
      <c r="EA28" s="21">
        <f t="shared" si="13"/>
        <v>0</v>
      </c>
      <c r="EB28" s="21">
        <f t="shared" si="13"/>
        <v>0</v>
      </c>
      <c r="EC28" s="21">
        <f t="shared" si="13"/>
        <v>0</v>
      </c>
      <c r="ED28" s="21">
        <f t="shared" si="13"/>
        <v>0</v>
      </c>
      <c r="EE28" s="21">
        <f t="shared" si="13"/>
        <v>0</v>
      </c>
      <c r="EF28" s="21">
        <f t="shared" si="13"/>
        <v>0</v>
      </c>
      <c r="EG28" s="21">
        <f t="shared" si="13"/>
        <v>0</v>
      </c>
      <c r="EH28" s="21">
        <f t="shared" si="13"/>
        <v>0</v>
      </c>
      <c r="EI28" s="21">
        <f t="shared" si="13"/>
        <v>0</v>
      </c>
    </row>
    <row r="29" spans="1:139" s="21" customFormat="1" ht="15.75" customHeight="1" x14ac:dyDescent="0.2">
      <c r="A29" s="26" t="s">
        <v>231</v>
      </c>
      <c r="B29" s="27">
        <f>IF(CA29&gt;0,0,1)</f>
        <v>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9"/>
      <c r="U29" s="19"/>
      <c r="V29" s="17"/>
      <c r="W29" s="17"/>
      <c r="X29" s="17"/>
      <c r="Y29" s="17" t="s">
        <v>232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9"/>
      <c r="AL29" s="19"/>
      <c r="AM29" s="17"/>
      <c r="AN29" s="17" t="s">
        <v>90</v>
      </c>
      <c r="AO29" s="17"/>
      <c r="AP29" s="17"/>
      <c r="AQ29" s="17"/>
      <c r="AR29" s="17"/>
      <c r="AS29" s="17"/>
      <c r="AT29" s="17"/>
      <c r="AU29" s="17"/>
      <c r="AV29" s="17" t="s">
        <v>195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 t="s">
        <v>222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20"/>
      <c r="BW29" s="20"/>
      <c r="BX29" s="20"/>
      <c r="BY29" s="20"/>
      <c r="CA29" s="21">
        <f t="shared" si="3"/>
        <v>0</v>
      </c>
      <c r="CB29" s="21">
        <f t="shared" si="15"/>
        <v>0</v>
      </c>
      <c r="CC29" s="21">
        <f t="shared" si="15"/>
        <v>0</v>
      </c>
      <c r="CD29" s="21">
        <f t="shared" si="15"/>
        <v>0</v>
      </c>
      <c r="CE29" s="21">
        <f t="shared" si="15"/>
        <v>0</v>
      </c>
      <c r="CF29" s="21">
        <f t="shared" si="15"/>
        <v>0</v>
      </c>
      <c r="CG29" s="21">
        <f t="shared" si="15"/>
        <v>0</v>
      </c>
      <c r="CH29" s="21">
        <f t="shared" si="15"/>
        <v>0</v>
      </c>
      <c r="CI29" s="21">
        <f t="shared" si="15"/>
        <v>0</v>
      </c>
      <c r="CJ29" s="21">
        <f t="shared" si="15"/>
        <v>0</v>
      </c>
      <c r="CK29" s="21">
        <f t="shared" si="15"/>
        <v>0</v>
      </c>
      <c r="CL29" s="21">
        <f t="shared" si="15"/>
        <v>0</v>
      </c>
      <c r="CM29" s="21">
        <f t="shared" si="15"/>
        <v>0</v>
      </c>
      <c r="CN29" s="21">
        <f t="shared" si="15"/>
        <v>0</v>
      </c>
      <c r="CO29" s="21">
        <f t="shared" si="15"/>
        <v>0</v>
      </c>
      <c r="CP29" s="21">
        <f t="shared" si="15"/>
        <v>0</v>
      </c>
      <c r="CQ29" s="21">
        <f t="shared" si="14"/>
        <v>0</v>
      </c>
      <c r="CR29" s="21">
        <f t="shared" si="5"/>
        <v>0</v>
      </c>
      <c r="CV29" s="21">
        <f t="shared" si="17"/>
        <v>0</v>
      </c>
      <c r="CW29" s="21">
        <f t="shared" si="17"/>
        <v>0</v>
      </c>
      <c r="CX29" s="21">
        <f t="shared" si="17"/>
        <v>0</v>
      </c>
      <c r="CY29" s="21">
        <f t="shared" si="17"/>
        <v>0</v>
      </c>
      <c r="CZ29" s="21">
        <f t="shared" si="17"/>
        <v>0</v>
      </c>
      <c r="DA29" s="21">
        <f t="shared" si="17"/>
        <v>0</v>
      </c>
      <c r="DB29" s="21">
        <f t="shared" si="17"/>
        <v>0</v>
      </c>
      <c r="DC29" s="21">
        <f t="shared" si="17"/>
        <v>0</v>
      </c>
      <c r="DD29" s="21">
        <f t="shared" si="17"/>
        <v>0</v>
      </c>
      <c r="DE29" s="21">
        <f t="shared" si="17"/>
        <v>0</v>
      </c>
      <c r="DF29" s="21">
        <f t="shared" si="17"/>
        <v>0</v>
      </c>
      <c r="DG29" s="21">
        <f t="shared" si="17"/>
        <v>0</v>
      </c>
      <c r="DH29" s="21">
        <f t="shared" si="17"/>
        <v>0</v>
      </c>
      <c r="DI29" s="21">
        <f t="shared" si="17"/>
        <v>0</v>
      </c>
      <c r="DJ29" s="21">
        <f t="shared" si="16"/>
        <v>0</v>
      </c>
      <c r="DK29" s="21">
        <f t="shared" si="16"/>
        <v>0</v>
      </c>
      <c r="DL29" s="21">
        <f t="shared" si="10"/>
        <v>0</v>
      </c>
      <c r="DM29" s="21">
        <f t="shared" si="10"/>
        <v>0</v>
      </c>
      <c r="DN29" s="21">
        <f t="shared" si="10"/>
        <v>0</v>
      </c>
      <c r="DO29" s="21">
        <f t="shared" si="10"/>
        <v>0</v>
      </c>
      <c r="DP29" s="21">
        <f t="shared" si="11"/>
        <v>0</v>
      </c>
      <c r="DQ29" s="21">
        <f t="shared" si="12"/>
        <v>0</v>
      </c>
      <c r="DR29" s="21">
        <f t="shared" si="12"/>
        <v>0</v>
      </c>
      <c r="DS29" s="21">
        <f t="shared" si="12"/>
        <v>0</v>
      </c>
      <c r="DT29" s="21">
        <f>IF(COUNTIF($C29:$BG29,#REF!)&gt;1,"X",0)</f>
        <v>0</v>
      </c>
      <c r="DU29" s="21">
        <f>IF(COUNTIF($C29:$BG29,#REF!)&gt;1,"X",0)</f>
        <v>0</v>
      </c>
      <c r="DV29" s="21">
        <f>IF(COUNTIF($C29:$BG29,#REF!)&gt;1,"X",0)</f>
        <v>0</v>
      </c>
      <c r="DW29" s="21">
        <f t="shared" si="19"/>
        <v>0</v>
      </c>
      <c r="DX29" s="21">
        <f t="shared" si="18"/>
        <v>0</v>
      </c>
      <c r="DY29" s="21">
        <f t="shared" si="13"/>
        <v>0</v>
      </c>
      <c r="DZ29" s="21">
        <f t="shared" si="13"/>
        <v>0</v>
      </c>
      <c r="EA29" s="21">
        <f t="shared" si="13"/>
        <v>0</v>
      </c>
      <c r="EB29" s="21">
        <f t="shared" si="13"/>
        <v>0</v>
      </c>
      <c r="EC29" s="21">
        <f t="shared" si="13"/>
        <v>0</v>
      </c>
      <c r="ED29" s="21">
        <f t="shared" si="13"/>
        <v>0</v>
      </c>
      <c r="EE29" s="21">
        <f t="shared" si="13"/>
        <v>0</v>
      </c>
      <c r="EF29" s="21">
        <f t="shared" si="13"/>
        <v>0</v>
      </c>
      <c r="EG29" s="21">
        <f t="shared" si="13"/>
        <v>0</v>
      </c>
      <c r="EH29" s="21">
        <f t="shared" si="13"/>
        <v>0</v>
      </c>
      <c r="EI29" s="21">
        <f t="shared" si="13"/>
        <v>0</v>
      </c>
    </row>
    <row r="30" spans="1:139" s="21" customFormat="1" ht="15.75" customHeight="1" x14ac:dyDescent="0.2">
      <c r="A30" s="15" t="s">
        <v>193</v>
      </c>
      <c r="B30" s="28">
        <f>IF(CA30&gt;0,0,2)</f>
        <v>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 t="s">
        <v>195</v>
      </c>
      <c r="AA30" s="17"/>
      <c r="AB30" s="17"/>
      <c r="AC30" s="17"/>
      <c r="AD30" s="17"/>
      <c r="AE30" s="17" t="s">
        <v>105</v>
      </c>
      <c r="AF30" s="17" t="s">
        <v>222</v>
      </c>
      <c r="AG30" s="17" t="s">
        <v>100</v>
      </c>
      <c r="AH30" s="17"/>
      <c r="AI30" s="17" t="s">
        <v>215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 t="s">
        <v>102</v>
      </c>
      <c r="BA30" s="17" t="s">
        <v>90</v>
      </c>
      <c r="BB30" s="17"/>
      <c r="BC30" s="17"/>
      <c r="BD30" s="17"/>
      <c r="BE30" s="17" t="s">
        <v>83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20"/>
      <c r="BW30" s="20"/>
      <c r="BX30" s="20"/>
      <c r="BY30" s="20"/>
      <c r="CA30" s="21">
        <f t="shared" si="3"/>
        <v>0</v>
      </c>
      <c r="CB30" s="21">
        <f t="shared" si="15"/>
        <v>0</v>
      </c>
      <c r="CC30" s="21">
        <f t="shared" si="15"/>
        <v>0</v>
      </c>
      <c r="CD30" s="21">
        <f t="shared" si="15"/>
        <v>0</v>
      </c>
      <c r="CE30" s="21">
        <f t="shared" si="15"/>
        <v>0</v>
      </c>
      <c r="CF30" s="21">
        <f t="shared" si="15"/>
        <v>0</v>
      </c>
      <c r="CG30" s="21">
        <f t="shared" si="15"/>
        <v>0</v>
      </c>
      <c r="CH30" s="21">
        <f t="shared" si="15"/>
        <v>0</v>
      </c>
      <c r="CI30" s="21">
        <f t="shared" si="15"/>
        <v>0</v>
      </c>
      <c r="CJ30" s="21">
        <f t="shared" si="15"/>
        <v>0</v>
      </c>
      <c r="CK30" s="21">
        <f t="shared" si="15"/>
        <v>0</v>
      </c>
      <c r="CL30" s="21">
        <f t="shared" si="15"/>
        <v>0</v>
      </c>
      <c r="CM30" s="21">
        <f t="shared" si="15"/>
        <v>0</v>
      </c>
      <c r="CN30" s="21">
        <f t="shared" si="15"/>
        <v>0</v>
      </c>
      <c r="CO30" s="21">
        <f t="shared" si="15"/>
        <v>0</v>
      </c>
      <c r="CP30" s="21">
        <f t="shared" si="15"/>
        <v>0</v>
      </c>
      <c r="CQ30" s="21">
        <f t="shared" si="14"/>
        <v>0</v>
      </c>
      <c r="CR30" s="21">
        <f t="shared" si="5"/>
        <v>0</v>
      </c>
      <c r="CV30" s="21">
        <f t="shared" si="17"/>
        <v>0</v>
      </c>
      <c r="CW30" s="21">
        <f t="shared" si="17"/>
        <v>0</v>
      </c>
      <c r="CX30" s="21">
        <f t="shared" si="17"/>
        <v>0</v>
      </c>
      <c r="CY30" s="21">
        <f t="shared" si="17"/>
        <v>0</v>
      </c>
      <c r="CZ30" s="21">
        <f t="shared" si="17"/>
        <v>0</v>
      </c>
      <c r="DA30" s="21">
        <f t="shared" si="17"/>
        <v>0</v>
      </c>
      <c r="DB30" s="21">
        <f t="shared" si="17"/>
        <v>0</v>
      </c>
      <c r="DC30" s="21">
        <f t="shared" si="17"/>
        <v>0</v>
      </c>
      <c r="DD30" s="21">
        <f t="shared" si="17"/>
        <v>0</v>
      </c>
      <c r="DE30" s="21">
        <f t="shared" si="17"/>
        <v>0</v>
      </c>
      <c r="DF30" s="21">
        <f t="shared" si="17"/>
        <v>0</v>
      </c>
      <c r="DG30" s="21">
        <f t="shared" si="17"/>
        <v>0</v>
      </c>
      <c r="DH30" s="21">
        <f t="shared" si="17"/>
        <v>0</v>
      </c>
      <c r="DI30" s="21">
        <f t="shared" si="17"/>
        <v>0</v>
      </c>
      <c r="DJ30" s="21">
        <f t="shared" si="16"/>
        <v>0</v>
      </c>
      <c r="DK30" s="21">
        <f t="shared" si="16"/>
        <v>0</v>
      </c>
      <c r="DL30" s="21">
        <f t="shared" si="10"/>
        <v>0</v>
      </c>
      <c r="DM30" s="21">
        <f t="shared" si="10"/>
        <v>0</v>
      </c>
      <c r="DN30" s="21">
        <f t="shared" si="10"/>
        <v>0</v>
      </c>
      <c r="DO30" s="21">
        <f t="shared" si="10"/>
        <v>0</v>
      </c>
      <c r="DP30" s="21">
        <f t="shared" si="11"/>
        <v>0</v>
      </c>
      <c r="DQ30" s="21">
        <f t="shared" si="12"/>
        <v>0</v>
      </c>
      <c r="DR30" s="21">
        <f t="shared" si="12"/>
        <v>0</v>
      </c>
      <c r="DS30" s="21">
        <f t="shared" si="12"/>
        <v>0</v>
      </c>
      <c r="DT30" s="21">
        <f>IF(COUNTIF($C30:$BG30,#REF!)&gt;1,"X",0)</f>
        <v>0</v>
      </c>
      <c r="DU30" s="21">
        <f>IF(COUNTIF($C30:$BG30,#REF!)&gt;1,"X",0)</f>
        <v>0</v>
      </c>
      <c r="DV30" s="21">
        <f>IF(COUNTIF($C30:$BG30,#REF!)&gt;1,"X",0)</f>
        <v>0</v>
      </c>
      <c r="DW30" s="21">
        <f t="shared" si="19"/>
        <v>0</v>
      </c>
      <c r="DX30" s="21">
        <f t="shared" si="18"/>
        <v>0</v>
      </c>
      <c r="DY30" s="21">
        <f t="shared" si="13"/>
        <v>0</v>
      </c>
      <c r="DZ30" s="21">
        <f t="shared" si="13"/>
        <v>0</v>
      </c>
      <c r="EA30" s="21">
        <f t="shared" si="13"/>
        <v>0</v>
      </c>
      <c r="EB30" s="21">
        <f t="shared" si="13"/>
        <v>0</v>
      </c>
      <c r="EC30" s="21">
        <f t="shared" si="13"/>
        <v>0</v>
      </c>
      <c r="ED30" s="21">
        <f t="shared" si="13"/>
        <v>0</v>
      </c>
      <c r="EE30" s="21">
        <f t="shared" si="13"/>
        <v>0</v>
      </c>
      <c r="EF30" s="21">
        <f t="shared" si="13"/>
        <v>0</v>
      </c>
      <c r="EG30" s="21">
        <f t="shared" si="13"/>
        <v>0</v>
      </c>
      <c r="EH30" s="21">
        <f t="shared" si="13"/>
        <v>0</v>
      </c>
      <c r="EI30" s="21">
        <f t="shared" si="13"/>
        <v>0</v>
      </c>
    </row>
    <row r="31" spans="1:139" s="21" customFormat="1" ht="15.75" customHeight="1" x14ac:dyDescent="0.2">
      <c r="A31" s="15" t="s">
        <v>233</v>
      </c>
      <c r="B31" s="28">
        <f>IF(CA31&gt;0,0,3)</f>
        <v>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 t="s">
        <v>160</v>
      </c>
      <c r="X31" s="17" t="s">
        <v>77</v>
      </c>
      <c r="Y31" s="17"/>
      <c r="Z31" s="17"/>
      <c r="AA31" s="17" t="s">
        <v>80</v>
      </c>
      <c r="AB31" s="17" t="s">
        <v>188</v>
      </c>
      <c r="AC31" s="17" t="s">
        <v>82</v>
      </c>
      <c r="AD31" s="17" t="s">
        <v>83</v>
      </c>
      <c r="AE31" s="17"/>
      <c r="AF31" s="17"/>
      <c r="AG31" s="17"/>
      <c r="AH31" s="17" t="s">
        <v>196</v>
      </c>
      <c r="AI31" s="17"/>
      <c r="AJ31" s="17"/>
      <c r="AK31" s="17"/>
      <c r="AL31" s="17"/>
      <c r="AM31" s="17" t="s">
        <v>89</v>
      </c>
      <c r="AN31" s="17"/>
      <c r="AO31" s="17"/>
      <c r="AP31" s="17" t="s">
        <v>92</v>
      </c>
      <c r="AQ31" s="17" t="s">
        <v>93</v>
      </c>
      <c r="AR31" s="17" t="s">
        <v>222</v>
      </c>
      <c r="AS31" s="17" t="s">
        <v>215</v>
      </c>
      <c r="AT31" s="17" t="s">
        <v>102</v>
      </c>
      <c r="AU31" s="17" t="s">
        <v>225</v>
      </c>
      <c r="AV31" s="17"/>
      <c r="AW31" s="17"/>
      <c r="AX31" s="17" t="s">
        <v>100</v>
      </c>
      <c r="AY31" s="17"/>
      <c r="AZ31" s="17"/>
      <c r="BA31" s="17"/>
      <c r="BB31" s="17"/>
      <c r="BC31" s="17" t="s">
        <v>105</v>
      </c>
      <c r="BD31" s="17" t="s">
        <v>195</v>
      </c>
      <c r="BE31" s="17"/>
      <c r="BF31" s="17" t="s">
        <v>84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20"/>
      <c r="BW31" s="20"/>
      <c r="BX31" s="20"/>
      <c r="BY31" s="20"/>
      <c r="CA31" s="21">
        <f t="shared" si="3"/>
        <v>0</v>
      </c>
      <c r="CB31" s="21">
        <f t="shared" si="15"/>
        <v>0</v>
      </c>
      <c r="CC31" s="21">
        <f t="shared" si="15"/>
        <v>0</v>
      </c>
      <c r="CD31" s="21">
        <f t="shared" si="15"/>
        <v>0</v>
      </c>
      <c r="CE31" s="21">
        <f t="shared" si="15"/>
        <v>0</v>
      </c>
      <c r="CF31" s="21">
        <f t="shared" si="15"/>
        <v>0</v>
      </c>
      <c r="CG31" s="21">
        <f t="shared" si="15"/>
        <v>0</v>
      </c>
      <c r="CH31" s="21">
        <f t="shared" si="15"/>
        <v>0</v>
      </c>
      <c r="CI31" s="21">
        <f t="shared" si="15"/>
        <v>0</v>
      </c>
      <c r="CJ31" s="21">
        <f t="shared" si="15"/>
        <v>0</v>
      </c>
      <c r="CK31" s="21">
        <f t="shared" si="15"/>
        <v>0</v>
      </c>
      <c r="CL31" s="21">
        <f t="shared" si="15"/>
        <v>0</v>
      </c>
      <c r="CM31" s="21">
        <f t="shared" si="15"/>
        <v>0</v>
      </c>
      <c r="CN31" s="21">
        <f t="shared" si="15"/>
        <v>0</v>
      </c>
      <c r="CO31" s="21">
        <f t="shared" si="15"/>
        <v>0</v>
      </c>
      <c r="CP31" s="21">
        <f t="shared" si="15"/>
        <v>0</v>
      </c>
      <c r="CQ31" s="21">
        <f t="shared" si="14"/>
        <v>0</v>
      </c>
      <c r="CR31" s="21">
        <f t="shared" si="5"/>
        <v>0</v>
      </c>
      <c r="CV31" s="21">
        <f t="shared" si="17"/>
        <v>0</v>
      </c>
      <c r="CW31" s="21">
        <f t="shared" si="17"/>
        <v>0</v>
      </c>
      <c r="CX31" s="21">
        <f t="shared" si="17"/>
        <v>0</v>
      </c>
      <c r="CY31" s="21">
        <f t="shared" si="17"/>
        <v>0</v>
      </c>
      <c r="CZ31" s="21">
        <f t="shared" si="17"/>
        <v>0</v>
      </c>
      <c r="DA31" s="21">
        <f t="shared" si="17"/>
        <v>0</v>
      </c>
      <c r="DB31" s="21">
        <f t="shared" si="17"/>
        <v>0</v>
      </c>
      <c r="DC31" s="21">
        <f t="shared" si="17"/>
        <v>0</v>
      </c>
      <c r="DD31" s="21">
        <f t="shared" si="17"/>
        <v>0</v>
      </c>
      <c r="DE31" s="21">
        <f t="shared" si="17"/>
        <v>0</v>
      </c>
      <c r="DF31" s="21">
        <f t="shared" si="17"/>
        <v>0</v>
      </c>
      <c r="DG31" s="21">
        <f t="shared" si="17"/>
        <v>0</v>
      </c>
      <c r="DH31" s="21">
        <f t="shared" si="17"/>
        <v>0</v>
      </c>
      <c r="DI31" s="21">
        <f t="shared" si="17"/>
        <v>0</v>
      </c>
      <c r="DJ31" s="21">
        <f t="shared" si="16"/>
        <v>0</v>
      </c>
      <c r="DK31" s="21">
        <f t="shared" si="16"/>
        <v>0</v>
      </c>
      <c r="DL31" s="21">
        <f t="shared" si="10"/>
        <v>0</v>
      </c>
      <c r="DM31" s="21">
        <f t="shared" si="10"/>
        <v>0</v>
      </c>
      <c r="DN31" s="21">
        <f t="shared" si="10"/>
        <v>0</v>
      </c>
      <c r="DO31" s="21">
        <f t="shared" si="10"/>
        <v>0</v>
      </c>
      <c r="DP31" s="21">
        <f t="shared" si="11"/>
        <v>0</v>
      </c>
      <c r="DQ31" s="21">
        <f t="shared" si="12"/>
        <v>0</v>
      </c>
      <c r="DR31" s="21">
        <f t="shared" si="12"/>
        <v>0</v>
      </c>
      <c r="DS31" s="21">
        <f t="shared" si="12"/>
        <v>0</v>
      </c>
      <c r="DT31" s="21">
        <f>IF(COUNTIF($C31:$BG31,#REF!)&gt;1,"X",0)</f>
        <v>0</v>
      </c>
      <c r="DU31" s="21">
        <f>IF(COUNTIF($C31:$BG31,#REF!)&gt;1,"X",0)</f>
        <v>0</v>
      </c>
      <c r="DV31" s="21">
        <f>IF(COUNTIF($C31:$BG31,#REF!)&gt;1,"X",0)</f>
        <v>0</v>
      </c>
      <c r="DW31" s="21">
        <f t="shared" si="19"/>
        <v>0</v>
      </c>
      <c r="DX31" s="21">
        <f t="shared" si="18"/>
        <v>0</v>
      </c>
      <c r="DY31" s="21">
        <f t="shared" si="13"/>
        <v>0</v>
      </c>
      <c r="DZ31" s="21">
        <f t="shared" si="13"/>
        <v>0</v>
      </c>
      <c r="EA31" s="21">
        <f t="shared" si="13"/>
        <v>0</v>
      </c>
      <c r="EB31" s="21">
        <f t="shared" si="13"/>
        <v>0</v>
      </c>
      <c r="EC31" s="21">
        <f t="shared" si="13"/>
        <v>0</v>
      </c>
      <c r="ED31" s="21">
        <f t="shared" si="13"/>
        <v>0</v>
      </c>
      <c r="EE31" s="21">
        <f t="shared" si="13"/>
        <v>0</v>
      </c>
      <c r="EF31" s="21">
        <f t="shared" si="13"/>
        <v>0</v>
      </c>
      <c r="EG31" s="21">
        <f t="shared" si="13"/>
        <v>0</v>
      </c>
      <c r="EH31" s="21">
        <f t="shared" si="13"/>
        <v>0</v>
      </c>
      <c r="EI31" s="21">
        <f t="shared" si="13"/>
        <v>0</v>
      </c>
    </row>
    <row r="32" spans="1:139" s="21" customFormat="1" ht="15.75" customHeight="1" x14ac:dyDescent="0.2">
      <c r="A32" s="15"/>
      <c r="B32" s="28">
        <f>IF(CA32&gt;0,0,4)</f>
        <v>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 t="s">
        <v>222</v>
      </c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 t="s">
        <v>195</v>
      </c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20"/>
      <c r="BW32" s="20"/>
      <c r="BX32" s="20"/>
      <c r="BY32" s="20"/>
      <c r="CA32" s="21">
        <f t="shared" si="3"/>
        <v>0</v>
      </c>
      <c r="CB32" s="21">
        <f t="shared" si="15"/>
        <v>0</v>
      </c>
      <c r="CC32" s="21">
        <f t="shared" si="15"/>
        <v>0</v>
      </c>
      <c r="CD32" s="21">
        <f t="shared" si="15"/>
        <v>0</v>
      </c>
      <c r="CE32" s="21">
        <f t="shared" si="15"/>
        <v>0</v>
      </c>
      <c r="CF32" s="21">
        <f t="shared" si="15"/>
        <v>0</v>
      </c>
      <c r="CG32" s="21">
        <f t="shared" si="15"/>
        <v>0</v>
      </c>
      <c r="CH32" s="21">
        <f t="shared" si="15"/>
        <v>0</v>
      </c>
      <c r="CI32" s="21">
        <f t="shared" si="15"/>
        <v>0</v>
      </c>
      <c r="CJ32" s="21">
        <f t="shared" si="15"/>
        <v>0</v>
      </c>
      <c r="CK32" s="21">
        <f t="shared" si="15"/>
        <v>0</v>
      </c>
      <c r="CL32" s="21">
        <f t="shared" si="15"/>
        <v>0</v>
      </c>
      <c r="CM32" s="21">
        <f t="shared" si="15"/>
        <v>0</v>
      </c>
      <c r="CN32" s="21">
        <f t="shared" si="15"/>
        <v>0</v>
      </c>
      <c r="CO32" s="21">
        <f t="shared" si="15"/>
        <v>0</v>
      </c>
      <c r="CP32" s="21">
        <f t="shared" si="15"/>
        <v>0</v>
      </c>
      <c r="CQ32" s="21">
        <f t="shared" si="14"/>
        <v>0</v>
      </c>
      <c r="CR32" s="21">
        <f t="shared" si="5"/>
        <v>0</v>
      </c>
      <c r="CV32" s="21">
        <f t="shared" si="17"/>
        <v>0</v>
      </c>
      <c r="CW32" s="21">
        <f t="shared" si="17"/>
        <v>0</v>
      </c>
      <c r="CX32" s="21">
        <f t="shared" si="17"/>
        <v>0</v>
      </c>
      <c r="CY32" s="21">
        <f t="shared" si="17"/>
        <v>0</v>
      </c>
      <c r="CZ32" s="21">
        <f t="shared" si="17"/>
        <v>0</v>
      </c>
      <c r="DA32" s="21">
        <f t="shared" si="17"/>
        <v>0</v>
      </c>
      <c r="DB32" s="21">
        <f t="shared" si="17"/>
        <v>0</v>
      </c>
      <c r="DC32" s="21">
        <f t="shared" si="17"/>
        <v>0</v>
      </c>
      <c r="DD32" s="21">
        <f t="shared" si="17"/>
        <v>0</v>
      </c>
      <c r="DE32" s="21">
        <f t="shared" si="17"/>
        <v>0</v>
      </c>
      <c r="DF32" s="21">
        <f t="shared" si="17"/>
        <v>0</v>
      </c>
      <c r="DG32" s="21">
        <f t="shared" si="17"/>
        <v>0</v>
      </c>
      <c r="DH32" s="21">
        <f t="shared" si="17"/>
        <v>0</v>
      </c>
      <c r="DI32" s="21">
        <f t="shared" si="17"/>
        <v>0</v>
      </c>
      <c r="DJ32" s="21">
        <f t="shared" si="16"/>
        <v>0</v>
      </c>
      <c r="DK32" s="21">
        <f t="shared" si="16"/>
        <v>0</v>
      </c>
      <c r="DL32" s="21">
        <f t="shared" si="10"/>
        <v>0</v>
      </c>
      <c r="DM32" s="21">
        <f t="shared" si="10"/>
        <v>0</v>
      </c>
      <c r="DN32" s="21">
        <f t="shared" si="10"/>
        <v>0</v>
      </c>
      <c r="DO32" s="21">
        <f t="shared" si="10"/>
        <v>0</v>
      </c>
      <c r="DP32" s="21">
        <f t="shared" si="11"/>
        <v>0</v>
      </c>
      <c r="DQ32" s="21">
        <f t="shared" si="12"/>
        <v>0</v>
      </c>
      <c r="DR32" s="21">
        <f t="shared" si="12"/>
        <v>0</v>
      </c>
      <c r="DS32" s="21">
        <f t="shared" si="12"/>
        <v>0</v>
      </c>
      <c r="DT32" s="21">
        <f>IF(COUNTIF($C32:$BG32,#REF!)&gt;1,"X",0)</f>
        <v>0</v>
      </c>
      <c r="DU32" s="21">
        <f>IF(COUNTIF($C32:$BG32,#REF!)&gt;1,"X",0)</f>
        <v>0</v>
      </c>
      <c r="DV32" s="21">
        <f>IF(COUNTIF($C32:$BG32,#REF!)&gt;1,"X",0)</f>
        <v>0</v>
      </c>
      <c r="DW32" s="21">
        <f t="shared" si="19"/>
        <v>0</v>
      </c>
      <c r="DX32" s="21">
        <f t="shared" si="18"/>
        <v>0</v>
      </c>
      <c r="DY32" s="21">
        <f t="shared" si="13"/>
        <v>0</v>
      </c>
      <c r="DZ32" s="21">
        <f t="shared" si="13"/>
        <v>0</v>
      </c>
      <c r="EA32" s="21">
        <f t="shared" si="13"/>
        <v>0</v>
      </c>
      <c r="EB32" s="21">
        <f t="shared" si="13"/>
        <v>0</v>
      </c>
      <c r="EC32" s="21">
        <f t="shared" si="13"/>
        <v>0</v>
      </c>
      <c r="ED32" s="21">
        <f t="shared" si="13"/>
        <v>0</v>
      </c>
      <c r="EE32" s="21">
        <f t="shared" si="13"/>
        <v>0</v>
      </c>
      <c r="EF32" s="21">
        <f t="shared" si="13"/>
        <v>0</v>
      </c>
      <c r="EG32" s="21">
        <f t="shared" si="13"/>
        <v>0</v>
      </c>
      <c r="EH32" s="21">
        <f t="shared" si="13"/>
        <v>0</v>
      </c>
      <c r="EI32" s="21">
        <f t="shared" si="13"/>
        <v>0</v>
      </c>
    </row>
    <row r="33" spans="1:139" s="21" customFormat="1" ht="15.75" customHeight="1" thickBot="1" x14ac:dyDescent="0.25">
      <c r="A33" s="23"/>
      <c r="B33" s="29">
        <f>IF(CA33&gt;0,0,5)</f>
        <v>5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0"/>
      <c r="BW33" s="20"/>
      <c r="BX33" s="20"/>
      <c r="BY33" s="20"/>
      <c r="CA33" s="21">
        <f t="shared" si="3"/>
        <v>0</v>
      </c>
      <c r="CB33" s="21">
        <f t="shared" si="15"/>
        <v>0</v>
      </c>
      <c r="CC33" s="21">
        <f t="shared" si="15"/>
        <v>0</v>
      </c>
      <c r="CD33" s="21">
        <f t="shared" si="15"/>
        <v>0</v>
      </c>
      <c r="CE33" s="21">
        <f t="shared" si="15"/>
        <v>0</v>
      </c>
      <c r="CF33" s="21">
        <f t="shared" si="15"/>
        <v>0</v>
      </c>
      <c r="CG33" s="21">
        <f t="shared" si="15"/>
        <v>0</v>
      </c>
      <c r="CH33" s="21">
        <f t="shared" si="15"/>
        <v>0</v>
      </c>
      <c r="CI33" s="21">
        <f t="shared" si="15"/>
        <v>0</v>
      </c>
      <c r="CJ33" s="21">
        <f t="shared" si="15"/>
        <v>0</v>
      </c>
      <c r="CK33" s="21">
        <f t="shared" si="15"/>
        <v>0</v>
      </c>
      <c r="CL33" s="21">
        <f t="shared" si="15"/>
        <v>0</v>
      </c>
      <c r="CM33" s="21">
        <f t="shared" si="15"/>
        <v>0</v>
      </c>
      <c r="CN33" s="21">
        <f t="shared" si="15"/>
        <v>0</v>
      </c>
      <c r="CO33" s="21">
        <f t="shared" si="15"/>
        <v>0</v>
      </c>
      <c r="CP33" s="21">
        <f t="shared" si="15"/>
        <v>0</v>
      </c>
      <c r="CQ33" s="21">
        <f t="shared" si="14"/>
        <v>0</v>
      </c>
      <c r="CR33" s="21">
        <f t="shared" si="5"/>
        <v>0</v>
      </c>
      <c r="CV33" s="21">
        <f t="shared" si="17"/>
        <v>0</v>
      </c>
      <c r="CW33" s="21">
        <f t="shared" si="17"/>
        <v>0</v>
      </c>
      <c r="CX33" s="21">
        <f t="shared" si="17"/>
        <v>0</v>
      </c>
      <c r="CY33" s="21">
        <f t="shared" si="17"/>
        <v>0</v>
      </c>
      <c r="CZ33" s="21">
        <f t="shared" si="17"/>
        <v>0</v>
      </c>
      <c r="DA33" s="21">
        <f t="shared" si="17"/>
        <v>0</v>
      </c>
      <c r="DB33" s="21">
        <f t="shared" si="17"/>
        <v>0</v>
      </c>
      <c r="DC33" s="21">
        <f t="shared" si="17"/>
        <v>0</v>
      </c>
      <c r="DD33" s="21">
        <f t="shared" si="17"/>
        <v>0</v>
      </c>
      <c r="DE33" s="21">
        <f t="shared" si="17"/>
        <v>0</v>
      </c>
      <c r="DF33" s="21">
        <f t="shared" si="17"/>
        <v>0</v>
      </c>
      <c r="DG33" s="21">
        <f t="shared" si="17"/>
        <v>0</v>
      </c>
      <c r="DH33" s="21">
        <f t="shared" si="17"/>
        <v>0</v>
      </c>
      <c r="DI33" s="21">
        <f t="shared" si="17"/>
        <v>0</v>
      </c>
      <c r="DJ33" s="21">
        <f t="shared" si="16"/>
        <v>0</v>
      </c>
      <c r="DK33" s="21">
        <f t="shared" si="16"/>
        <v>0</v>
      </c>
      <c r="DL33" s="21">
        <f t="shared" si="10"/>
        <v>0</v>
      </c>
      <c r="DM33" s="21">
        <f t="shared" si="10"/>
        <v>0</v>
      </c>
      <c r="DN33" s="21">
        <f t="shared" si="10"/>
        <v>0</v>
      </c>
      <c r="DO33" s="21">
        <f t="shared" si="10"/>
        <v>0</v>
      </c>
      <c r="DP33" s="21">
        <f t="shared" si="11"/>
        <v>0</v>
      </c>
      <c r="DQ33" s="21">
        <f t="shared" si="12"/>
        <v>0</v>
      </c>
      <c r="DR33" s="21">
        <f t="shared" si="12"/>
        <v>0</v>
      </c>
      <c r="DS33" s="21">
        <f t="shared" si="12"/>
        <v>0</v>
      </c>
      <c r="DT33" s="21">
        <f>IF(COUNTIF($C33:$BG33,AR33)&gt;1,"X",0)</f>
        <v>0</v>
      </c>
      <c r="DU33" s="21">
        <f>IF(COUNTIF($C33:$BG33,AS33)&gt;1,"X",0)</f>
        <v>0</v>
      </c>
      <c r="DV33" s="21">
        <f>IF(COUNTIF($C33:$BG33,AT33)&gt;1,"X",0)</f>
        <v>0</v>
      </c>
      <c r="DW33" s="21">
        <f t="shared" si="19"/>
        <v>0</v>
      </c>
      <c r="DX33" s="21">
        <f t="shared" si="18"/>
        <v>0</v>
      </c>
      <c r="DY33" s="21">
        <f t="shared" si="13"/>
        <v>0</v>
      </c>
      <c r="DZ33" s="21">
        <f t="shared" si="13"/>
        <v>0</v>
      </c>
      <c r="EA33" s="21">
        <f t="shared" si="13"/>
        <v>0</v>
      </c>
      <c r="EB33" s="21">
        <f t="shared" si="13"/>
        <v>0</v>
      </c>
      <c r="EC33" s="21">
        <f t="shared" si="13"/>
        <v>0</v>
      </c>
      <c r="ED33" s="21">
        <f t="shared" si="13"/>
        <v>0</v>
      </c>
      <c r="EE33" s="21">
        <f t="shared" si="13"/>
        <v>0</v>
      </c>
      <c r="EF33" s="21">
        <f t="shared" si="13"/>
        <v>0</v>
      </c>
      <c r="EG33" s="21">
        <f t="shared" si="13"/>
        <v>0</v>
      </c>
      <c r="EH33" s="21">
        <f t="shared" si="13"/>
        <v>0</v>
      </c>
      <c r="EI33" s="21">
        <f t="shared" si="13"/>
        <v>0</v>
      </c>
    </row>
    <row r="35" spans="1:139" ht="15.75" customHeight="1" x14ac:dyDescent="0.2">
      <c r="C35" s="3" t="str">
        <f>"THỜI KHÓA BIỂU BUỔI SÁNG ÁP DỤNG TỪ  "&amp;" "&amp;[1]DanhSach!$F$1</f>
        <v>THỜI KHÓA BIỂU BUỔI SÁNG ÁP DỤNG TỪ   12-10-2026</v>
      </c>
    </row>
    <row r="36" spans="1:139" ht="15.75" customHeight="1" x14ac:dyDescent="0.2">
      <c r="C36" s="3" t="s">
        <v>234</v>
      </c>
      <c r="V36" s="3" t="s">
        <v>235</v>
      </c>
      <c r="AM36" s="3" t="s">
        <v>236</v>
      </c>
    </row>
    <row r="37" spans="1:139" ht="15.75" customHeight="1" thickBot="1" x14ac:dyDescent="0.25">
      <c r="A37" s="6" t="s">
        <v>1</v>
      </c>
      <c r="B37" s="7" t="s">
        <v>2</v>
      </c>
      <c r="C37" s="8" t="str">
        <f>C3</f>
        <v>12A1</v>
      </c>
      <c r="D37" s="8" t="str">
        <f>D3</f>
        <v>12A2</v>
      </c>
      <c r="E37" s="8" t="str">
        <f>E3</f>
        <v>12A3</v>
      </c>
      <c r="F37" s="8" t="str">
        <f>F3</f>
        <v>12A4</v>
      </c>
      <c r="G37" s="8" t="str">
        <f>G3</f>
        <v>12A5</v>
      </c>
      <c r="H37" s="8" t="str">
        <f>H3</f>
        <v>12A6</v>
      </c>
      <c r="I37" s="8" t="str">
        <f>I3</f>
        <v>12A7</v>
      </c>
      <c r="J37" s="8" t="str">
        <f>J3</f>
        <v>12A8</v>
      </c>
      <c r="K37" s="8" t="str">
        <f>K3</f>
        <v>12A9</v>
      </c>
      <c r="L37" s="8" t="str">
        <f>L3</f>
        <v>12A10</v>
      </c>
      <c r="M37" s="8" t="str">
        <f>M3</f>
        <v>12A11</v>
      </c>
      <c r="N37" s="8" t="str">
        <f>N3</f>
        <v>12A12</v>
      </c>
      <c r="O37" s="8" t="str">
        <f>O3</f>
        <v>12A13</v>
      </c>
      <c r="P37" s="8" t="str">
        <f>P3</f>
        <v>12A14</v>
      </c>
      <c r="Q37" s="8" t="str">
        <f>Q3</f>
        <v>12A15</v>
      </c>
      <c r="R37" s="8">
        <f>R3</f>
        <v>0</v>
      </c>
      <c r="S37" s="8">
        <f>S3</f>
        <v>0</v>
      </c>
      <c r="T37" s="8">
        <f>T3</f>
        <v>0</v>
      </c>
      <c r="U37" s="8">
        <f>U3</f>
        <v>0</v>
      </c>
      <c r="V37" s="8" t="str">
        <f>V3</f>
        <v>11A1</v>
      </c>
      <c r="W37" s="8" t="str">
        <f>W3</f>
        <v>11A2</v>
      </c>
      <c r="X37" s="8" t="str">
        <f>X3</f>
        <v>11A3</v>
      </c>
      <c r="Y37" s="8" t="str">
        <f>Y3</f>
        <v>11A4</v>
      </c>
      <c r="Z37" s="8" t="str">
        <f>Z3</f>
        <v>11A5</v>
      </c>
      <c r="AA37" s="8" t="str">
        <f>AA3</f>
        <v>11A6</v>
      </c>
      <c r="AB37" s="8" t="str">
        <f>AB3</f>
        <v>11A7</v>
      </c>
      <c r="AC37" s="8" t="str">
        <f>AC3</f>
        <v>11A8</v>
      </c>
      <c r="AD37" s="8" t="str">
        <f>AD3</f>
        <v>11A9</v>
      </c>
      <c r="AE37" s="8" t="str">
        <f>AE3</f>
        <v>11A10</v>
      </c>
      <c r="AF37" s="8" t="str">
        <f>AF3</f>
        <v>11A11</v>
      </c>
      <c r="AG37" s="8" t="str">
        <f>AG3</f>
        <v>11A12</v>
      </c>
      <c r="AH37" s="8" t="str">
        <f>AH3</f>
        <v>11A13</v>
      </c>
      <c r="AI37" s="8" t="str">
        <f>AI3</f>
        <v>11A14</v>
      </c>
      <c r="AJ37" s="8" t="str">
        <f>AJ3</f>
        <v>11A15</v>
      </c>
      <c r="AK37" s="8" t="str">
        <f>AK3</f>
        <v>11A16</v>
      </c>
      <c r="AL37" s="8" t="str">
        <f>AL3</f>
        <v>11A17</v>
      </c>
      <c r="AM37" s="8" t="str">
        <f>AM3</f>
        <v>10A1</v>
      </c>
      <c r="AN37" s="8" t="str">
        <f>AN3</f>
        <v>10A2</v>
      </c>
      <c r="AO37" s="8" t="str">
        <f>AO3</f>
        <v>10A3</v>
      </c>
      <c r="AP37" s="8" t="str">
        <f>AP3</f>
        <v>10A4</v>
      </c>
      <c r="AQ37" s="8" t="str">
        <f>AQ3</f>
        <v>10A5</v>
      </c>
      <c r="AR37" s="8" t="str">
        <f>AR3</f>
        <v>10A6</v>
      </c>
      <c r="AS37" s="8" t="str">
        <f>AS3</f>
        <v>10A7</v>
      </c>
      <c r="AT37" s="8" t="str">
        <f>AT3</f>
        <v>10A8</v>
      </c>
      <c r="AU37" s="8" t="str">
        <f>AU3</f>
        <v>10A9</v>
      </c>
      <c r="AV37" s="8" t="str">
        <f>AV3</f>
        <v>10A10</v>
      </c>
      <c r="AW37" s="8" t="str">
        <f>AW3</f>
        <v>10A11</v>
      </c>
      <c r="AX37" s="8" t="str">
        <f>AX3</f>
        <v>10A12</v>
      </c>
      <c r="AY37" s="8" t="str">
        <f>AY3</f>
        <v>10A13</v>
      </c>
      <c r="AZ37" s="8" t="str">
        <f>AZ3</f>
        <v>10A14</v>
      </c>
      <c r="BA37" s="8" t="str">
        <f>BA3</f>
        <v>10A15</v>
      </c>
      <c r="BB37" s="8"/>
      <c r="BC37" s="8"/>
      <c r="BD37" s="8"/>
      <c r="BE37" s="8"/>
      <c r="BF37" s="8"/>
      <c r="BG37" s="30"/>
      <c r="BH37" s="8"/>
      <c r="BI37" s="30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</row>
    <row r="38" spans="1:139" ht="15.75" customHeight="1" x14ac:dyDescent="0.2">
      <c r="A38" s="32" t="s">
        <v>59</v>
      </c>
      <c r="B38" s="33">
        <v>1</v>
      </c>
      <c r="C38" s="34" t="s">
        <v>237</v>
      </c>
      <c r="D38" s="34" t="s">
        <v>237</v>
      </c>
      <c r="E38" s="34" t="s">
        <v>237</v>
      </c>
      <c r="F38" s="34" t="s">
        <v>237</v>
      </c>
      <c r="G38" s="34" t="s">
        <v>237</v>
      </c>
      <c r="H38" s="34" t="s">
        <v>237</v>
      </c>
      <c r="I38" s="34" t="s">
        <v>237</v>
      </c>
      <c r="J38" s="34" t="s">
        <v>237</v>
      </c>
      <c r="K38" s="34" t="s">
        <v>237</v>
      </c>
      <c r="L38" s="34" t="s">
        <v>237</v>
      </c>
      <c r="M38" s="34" t="s">
        <v>237</v>
      </c>
      <c r="N38" s="34" t="s">
        <v>237</v>
      </c>
      <c r="O38" s="34" t="s">
        <v>237</v>
      </c>
      <c r="P38" s="34" t="s">
        <v>237</v>
      </c>
      <c r="Q38" s="34" t="s">
        <v>237</v>
      </c>
      <c r="R38" s="34" t="s">
        <v>237</v>
      </c>
      <c r="S38" s="34" t="s">
        <v>237</v>
      </c>
      <c r="T38" s="34" t="s">
        <v>237</v>
      </c>
      <c r="U38" s="34" t="s">
        <v>237</v>
      </c>
      <c r="V38" s="34" t="s">
        <v>237</v>
      </c>
      <c r="W38" s="34" t="s">
        <v>237</v>
      </c>
      <c r="X38" s="34" t="s">
        <v>237</v>
      </c>
      <c r="Y38" s="34" t="s">
        <v>237</v>
      </c>
      <c r="Z38" s="34" t="s">
        <v>237</v>
      </c>
      <c r="AA38" s="34" t="s">
        <v>237</v>
      </c>
      <c r="AB38" s="34" t="s">
        <v>237</v>
      </c>
      <c r="AC38" s="34" t="s">
        <v>237</v>
      </c>
      <c r="AD38" s="34" t="s">
        <v>237</v>
      </c>
      <c r="AE38" s="34" t="s">
        <v>237</v>
      </c>
      <c r="AF38" s="34" t="s">
        <v>237</v>
      </c>
      <c r="AG38" s="34" t="s">
        <v>237</v>
      </c>
      <c r="AH38" s="34" t="s">
        <v>237</v>
      </c>
      <c r="AI38" s="34" t="s">
        <v>237</v>
      </c>
      <c r="AJ38" s="34" t="s">
        <v>237</v>
      </c>
      <c r="AK38" s="34" t="s">
        <v>237</v>
      </c>
      <c r="AL38" s="34" t="s">
        <v>237</v>
      </c>
      <c r="AM38" s="34" t="s">
        <v>237</v>
      </c>
      <c r="AN38" s="34" t="s">
        <v>237</v>
      </c>
      <c r="AO38" s="34" t="s">
        <v>237</v>
      </c>
      <c r="AP38" s="34" t="s">
        <v>237</v>
      </c>
      <c r="AQ38" s="34" t="s">
        <v>237</v>
      </c>
      <c r="AR38" s="34" t="s">
        <v>237</v>
      </c>
      <c r="AS38" s="34" t="s">
        <v>237</v>
      </c>
      <c r="AT38" s="34" t="s">
        <v>237</v>
      </c>
      <c r="AU38" s="34" t="s">
        <v>237</v>
      </c>
      <c r="AV38" s="34" t="s">
        <v>237</v>
      </c>
      <c r="AW38" s="34" t="s">
        <v>237</v>
      </c>
      <c r="AX38" s="34" t="s">
        <v>237</v>
      </c>
      <c r="AY38" s="34" t="s">
        <v>237</v>
      </c>
      <c r="AZ38" s="34" t="s">
        <v>237</v>
      </c>
      <c r="BA38" s="34" t="s">
        <v>238</v>
      </c>
      <c r="BB38" s="35" t="str">
        <f>IF(BB4="","",VLOOKUP(BB4,DanhSach,4,FALSE))</f>
        <v>V.PHƯƠNG</v>
      </c>
      <c r="BC38" s="35" t="str">
        <f>IF(BC4="","",VLOOKUP(BC4,DanhSach,4,FALSE))</f>
        <v>B. TRANG</v>
      </c>
      <c r="BD38" s="35" t="str">
        <f>IF(BD4="","",VLOOKUP(BD4,DanhSach,4,FALSE))</f>
        <v>TÂM</v>
      </c>
      <c r="BE38" s="35" t="str">
        <f>IF(BE4="","",VLOOKUP(BE4,DanhSach,4,FALSE))</f>
        <v>DUNG</v>
      </c>
      <c r="BF38" s="35" t="str">
        <f>IF(BF4="","",VLOOKUP(BF4,DanhSach,4,FALSE))</f>
        <v>THU (KTPL)</v>
      </c>
      <c r="BG38" s="35" t="str">
        <f>IF(BG4="","",VLOOKUP(BG4,DanhSach,4,FALSE))</f>
        <v>D.LINH (T)</v>
      </c>
      <c r="BH38" s="35" t="str">
        <f>IF(BH4="","",VLOOKUP(BH4,DanhSach,4,FALSE))</f>
        <v/>
      </c>
      <c r="BI38" s="35" t="str">
        <f>IF(BI4="","",VLOOKUP(BI4,DanhSach,4,FALSE))</f>
        <v/>
      </c>
      <c r="BJ38" s="35" t="str">
        <f>IF(BJ4="","",VLOOKUP(BJ4,DanhSach,4,FALSE))</f>
        <v/>
      </c>
      <c r="BK38" s="35" t="str">
        <f>IF(BK4="","",VLOOKUP(BK4,DanhSach,4,FALSE))</f>
        <v/>
      </c>
      <c r="BL38" s="35" t="str">
        <f>IF(BL4="","",VLOOKUP(BL4,DanhSach,4,FALSE))</f>
        <v/>
      </c>
      <c r="BM38" s="35" t="str">
        <f>IF(BM4="","",VLOOKUP(BM4,DanhSach,4,FALSE))</f>
        <v/>
      </c>
      <c r="BN38" s="35" t="str">
        <f>IF(BN4="","",VLOOKUP(BN4,DanhSach,4,FALSE))</f>
        <v/>
      </c>
      <c r="BO38" s="35" t="str">
        <f>IF(BO4="","",VLOOKUP(BO4,DanhSach,4,FALSE))</f>
        <v/>
      </c>
      <c r="BP38" s="35" t="str">
        <f>IF(BP4="","",VLOOKUP(BP4,DanhSach,4,FALSE))</f>
        <v/>
      </c>
      <c r="BQ38" s="35" t="str">
        <f>IF(BQ4="","",VLOOKUP(BQ4,DanhSach,4,FALSE))</f>
        <v/>
      </c>
      <c r="BR38" s="35" t="str">
        <f>IF(BR4="","",VLOOKUP(BR4,DanhSach,4,FALSE))</f>
        <v/>
      </c>
      <c r="BS38" s="35" t="str">
        <f>IF(BS4="","",VLOOKUP(BS4,DanhSach,4,FALSE))</f>
        <v/>
      </c>
      <c r="BT38" s="35" t="str">
        <f>IF(BT4="","",VLOOKUP(BT4,DanhSach,4,FALSE))</f>
        <v/>
      </c>
      <c r="BU38" s="35" t="str">
        <f>IF(BU4="","",VLOOKUP(BU4,DanhSach,4,FALSE))</f>
        <v/>
      </c>
      <c r="BV38" s="36"/>
      <c r="BW38" s="36"/>
      <c r="BX38" s="36"/>
      <c r="BY38" s="36"/>
    </row>
    <row r="39" spans="1:139" ht="15.75" customHeight="1" x14ac:dyDescent="0.2">
      <c r="A39" s="32"/>
      <c r="B39" s="37">
        <v>2</v>
      </c>
      <c r="C39" s="35" t="str">
        <f>IF(C5="","",VLOOKUP(C5,DanhSach,4,FALSE))</f>
        <v>LUÂN</v>
      </c>
      <c r="D39" s="35" t="str">
        <f>IF(D5="","",VLOOKUP(D5,DanhSach,4,FALSE))</f>
        <v>NHƯ</v>
      </c>
      <c r="E39" s="35" t="str">
        <f>IF(E5="","",VLOOKUP(E5,DanhSach,4,FALSE))</f>
        <v>THUỶ</v>
      </c>
      <c r="F39" s="35" t="str">
        <f>IF(F5="","",VLOOKUP(F5,DanhSach,4,FALSE))</f>
        <v>BẮC</v>
      </c>
      <c r="G39" s="35" t="str">
        <f>IF(G5="","",VLOOKUP(G5,DanhSach,4,FALSE))</f>
        <v>Vy</v>
      </c>
      <c r="H39" s="35" t="str">
        <f>IF(H5="","",VLOOKUP(H5,DanhSach,4,FALSE))</f>
        <v>Tùng</v>
      </c>
      <c r="I39" s="35" t="str">
        <f>IF(I5="","",VLOOKUP(I5,DanhSach,4,FALSE))</f>
        <v>THƯ (V)</v>
      </c>
      <c r="J39" s="35" t="str">
        <f>IF(J5="","",VLOOKUP(J5,DanhSach,4,FALSE))</f>
        <v>THÊM</v>
      </c>
      <c r="K39" s="35" t="str">
        <f>IF(K5="","",VLOOKUP(K5,DanhSach,4,FALSE))</f>
        <v>THU BA</v>
      </c>
      <c r="L39" s="35" t="str">
        <f>IF(L5="","",VLOOKUP(L5,DanhSach,4,FALSE))</f>
        <v>DUNG</v>
      </c>
      <c r="M39" s="35" t="str">
        <f>IF(M5="","",VLOOKUP(M5,DanhSach,4,FALSE))</f>
        <v>YẾN</v>
      </c>
      <c r="N39" s="35" t="str">
        <f>IF(N5="","",VLOOKUP(N5,DanhSach,4,FALSE))</f>
        <v>QUẢNG(T)</v>
      </c>
      <c r="O39" s="35" t="str">
        <f>IF(O5="","",VLOOKUP(O5,DanhSach,4,FALSE))</f>
        <v>THU (KTPL)</v>
      </c>
      <c r="P39" s="35" t="str">
        <f>IF(P5="","",VLOOKUP(P5,DanhSach,4,FALSE))</f>
        <v>NGÂN</v>
      </c>
      <c r="Q39" s="35" t="str">
        <f>IF(Q5="","",VLOOKUP(Q5,DanhSach,4,FALSE))</f>
        <v>HÙNG (AV)</v>
      </c>
      <c r="R39" s="35" t="str">
        <f>IF(R5="","",VLOOKUP(R5,DanhSach,4,FALSE))</f>
        <v/>
      </c>
      <c r="S39" s="35" t="str">
        <f>IF(S5="","",VLOOKUP(S5,DanhSach,4,FALSE))</f>
        <v/>
      </c>
      <c r="T39" s="35"/>
      <c r="U39" s="35"/>
      <c r="V39" s="35" t="str">
        <f>IF(V5="","",VLOOKUP(V5,DanhSach,4,FALSE))</f>
        <v>MINH (H)</v>
      </c>
      <c r="W39" s="35" t="str">
        <f>IF(W5="","",VLOOKUP(W5,DanhSach,4,FALSE))</f>
        <v>HƯỜNG</v>
      </c>
      <c r="X39" s="35" t="str">
        <f>IF(X5="","",VLOOKUP(X5,DanhSach,4,FALSE))</f>
        <v>M.THI</v>
      </c>
      <c r="Y39" s="35" t="str">
        <f>IF(Y5="","",VLOOKUP(Y5,DanhSach,4,FALSE))</f>
        <v>DIỄM</v>
      </c>
      <c r="Z39" s="35" t="str">
        <f>IF(Z5="","",VLOOKUP(Z5,DanhSach,4,FALSE))</f>
        <v>L.Anh</v>
      </c>
      <c r="AA39" s="35" t="str">
        <f>IF(AA5="","",VLOOKUP(AA5,DanhSach,4,FALSE))</f>
        <v>TRỌNG</v>
      </c>
      <c r="AB39" s="35" t="str">
        <f>IF(AB5="","",VLOOKUP(AB5,DanhSach,4,FALSE))</f>
        <v>THANH (H)</v>
      </c>
      <c r="AC39" s="35" t="str">
        <f>IF(AC5="","",VLOOKUP(AC5,DanhSach,4,FALSE))</f>
        <v>ĐIỀN</v>
      </c>
      <c r="AD39" s="35" t="str">
        <f>IF(AD5="","",VLOOKUP(AD5,DanhSach,4,FALSE))</f>
        <v>Bao Phuong</v>
      </c>
      <c r="AE39" s="35" t="str">
        <f>IF(AE5="","",VLOOKUP(AE5,DanhSach,4,FALSE))</f>
        <v>THẢO (QP)</v>
      </c>
      <c r="AF39" s="35" t="str">
        <f>IF(AF5="","",VLOOKUP(AF5,DanhSach,4,FALSE))</f>
        <v>H.GIANG</v>
      </c>
      <c r="AG39" s="35" t="str">
        <f>IF(AG5="","",VLOOKUP(AG5,DanhSach,4,FALSE))</f>
        <v>M. THANH</v>
      </c>
      <c r="AH39" s="35" t="str">
        <f>IF(AH5="","",VLOOKUP(AH5,DanhSach,4,FALSE))</f>
        <v>TUỆ</v>
      </c>
      <c r="AI39" s="35" t="str">
        <f>IF(AI5="","",VLOOKUP(AI5,DanhSach,4,FALSE))</f>
        <v>KHOA (TIN)</v>
      </c>
      <c r="AJ39" s="35" t="str">
        <f>IF(AJ5="","",VLOOKUP(AJ5,DanhSach,4,FALSE))</f>
        <v/>
      </c>
      <c r="AK39" s="35" t="str">
        <f>IF(AK5="","",VLOOKUP(AK5,DanhSach,4,FALSE))</f>
        <v/>
      </c>
      <c r="AL39" s="35" t="str">
        <f>IF(AL5="","",VLOOKUP(AL5,DanhSach,4,FALSE))</f>
        <v/>
      </c>
      <c r="AM39" s="35" t="str">
        <f>IF(AM5="","",VLOOKUP(AM5,DanhSach,4,FALSE))</f>
        <v>TRÍ</v>
      </c>
      <c r="AN39" s="35" t="str">
        <f>IF(AN5="","",VLOOKUP(AN5,DanhSach,4,FALSE))</f>
        <v>UYÊN</v>
      </c>
      <c r="AO39" s="35" t="str">
        <f>IF(AO5="","",VLOOKUP(AO5,DanhSach,4,FALSE))</f>
        <v>T.GIANG</v>
      </c>
      <c r="AP39" s="35" t="str">
        <f>IF(AP5="","",VLOOKUP(AP5,DanhSach,4,FALSE))</f>
        <v>L.HỒNG</v>
      </c>
      <c r="AQ39" s="35" t="str">
        <f>IF(AQ5="","",VLOOKUP(AQ5,DanhSach,4,FALSE))</f>
        <v>HƯNG</v>
      </c>
      <c r="AR39" s="35" t="str">
        <f>IF(AR5="","",VLOOKUP(AR5,DanhSach,4,FALSE))</f>
        <v>Nguyện</v>
      </c>
      <c r="AS39" s="35" t="str">
        <f>IF(AS5="","",VLOOKUP(AS5,DanhSach,4,FALSE))</f>
        <v>HẠNH (L)</v>
      </c>
      <c r="AT39" s="35" t="str">
        <f>IF(AT5="","",VLOOKUP(AT5,DanhSach,4,FALSE))</f>
        <v>TRANG</v>
      </c>
      <c r="AU39" s="35" t="str">
        <f>IF(AU5="","",VLOOKUP(AU5,DanhSach,4,FALSE))</f>
        <v>TÂM</v>
      </c>
      <c r="AV39" s="35" t="str">
        <f>IF(AV5="","",VLOOKUP(AV5,DanhSach,4,FALSE))</f>
        <v>MY</v>
      </c>
      <c r="AW39" s="35" t="str">
        <f>IF(AW5="","",VLOOKUP(AW5,DanhSach,4,FALSE))</f>
        <v>CHẤT</v>
      </c>
      <c r="AX39" s="35" t="str">
        <f>IF(AX5="","",VLOOKUP(AX5,DanhSach,4,FALSE))</f>
        <v>HƯƠNG (L)</v>
      </c>
      <c r="AY39" s="35" t="str">
        <f>IF(AY5="","",VLOOKUP(AY5,DanhSach,4,FALSE))</f>
        <v>HẠNH (T)</v>
      </c>
      <c r="AZ39" s="35" t="str">
        <f>IF(AZ5="","",VLOOKUP(AZ5,DanhSach,4,FALSE))</f>
        <v>QUANG (L)</v>
      </c>
      <c r="BA39" s="35" t="str">
        <f>IF(BA5="","",VLOOKUP(BA5,DanhSach,4,FALSE))</f>
        <v>KHUYÊN</v>
      </c>
      <c r="BB39" s="35"/>
      <c r="BC39" s="35"/>
      <c r="BD39" s="35"/>
      <c r="BE39" s="35"/>
      <c r="BF39" s="35"/>
      <c r="BG39" s="35"/>
      <c r="BH39" s="35"/>
      <c r="BI39" s="35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</row>
    <row r="40" spans="1:139" ht="15.75" customHeight="1" x14ac:dyDescent="0.2">
      <c r="A40" s="32"/>
      <c r="B40" s="37">
        <v>3</v>
      </c>
      <c r="C40" s="35" t="str">
        <f>IF(C6="","",VLOOKUP(C6,DanhSach,4,FALSE))</f>
        <v>THƯ (V)</v>
      </c>
      <c r="D40" s="35" t="str">
        <f>IF(D6="","",VLOOKUP(D6,DanhSach,4,FALSE))</f>
        <v>QUANG (L)</v>
      </c>
      <c r="E40" s="35" t="str">
        <f>IF(E6="","",VLOOKUP(E6,DanhSach,4,FALSE))</f>
        <v>LUÂN</v>
      </c>
      <c r="F40" s="35" t="str">
        <f>IF(F6="","",VLOOKUP(F6,DanhSach,4,FALSE))</f>
        <v>BÌNH</v>
      </c>
      <c r="G40" s="35" t="str">
        <f>IF(G6="","",VLOOKUP(G6,DanhSach,4,FALSE))</f>
        <v>Vy</v>
      </c>
      <c r="H40" s="35" t="str">
        <f>IF(H6="","",VLOOKUP(H6,DanhSach,4,FALSE))</f>
        <v>BẮC</v>
      </c>
      <c r="I40" s="35" t="str">
        <f>IF(I6="","",VLOOKUP(I6,DanhSach,4,FALSE))</f>
        <v>HÙNG (AV)</v>
      </c>
      <c r="J40" s="35" t="str">
        <f>IF(J6="","",VLOOKUP(J6,DanhSach,4,FALSE))</f>
        <v>THÊM</v>
      </c>
      <c r="K40" s="35" t="str">
        <f>IF(K6="","",VLOOKUP(K6,DanhSach,4,FALSE))</f>
        <v>THU BA</v>
      </c>
      <c r="L40" s="35" t="str">
        <f>IF(L6="","",VLOOKUP(L6,DanhSach,4,FALSE))</f>
        <v>HÂN</v>
      </c>
      <c r="M40" s="35" t="str">
        <f>IF(M6="","",VLOOKUP(M6,DanhSach,4,FALSE))</f>
        <v>THU (AV)</v>
      </c>
      <c r="N40" s="35" t="str">
        <f>IF(N6="","",VLOOKUP(N6,DanhSach,4,FALSE))</f>
        <v>QUẢNG(T)</v>
      </c>
      <c r="O40" s="35" t="str">
        <f>IF(O6="","",VLOOKUP(O6,DanhSach,4,FALSE))</f>
        <v>YẾN</v>
      </c>
      <c r="P40" s="35" t="str">
        <f>IF(P6="","",VLOOKUP(P6,DanhSach,4,FALSE))</f>
        <v>NGÂN</v>
      </c>
      <c r="Q40" s="35" t="str">
        <f>IF(Q6="","",VLOOKUP(Q6,DanhSach,4,FALSE))</f>
        <v>DUNG</v>
      </c>
      <c r="R40" s="35" t="str">
        <f>IF(R6="","",VLOOKUP(R6,DanhSach,4,FALSE))</f>
        <v/>
      </c>
      <c r="S40" s="35" t="str">
        <f>IF(S6="","",VLOOKUP(S6,DanhSach,4,FALSE))</f>
        <v/>
      </c>
      <c r="T40" s="35"/>
      <c r="U40" s="35"/>
      <c r="V40" s="35" t="str">
        <f>IF(V6="","",VLOOKUP(V6,DanhSach,4,FALSE))</f>
        <v>Nguyện</v>
      </c>
      <c r="W40" s="35" t="str">
        <f>IF(W6="","",VLOOKUP(W6,DanhSach,4,FALSE))</f>
        <v>TỨ</v>
      </c>
      <c r="X40" s="35" t="str">
        <f>IF(X6="","",VLOOKUP(X6,DanhSach,4,FALSE))</f>
        <v>Bao Phuong</v>
      </c>
      <c r="Y40" s="35" t="str">
        <f>IF(Y6="","",VLOOKUP(Y6,DanhSach,4,FALSE))</f>
        <v>CHẤT</v>
      </c>
      <c r="Z40" s="35" t="str">
        <f>IF(Z6="","",VLOOKUP(Z6,DanhSach,4,FALSE))</f>
        <v>HƯNG</v>
      </c>
      <c r="AA40" s="35" t="str">
        <f>IF(AA6="","",VLOOKUP(AA6,DanhSach,4,FALSE))</f>
        <v>UYÊN</v>
      </c>
      <c r="AB40" s="35" t="str">
        <f>IF(AB6="","",VLOOKUP(AB6,DanhSach,4,FALSE))</f>
        <v>M. THANH</v>
      </c>
      <c r="AC40" s="35" t="str">
        <f>IF(AC6="","",VLOOKUP(AC6,DanhSach,4,FALSE))</f>
        <v>MINH (H)</v>
      </c>
      <c r="AD40" s="35" t="str">
        <f>IF(AD6="","",VLOOKUP(AD6,DanhSach,4,FALSE))</f>
        <v>NHƯ</v>
      </c>
      <c r="AE40" s="35" t="str">
        <f>IF(AE6="","",VLOOKUP(AE6,DanhSach,4,FALSE))</f>
        <v>B.Trang</v>
      </c>
      <c r="AF40" s="35" t="str">
        <f>IF(AF6="","",VLOOKUP(AF6,DanhSach,4,FALSE))</f>
        <v>HƯỜNG</v>
      </c>
      <c r="AG40" s="35" t="str">
        <f>IF(AG6="","",VLOOKUP(AG6,DanhSach,4,FALSE))</f>
        <v>HƯƠNG (L)</v>
      </c>
      <c r="AH40" s="35" t="str">
        <f>IF(AH6="","",VLOOKUP(AH6,DanhSach,4,FALSE))</f>
        <v>HẰNG (KTPL)</v>
      </c>
      <c r="AI40" s="35" t="str">
        <f>IF(AI6="","",VLOOKUP(AI6,DanhSach,4,FALSE))</f>
        <v>KHOA (TIN)</v>
      </c>
      <c r="AJ40" s="35" t="str">
        <f>IF(AJ6="","",VLOOKUP(AJ6,DanhSach,4,FALSE))</f>
        <v/>
      </c>
      <c r="AK40" s="35" t="str">
        <f>IF(AK6="","",VLOOKUP(AK6,DanhSach,4,FALSE))</f>
        <v/>
      </c>
      <c r="AL40" s="35" t="str">
        <f>IF(AL6="","",VLOOKUP(AL6,DanhSach,4,FALSE))</f>
        <v/>
      </c>
      <c r="AM40" s="35" t="str">
        <f>IF(AM6="","",VLOOKUP(AM6,DanhSach,4,FALSE))</f>
        <v>HẠNH (L)</v>
      </c>
      <c r="AN40" s="35" t="str">
        <f>IF(AN6="","",VLOOKUP(AN6,DanhSach,4,FALSE))</f>
        <v>KHUYÊN</v>
      </c>
      <c r="AO40" s="35" t="str">
        <f>IF(AO6="","",VLOOKUP(AO6,DanhSach,4,FALSE))</f>
        <v>Tùng</v>
      </c>
      <c r="AP40" s="35" t="str">
        <f>IF(AP6="","",VLOOKUP(AP6,DanhSach,4,FALSE))</f>
        <v>THU (KTPL)</v>
      </c>
      <c r="AQ40" s="35" t="str">
        <f>IF(AQ6="","",VLOOKUP(AQ6,DanhSach,4,FALSE))</f>
        <v>H.GIANG</v>
      </c>
      <c r="AR40" s="35" t="str">
        <f>IF(AR6="","",VLOOKUP(AR6,DanhSach,4,FALSE))</f>
        <v>D.LINH (T)</v>
      </c>
      <c r="AS40" s="35" t="str">
        <f>IF(AS6="","",VLOOKUP(AS6,DanhSach,4,FALSE))</f>
        <v>V.PHƯƠNG</v>
      </c>
      <c r="AT40" s="35" t="str">
        <f>IF(AT6="","",VLOOKUP(AT6,DanhSach,4,FALSE))</f>
        <v>L.Anh</v>
      </c>
      <c r="AU40" s="35" t="str">
        <f>IF(AU6="","",VLOOKUP(AU6,DanhSach,4,FALSE))</f>
        <v>TÂM</v>
      </c>
      <c r="AV40" s="35" t="str">
        <f>IF(AV6="","",VLOOKUP(AV6,DanhSach,4,FALSE))</f>
        <v>DIỄM</v>
      </c>
      <c r="AW40" s="35" t="str">
        <f>IF(AW6="","",VLOOKUP(AW6,DanhSach,4,FALSE))</f>
        <v>TRANG</v>
      </c>
      <c r="AX40" s="35" t="str">
        <f>IF(AX6="","",VLOOKUP(AX6,DanhSach,4,FALSE))</f>
        <v>Duy</v>
      </c>
      <c r="AY40" s="35" t="str">
        <f>IF(AY6="","",VLOOKUP(AY6,DanhSach,4,FALSE))</f>
        <v>HẠNH (T)</v>
      </c>
      <c r="AZ40" s="35" t="str">
        <f>IF(AZ6="","",VLOOKUP(AZ6,DanhSach,4,FALSE))</f>
        <v>ÁNH</v>
      </c>
      <c r="BA40" s="35" t="str">
        <f>IF(BA6="","",VLOOKUP(BA6,DanhSach,4,FALSE))</f>
        <v>MY</v>
      </c>
      <c r="BB40" s="35"/>
      <c r="BC40" s="35"/>
      <c r="BD40" s="35"/>
      <c r="BE40" s="35"/>
      <c r="BF40" s="35"/>
      <c r="BG40" s="35"/>
      <c r="BH40" s="35"/>
      <c r="BI40" s="35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</row>
    <row r="41" spans="1:139" ht="15.75" customHeight="1" x14ac:dyDescent="0.2">
      <c r="A41" s="32"/>
      <c r="B41" s="37">
        <v>4</v>
      </c>
      <c r="C41" s="35" t="str">
        <f>IF(C7="","",VLOOKUP(C7,DanhSach,4,FALSE))</f>
        <v>THƯ (V)</v>
      </c>
      <c r="D41" s="35" t="str">
        <f>IF(D7="","",VLOOKUP(D7,DanhSach,4,FALSE))</f>
        <v>DŨNG</v>
      </c>
      <c r="E41" s="35" t="str">
        <f>IF(E7="","",VLOOKUP(E7,DanhSach,4,FALSE))</f>
        <v>QUẢNG(T)</v>
      </c>
      <c r="F41" s="35" t="str">
        <f>IF(F7="","",VLOOKUP(F7,DanhSach,4,FALSE))</f>
        <v>HÙNG (AV)</v>
      </c>
      <c r="G41" s="35" t="str">
        <f>IF(G7="","",VLOOKUP(G7,DanhSach,4,FALSE))</f>
        <v>TRỌNG</v>
      </c>
      <c r="H41" s="35" t="str">
        <f>IF(H7="","",VLOOKUP(H7,DanhSach,4,FALSE))</f>
        <v>NGHĨA</v>
      </c>
      <c r="I41" s="35" t="str">
        <f>IF(I7="","",VLOOKUP(I7,DanhSach,4,FALSE))</f>
        <v>KHUYÊN</v>
      </c>
      <c r="J41" s="35" t="str">
        <f>IF(J7="","",VLOOKUP(J7,DanhSach,4,FALSE))</f>
        <v>QUANG (L)</v>
      </c>
      <c r="K41" s="35" t="str">
        <f>IF(K7="","",VLOOKUP(K7,DanhSach,4,FALSE))</f>
        <v>M. THANH</v>
      </c>
      <c r="L41" s="35" t="str">
        <f>IF(L7="","",VLOOKUP(L7,DanhSach,4,FALSE))</f>
        <v>HÂN</v>
      </c>
      <c r="M41" s="35" t="str">
        <f>IF(M7="","",VLOOKUP(M7,DanhSach,4,FALSE))</f>
        <v>HẠNH (T)</v>
      </c>
      <c r="N41" s="35" t="str">
        <f>IF(N7="","",VLOOKUP(N7,DanhSach,4,FALSE))</f>
        <v>M.THI</v>
      </c>
      <c r="O41" s="35" t="str">
        <f>IF(O7="","",VLOOKUP(O7,DanhSach,4,FALSE))</f>
        <v>TỨ</v>
      </c>
      <c r="P41" s="35" t="str">
        <f>IF(P7="","",VLOOKUP(P7,DanhSach,4,FALSE))</f>
        <v>TUỆ</v>
      </c>
      <c r="Q41" s="35" t="str">
        <f>IF(Q7="","",VLOOKUP(Q7,DanhSach,4,FALSE))</f>
        <v>DUNG</v>
      </c>
      <c r="R41" s="35" t="str">
        <f>IF(R7="","",VLOOKUP(R7,DanhSach,4,FALSE))</f>
        <v/>
      </c>
      <c r="S41" s="35" t="str">
        <f>IF(S7="","",VLOOKUP(S7,DanhSach,4,FALSE))</f>
        <v/>
      </c>
      <c r="T41" s="35"/>
      <c r="U41" s="35"/>
      <c r="V41" s="35" t="str">
        <f>IF(V7="","",VLOOKUP(V7,DanhSach,4,FALSE))</f>
        <v>HẠNH (L)</v>
      </c>
      <c r="W41" s="35" t="str">
        <f>IF(W7="","",VLOOKUP(W7,DanhSach,4,FALSE))</f>
        <v>HẰNG (KTPL)</v>
      </c>
      <c r="X41" s="35" t="str">
        <f>IF(X7="","",VLOOKUP(X7,DanhSach,4,FALSE))</f>
        <v>LUÂN</v>
      </c>
      <c r="Y41" s="35" t="str">
        <f>IF(Y7="","",VLOOKUP(Y7,DanhSach,4,FALSE))</f>
        <v>CHẤT</v>
      </c>
      <c r="Z41" s="35" t="str">
        <f>IF(Z7="","",VLOOKUP(Z7,DanhSach,4,FALSE))</f>
        <v>L.HỒNG</v>
      </c>
      <c r="AA41" s="35" t="str">
        <f>IF(AA7="","",VLOOKUP(AA7,DanhSach,4,FALSE))</f>
        <v>ĐIỀN</v>
      </c>
      <c r="AB41" s="35" t="str">
        <f>IF(AB7="","",VLOOKUP(AB7,DanhSach,4,FALSE))</f>
        <v>YẾN</v>
      </c>
      <c r="AC41" s="35" t="str">
        <f>IF(AC7="","",VLOOKUP(AC7,DanhSach,4,FALSE))</f>
        <v>TRANG</v>
      </c>
      <c r="AD41" s="35" t="str">
        <f>IF(AD7="","",VLOOKUP(AD7,DanhSach,4,FALSE))</f>
        <v>NHƯ</v>
      </c>
      <c r="AE41" s="35" t="str">
        <f>IF(AE7="","",VLOOKUP(AE7,DanhSach,4,FALSE))</f>
        <v>B.Trang</v>
      </c>
      <c r="AF41" s="35" t="str">
        <f>IF(AF7="","",VLOOKUP(AF7,DanhSach,4,FALSE))</f>
        <v>HƯỜNG</v>
      </c>
      <c r="AG41" s="35" t="str">
        <f>IF(AG7="","",VLOOKUP(AG7,DanhSach,4,FALSE))</f>
        <v>H.THANH</v>
      </c>
      <c r="AH41" s="35" t="str">
        <f>IF(AH7="","",VLOOKUP(AH7,DanhSach,4,FALSE))</f>
        <v>THẢO (QP)</v>
      </c>
      <c r="AI41" s="35" t="str">
        <f>IF(AI7="","",VLOOKUP(AI7,DanhSach,4,FALSE))</f>
        <v>TÂM</v>
      </c>
      <c r="AJ41" s="35" t="str">
        <f>IF(AJ7="","",VLOOKUP(AJ7,DanhSach,4,FALSE))</f>
        <v/>
      </c>
      <c r="AK41" s="35" t="str">
        <f>IF(AK7="","",VLOOKUP(AK7,DanhSach,4,FALSE))</f>
        <v/>
      </c>
      <c r="AL41" s="35" t="str">
        <f>IF(AL7="","",VLOOKUP(AL7,DanhSach,4,FALSE))</f>
        <v/>
      </c>
      <c r="AM41" s="35" t="str">
        <f>IF(AM7="","",VLOOKUP(AM7,DanhSach,4,FALSE))</f>
        <v>DIẾN</v>
      </c>
      <c r="AN41" s="35" t="str">
        <f>IF(AN7="","",VLOOKUP(AN7,DanhSach,4,FALSE))</f>
        <v>THANH (H)</v>
      </c>
      <c r="AO41" s="35" t="str">
        <f>IF(AO7="","",VLOOKUP(AO7,DanhSach,4,FALSE))</f>
        <v>THU BA</v>
      </c>
      <c r="AP41" s="35" t="str">
        <f>IF(AP7="","",VLOOKUP(AP7,DanhSach,4,FALSE))</f>
        <v>ÁNH</v>
      </c>
      <c r="AQ41" s="35" t="str">
        <f>IF(AQ7="","",VLOOKUP(AQ7,DanhSach,4,FALSE))</f>
        <v>H.GIANG</v>
      </c>
      <c r="AR41" s="35" t="str">
        <f>IF(AR7="","",VLOOKUP(AR7,DanhSach,4,FALSE))</f>
        <v>MINH (H)</v>
      </c>
      <c r="AS41" s="35" t="str">
        <f>IF(AS7="","",VLOOKUP(AS7,DanhSach,4,FALSE))</f>
        <v>V.PHƯƠNG</v>
      </c>
      <c r="AT41" s="35" t="str">
        <f>IF(AT7="","",VLOOKUP(AT7,DanhSach,4,FALSE))</f>
        <v>L.Anh</v>
      </c>
      <c r="AU41" s="35" t="str">
        <f>IF(AU7="","",VLOOKUP(AU7,DanhSach,4,FALSE))</f>
        <v>THÊM</v>
      </c>
      <c r="AV41" s="35" t="str">
        <f>IF(AV7="","",VLOOKUP(AV7,DanhSach,4,FALSE))</f>
        <v>THU (KTPL)</v>
      </c>
      <c r="AW41" s="35" t="str">
        <f>IF(AW7="","",VLOOKUP(AW7,DanhSach,4,FALSE))</f>
        <v>HUYỀN</v>
      </c>
      <c r="AX41" s="35" t="str">
        <f>IF(AX7="","",VLOOKUP(AX7,DanhSach,4,FALSE))</f>
        <v>BẮC</v>
      </c>
      <c r="AY41" s="35" t="str">
        <f>IF(AY7="","",VLOOKUP(AY7,DanhSach,4,FALSE))</f>
        <v>VÂN (L)</v>
      </c>
      <c r="AZ41" s="35" t="str">
        <f>IF(AZ7="","",VLOOKUP(AZ7,DanhSach,4,FALSE))</f>
        <v>DIỄM</v>
      </c>
      <c r="BA41" s="35" t="str">
        <f>IF(BA7="","",VLOOKUP(BA7,DanhSach,4,FALSE))</f>
        <v>MY</v>
      </c>
      <c r="BB41" s="35"/>
      <c r="BC41" s="35"/>
      <c r="BD41" s="35"/>
      <c r="BE41" s="35"/>
      <c r="BF41" s="35"/>
      <c r="BG41" s="35"/>
      <c r="BH41" s="35"/>
      <c r="BI41" s="35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</row>
    <row r="42" spans="1:139" ht="15.75" customHeight="1" thickBot="1" x14ac:dyDescent="0.25">
      <c r="A42" s="39"/>
      <c r="B42" s="40">
        <v>5</v>
      </c>
      <c r="C42" s="41" t="str">
        <f>IF(C8="","",VLOOKUP(C8,DanhSach,4,FALSE))</f>
        <v/>
      </c>
      <c r="D42" s="41" t="str">
        <f>IF(D8="","",VLOOKUP(D8,DanhSach,4,FALSE))</f>
        <v/>
      </c>
      <c r="E42" s="41" t="str">
        <f>IF(E8="","",VLOOKUP(E8,DanhSach,4,FALSE))</f>
        <v/>
      </c>
      <c r="F42" s="41" t="str">
        <f>IF(F8="","",VLOOKUP(F8,DanhSach,4,FALSE))</f>
        <v/>
      </c>
      <c r="G42" s="41" t="str">
        <f>IF(G8="","",VLOOKUP(G8,DanhSach,4,FALSE))</f>
        <v/>
      </c>
      <c r="H42" s="41" t="str">
        <f>IF(H8="","",VLOOKUP(H8,DanhSach,4,FALSE))</f>
        <v/>
      </c>
      <c r="I42" s="41" t="str">
        <f>IF(I8="","",VLOOKUP(I8,DanhSach,4,FALSE))</f>
        <v/>
      </c>
      <c r="J42" s="41" t="str">
        <f>IF(J8="","",VLOOKUP(J8,DanhSach,4,FALSE))</f>
        <v/>
      </c>
      <c r="K42" s="41" t="str">
        <f>IF(K8="","",VLOOKUP(K8,DanhSach,4,FALSE))</f>
        <v/>
      </c>
      <c r="L42" s="41" t="str">
        <f>IF(L8="","",VLOOKUP(L8,DanhSach,4,FALSE))</f>
        <v/>
      </c>
      <c r="M42" s="41" t="str">
        <f>IF(M8="","",VLOOKUP(M8,DanhSach,4,FALSE))</f>
        <v/>
      </c>
      <c r="N42" s="41" t="str">
        <f>IF(N8="","",VLOOKUP(N8,DanhSach,4,FALSE))</f>
        <v/>
      </c>
      <c r="O42" s="41" t="str">
        <f>IF(O8="","",VLOOKUP(O8,DanhSach,4,FALSE))</f>
        <v/>
      </c>
      <c r="P42" s="41" t="str">
        <f>IF(P8="","",VLOOKUP(P8,DanhSach,4,FALSE))</f>
        <v/>
      </c>
      <c r="Q42" s="41" t="str">
        <f>IF(Q8="","",VLOOKUP(Q8,DanhSach,4,FALSE))</f>
        <v/>
      </c>
      <c r="R42" s="41" t="str">
        <f>IF(R8="","",VLOOKUP(R8,DanhSach,4,FALSE))</f>
        <v/>
      </c>
      <c r="S42" s="41" t="str">
        <f>IF(S8="","",VLOOKUP(S8,DanhSach,4,FALSE))</f>
        <v/>
      </c>
      <c r="T42" s="41"/>
      <c r="U42" s="41"/>
      <c r="V42" s="41" t="str">
        <f>IF(V8="","",VLOOKUP(V8,DanhSach,4,FALSE))</f>
        <v/>
      </c>
      <c r="W42" s="41" t="str">
        <f>IF(W8="","",VLOOKUP(W8,DanhSach,4,FALSE))</f>
        <v/>
      </c>
      <c r="X42" s="41" t="str">
        <f>IF(X8="","",VLOOKUP(X8,DanhSach,4,FALSE))</f>
        <v/>
      </c>
      <c r="Y42" s="41" t="str">
        <f>IF(Y8="","",VLOOKUP(Y8,DanhSach,4,FALSE))</f>
        <v/>
      </c>
      <c r="Z42" s="41" t="str">
        <f>IF(Z8="","",VLOOKUP(Z8,DanhSach,4,FALSE))</f>
        <v/>
      </c>
      <c r="AA42" s="41" t="str">
        <f>IF(AA8="","",VLOOKUP(AA8,DanhSach,4,FALSE))</f>
        <v/>
      </c>
      <c r="AB42" s="41" t="str">
        <f>IF(AB8="","",VLOOKUP(AB8,DanhSach,4,FALSE))</f>
        <v/>
      </c>
      <c r="AC42" s="41" t="str">
        <f>IF(AC8="","",VLOOKUP(AC8,DanhSach,4,FALSE))</f>
        <v/>
      </c>
      <c r="AD42" s="41" t="str">
        <f>IF(AD8="","",VLOOKUP(AD8,DanhSach,4,FALSE))</f>
        <v/>
      </c>
      <c r="AE42" s="41" t="str">
        <f>IF(AE8="","",VLOOKUP(AE8,DanhSach,4,FALSE))</f>
        <v/>
      </c>
      <c r="AF42" s="41" t="str">
        <f>IF(AF8="","",VLOOKUP(AF8,DanhSach,4,FALSE))</f>
        <v/>
      </c>
      <c r="AG42" s="41" t="str">
        <f>IF(AG8="","",VLOOKUP(AG8,DanhSach,4,FALSE))</f>
        <v/>
      </c>
      <c r="AH42" s="41" t="str">
        <f>IF(AH8="","",VLOOKUP(AH8,DanhSach,4,FALSE))</f>
        <v/>
      </c>
      <c r="AI42" s="41" t="str">
        <f>IF(AI8="","",VLOOKUP(AI8,DanhSach,4,FALSE))</f>
        <v/>
      </c>
      <c r="AJ42" s="41" t="str">
        <f>IF(AJ8="","",VLOOKUP(AJ8,DanhSach,4,FALSE))</f>
        <v/>
      </c>
      <c r="AK42" s="41" t="str">
        <f>IF(AK8="","",VLOOKUP(AK8,DanhSach,4,FALSE))</f>
        <v/>
      </c>
      <c r="AL42" s="41" t="str">
        <f>IF(AL8="","",VLOOKUP(AL8,DanhSach,4,FALSE))</f>
        <v/>
      </c>
      <c r="AM42" s="41" t="str">
        <f>IF(AM8="","",VLOOKUP(AM8,DanhSach,4,FALSE))</f>
        <v/>
      </c>
      <c r="AN42" s="41" t="str">
        <f>IF(AN8="","",VLOOKUP(AN8,DanhSach,4,FALSE))</f>
        <v/>
      </c>
      <c r="AO42" s="41" t="str">
        <f>IF(AO8="","",VLOOKUP(AO8,DanhSach,4,FALSE))</f>
        <v/>
      </c>
      <c r="AP42" s="41" t="str">
        <f>IF(AP8="","",VLOOKUP(AP8,DanhSach,4,FALSE))</f>
        <v/>
      </c>
      <c r="AQ42" s="41" t="str">
        <f>IF(AQ8="","",VLOOKUP(AQ8,DanhSach,4,FALSE))</f>
        <v/>
      </c>
      <c r="AR42" s="41" t="str">
        <f>IF(AR8="","",VLOOKUP(AR8,DanhSach,4,FALSE))</f>
        <v/>
      </c>
      <c r="AS42" s="41" t="str">
        <f>IF(AS8="","",VLOOKUP(AS8,DanhSach,4,FALSE))</f>
        <v/>
      </c>
      <c r="AT42" s="41" t="str">
        <f>IF(AT8="","",VLOOKUP(AT8,DanhSach,4,FALSE))</f>
        <v/>
      </c>
      <c r="AU42" s="41" t="str">
        <f>IF(AU8="","",VLOOKUP(AU8,DanhSach,4,FALSE))</f>
        <v/>
      </c>
      <c r="AV42" s="41" t="str">
        <f>IF(AV8="","",VLOOKUP(AV8,DanhSach,4,FALSE))</f>
        <v/>
      </c>
      <c r="AW42" s="41" t="str">
        <f>IF(AW8="","",VLOOKUP(AW8,DanhSach,4,FALSE))</f>
        <v/>
      </c>
      <c r="AX42" s="41" t="str">
        <f>IF(AX8="","",VLOOKUP(AX8,DanhSach,4,FALSE))</f>
        <v/>
      </c>
      <c r="AY42" s="41" t="str">
        <f>IF(AY8="","",VLOOKUP(AY8,DanhSach,4,FALSE))</f>
        <v/>
      </c>
      <c r="AZ42" s="41" t="str">
        <f>IF(AZ8="","",VLOOKUP(AZ8,DanhSach,4,FALSE))</f>
        <v/>
      </c>
      <c r="BA42" s="41" t="str">
        <f>IF(BA8="","",VLOOKUP(BA8,DanhSach,4,FALSE))</f>
        <v/>
      </c>
      <c r="BB42" s="41"/>
      <c r="BC42" s="41"/>
      <c r="BD42" s="41"/>
      <c r="BE42" s="41"/>
      <c r="BF42" s="41"/>
      <c r="BG42" s="41"/>
      <c r="BH42" s="41"/>
      <c r="BI42" s="41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</row>
    <row r="43" spans="1:139" ht="15.75" customHeight="1" x14ac:dyDescent="0.2">
      <c r="A43" s="42" t="s">
        <v>174</v>
      </c>
      <c r="B43" s="43">
        <v>1</v>
      </c>
      <c r="C43" s="44" t="str">
        <f>IF(C9="","",VLOOKUP(C9,DanhSach,4,FALSE))</f>
        <v>LUÂN</v>
      </c>
      <c r="D43" s="44" t="str">
        <f>IF(D9="","",VLOOKUP(D9,DanhSach,4,FALSE))</f>
        <v>Phú</v>
      </c>
      <c r="E43" s="44" t="str">
        <f>IF(E9="","",VLOOKUP(E9,DanhSach,4,FALSE))</f>
        <v>BÌNH</v>
      </c>
      <c r="F43" s="44" t="str">
        <f>IF(F9="","",VLOOKUP(F9,DanhSach,4,FALSE))</f>
        <v>VĨNH</v>
      </c>
      <c r="G43" s="44" t="str">
        <f>IF(G9="","",VLOOKUP(G9,DanhSach,4,FALSE))</f>
        <v>THÊM</v>
      </c>
      <c r="H43" s="44" t="str">
        <f>IF(H9="","",VLOOKUP(H9,DanhSach,4,FALSE))</f>
        <v>TRAN</v>
      </c>
      <c r="I43" s="44" t="str">
        <f>IF(I9="","",VLOOKUP(I9,DanhSach,4,FALSE))</f>
        <v>THƯ (V)</v>
      </c>
      <c r="J43" s="44" t="str">
        <f>IF(J9="","",VLOOKUP(J9,DanhSach,4,FALSE))</f>
        <v>SƯƠNG</v>
      </c>
      <c r="K43" s="44" t="str">
        <f>IF(K9="","",VLOOKUP(K9,DanhSach,4,FALSE))</f>
        <v>TRỌNG</v>
      </c>
      <c r="L43" s="44" t="str">
        <f>IF(L9="","",VLOOKUP(L9,DanhSach,4,FALSE))</f>
        <v>HẢI ( SỬ)</v>
      </c>
      <c r="M43" s="44" t="str">
        <f>IF(M9="","",VLOOKUP(M9,DanhSach,4,FALSE))</f>
        <v>LÀI</v>
      </c>
      <c r="N43" s="44" t="str">
        <f>IF(N9="","",VLOOKUP(N9,DanhSach,4,FALSE))</f>
        <v>THẮM</v>
      </c>
      <c r="O43" s="44" t="str">
        <f>IF(O9="","",VLOOKUP(O9,DanhSach,4,FALSE))</f>
        <v>THU (KTPL)</v>
      </c>
      <c r="P43" s="44" t="str">
        <f>IF(P9="","",VLOOKUP(P9,DanhSach,4,FALSE))</f>
        <v>NGÂN</v>
      </c>
      <c r="Q43" s="44" t="str">
        <f>IF(Q9="","",VLOOKUP(Q9,DanhSach,4,FALSE))</f>
        <v>THUỶ</v>
      </c>
      <c r="R43" s="44" t="str">
        <f>IF(R9="","",VLOOKUP(R9,DanhSach,4,FALSE))</f>
        <v/>
      </c>
      <c r="S43" s="44" t="str">
        <f>IF(S9="","",VLOOKUP(S9,DanhSach,4,FALSE))</f>
        <v/>
      </c>
      <c r="T43" s="44"/>
      <c r="U43" s="44"/>
      <c r="V43" s="44" t="str">
        <f>IF(V9="","",VLOOKUP(V9,DanhSach,4,FALSE))</f>
        <v>THẢO (CN)</v>
      </c>
      <c r="W43" s="44" t="str">
        <f>IF(W9="","",VLOOKUP(W9,DanhSach,4,FALSE))</f>
        <v>Linh (TV)</v>
      </c>
      <c r="X43" s="44" t="str">
        <f>IF(X9="","",VLOOKUP(X9,DanhSach,4,FALSE))</f>
        <v>UYÊN</v>
      </c>
      <c r="Y43" s="44" t="str">
        <f>IF(Y9="","",VLOOKUP(Y9,DanhSach,4,FALSE))</f>
        <v>B.PHƯƠNG</v>
      </c>
      <c r="Z43" s="44" t="str">
        <f>IF(Z9="","",VLOOKUP(Z9,DanhSach,4,FALSE))</f>
        <v>DIỆM (DP)</v>
      </c>
      <c r="AA43" s="44" t="str">
        <f>IF(AA9="","",VLOOKUP(AA9,DanhSach,4,FALSE))</f>
        <v>CƯỜNG (TH)</v>
      </c>
      <c r="AB43" s="44" t="str">
        <f>IF(AB9="","",VLOOKUP(AB9,DanhSach,4,FALSE))</f>
        <v>CHẤT</v>
      </c>
      <c r="AC43" s="44" t="str">
        <f>IF(AC9="","",VLOOKUP(AC9,DanhSach,4,FALSE))</f>
        <v>ĐIỀN</v>
      </c>
      <c r="AD43" s="44" t="str">
        <f>IF(AD9="","",VLOOKUP(AD9,DanhSach,4,FALSE))</f>
        <v>T.GIANG</v>
      </c>
      <c r="AE43" s="44" t="str">
        <f>IF(AE9="","",VLOOKUP(AE9,DanhSach,4,FALSE))</f>
        <v>VÂN (L)</v>
      </c>
      <c r="AF43" s="44" t="str">
        <f>IF(AF9="","",VLOOKUP(AF9,DanhSach,4,FALSE))</f>
        <v>H.GIANG</v>
      </c>
      <c r="AG43" s="44" t="str">
        <f>IF(AG9="","",VLOOKUP(AG9,DanhSach,4,FALSE))</f>
        <v>TIÊN</v>
      </c>
      <c r="AH43" s="44" t="str">
        <f>IF(AH9="","",VLOOKUP(AH9,DanhSach,4,FALSE))</f>
        <v>CHẤT</v>
      </c>
      <c r="AI43" s="44" t="str">
        <f>IF(AI9="","",VLOOKUP(AI9,DanhSach,4,FALSE))</f>
        <v>YẾN</v>
      </c>
      <c r="AJ43" s="44" t="str">
        <f>IF(AJ9="","",VLOOKUP(AJ9,DanhSach,4,FALSE))</f>
        <v/>
      </c>
      <c r="AK43" s="44" t="str">
        <f>IF(AK9="","",VLOOKUP(AK9,DanhSach,4,FALSE))</f>
        <v/>
      </c>
      <c r="AL43" s="44" t="str">
        <f>IF(AL9="","",VLOOKUP(AL9,DanhSach,4,FALSE))</f>
        <v/>
      </c>
      <c r="AM43" s="44" t="str">
        <f>IF(AM9="","",VLOOKUP(AM9,DanhSach,4,FALSE))</f>
        <v>Tùng</v>
      </c>
      <c r="AN43" s="44" t="str">
        <f>IF(AN9="","",VLOOKUP(AN9,DanhSach,4,FALSE))</f>
        <v>THANH (H)</v>
      </c>
      <c r="AO43" s="44" t="str">
        <f>IF(AO9="","",VLOOKUP(AO9,DanhSach,4,FALSE))</f>
        <v>THƯƠNG</v>
      </c>
      <c r="AP43" s="44" t="str">
        <f>IF(AP9="","",VLOOKUP(AP9,DanhSach,4,FALSE))</f>
        <v>Vy</v>
      </c>
      <c r="AQ43" s="44" t="str">
        <f>IF(AQ9="","",VLOOKUP(AQ9,DanhSach,4,FALSE))</f>
        <v>HÂN</v>
      </c>
      <c r="AR43" s="44" t="str">
        <f>IF(AR9="","",VLOOKUP(AR9,DanhSach,4,FALSE))</f>
        <v>THU (AV)</v>
      </c>
      <c r="AS43" s="44" t="str">
        <f>IF(AS9="","",VLOOKUP(AS9,DanhSach,4,FALSE))</f>
        <v>Duy</v>
      </c>
      <c r="AT43" s="44" t="str">
        <f>IF(AT9="","",VLOOKUP(AT9,DanhSach,4,FALSE))</f>
        <v>TRANG</v>
      </c>
      <c r="AU43" s="44" t="str">
        <f>IF(AU9="","",VLOOKUP(AU9,DanhSach,4,FALSE))</f>
        <v>HẰNG (KTPL)</v>
      </c>
      <c r="AV43" s="44" t="str">
        <f>IF(AV9="","",VLOOKUP(AV9,DanhSach,4,FALSE))</f>
        <v>L.Anh</v>
      </c>
      <c r="AW43" s="44" t="str">
        <f>IF(AW9="","",VLOOKUP(AW9,DanhSach,4,FALSE))</f>
        <v>L.HỒNG</v>
      </c>
      <c r="AX43" s="44" t="str">
        <f>IF(AX9="","",VLOOKUP(AX9,DanhSach,4,FALSE))</f>
        <v>HUYỀN</v>
      </c>
      <c r="AY43" s="44" t="str">
        <f>IF(AY9="","",VLOOKUP(AY9,DanhSach,4,FALSE))</f>
        <v>ĐÀO</v>
      </c>
      <c r="AZ43" s="44" t="str">
        <f>IF(AZ9="","",VLOOKUP(AZ9,DanhSach,4,FALSE))</f>
        <v>BẮC</v>
      </c>
      <c r="BA43" s="44" t="str">
        <f>IF(BA9="","",VLOOKUP(BA9,DanhSach,4,FALSE))</f>
        <v>Nguyện</v>
      </c>
      <c r="BB43" s="44"/>
      <c r="BC43" s="44"/>
      <c r="BD43" s="44"/>
      <c r="BE43" s="44"/>
      <c r="BF43" s="44"/>
      <c r="BG43" s="44"/>
      <c r="BH43" s="44"/>
      <c r="BI43" s="44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</row>
    <row r="44" spans="1:139" ht="15.75" customHeight="1" x14ac:dyDescent="0.2">
      <c r="A44" s="32" t="s">
        <v>193</v>
      </c>
      <c r="B44" s="45">
        <v>2</v>
      </c>
      <c r="C44" s="35" t="str">
        <f>IF(C10="","",VLOOKUP(C10,DanhSach,4,FALSE))</f>
        <v>LUÂN</v>
      </c>
      <c r="D44" s="35" t="str">
        <f>IF(D10="","",VLOOKUP(D10,DanhSach,4,FALSE))</f>
        <v>Phú</v>
      </c>
      <c r="E44" s="35" t="str">
        <f>IF(E10="","",VLOOKUP(E10,DanhSach,4,FALSE))</f>
        <v>THU (AV)</v>
      </c>
      <c r="F44" s="35" t="e">
        <f>IF(F10="","",VLOOKUP(F10,DanhSach,4,FALSE))</f>
        <v>#N/A</v>
      </c>
      <c r="G44" s="35" t="str">
        <f>IF(G10="","",VLOOKUP(G10,DanhSach,4,FALSE))</f>
        <v>TỨ</v>
      </c>
      <c r="H44" s="35" t="str">
        <f>IF(H10="","",VLOOKUP(H10,DanhSach,4,FALSE))</f>
        <v>TRAN</v>
      </c>
      <c r="I44" s="35" t="str">
        <f>IF(I10="","",VLOOKUP(I10,DanhSach,4,FALSE))</f>
        <v>THƯ (V)</v>
      </c>
      <c r="J44" s="35" t="str">
        <f>IF(J10="","",VLOOKUP(J10,DanhSach,4,FALSE))</f>
        <v>B.PHƯƠNG</v>
      </c>
      <c r="K44" s="35" t="str">
        <f>IF(K10="","",VLOOKUP(K10,DanhSach,4,FALSE))</f>
        <v>TRỌNG</v>
      </c>
      <c r="L44" s="35" t="str">
        <f>IF(L10="","",VLOOKUP(L10,DanhSach,4,FALSE))</f>
        <v>THẮM</v>
      </c>
      <c r="M44" s="35" t="str">
        <f>IF(M10="","",VLOOKUP(M10,DanhSach,4,FALSE))</f>
        <v>DIỆM (DP)</v>
      </c>
      <c r="N44" s="35" t="str">
        <f>IF(N10="","",VLOOKUP(N10,DanhSach,4,FALSE))</f>
        <v>DƯƠNG</v>
      </c>
      <c r="O44" s="35" t="str">
        <f>IF(O10="","",VLOOKUP(O10,DanhSach,4,FALSE))</f>
        <v>SƯƠNG</v>
      </c>
      <c r="P44" s="35" t="str">
        <f>IF(P10="","",VLOOKUP(P10,DanhSach,4,FALSE))</f>
        <v>NGÂN</v>
      </c>
      <c r="Q44" s="35" t="str">
        <f>IF(Q10="","",VLOOKUP(Q10,DanhSach,4,FALSE))</f>
        <v>THUỶ</v>
      </c>
      <c r="R44" s="35" t="str">
        <f>IF(R10="","",VLOOKUP(R10,DanhSach,4,FALSE))</f>
        <v/>
      </c>
      <c r="S44" s="35" t="str">
        <f>IF(S10="","",VLOOKUP(S10,DanhSach,4,FALSE))</f>
        <v/>
      </c>
      <c r="T44" s="35"/>
      <c r="U44" s="35"/>
      <c r="V44" s="35" t="str">
        <f>IF(V10="","",VLOOKUP(V10,DanhSach,4,FALSE))</f>
        <v>Nguyện</v>
      </c>
      <c r="W44" s="35" t="str">
        <f>IF(W10="","",VLOOKUP(W10,DanhSach,4,FALSE))</f>
        <v>THẢO (CN)</v>
      </c>
      <c r="X44" s="35" t="str">
        <f>IF(X10="","",VLOOKUP(X10,DanhSach,4,FALSE))</f>
        <v>M.THI</v>
      </c>
      <c r="Y44" s="35" t="str">
        <f>IF(Y10="","",VLOOKUP(Y10,DanhSach,4,FALSE))</f>
        <v>DIẾN</v>
      </c>
      <c r="Z44" s="35" t="str">
        <f>IF(Z10="","",VLOOKUP(Z10,DanhSach,4,FALSE))</f>
        <v>Linh (TV)(HN)</v>
      </c>
      <c r="AA44" s="35" t="str">
        <f>IF(AA10="","",VLOOKUP(AA10,DanhSach,4,FALSE))</f>
        <v>CƯỜNG (TH)</v>
      </c>
      <c r="AB44" s="35" t="str">
        <f>IF(AB10="","",VLOOKUP(AB10,DanhSach,4,FALSE))</f>
        <v>VÂN (L)</v>
      </c>
      <c r="AC44" s="35" t="str">
        <f>IF(AC10="","",VLOOKUP(AC10,DanhSach,4,FALSE))</f>
        <v>ĐIỀN</v>
      </c>
      <c r="AD44" s="35" t="str">
        <f>IF(AD10="","",VLOOKUP(AD10,DanhSach,4,FALSE))</f>
        <v>Bao Phuong</v>
      </c>
      <c r="AE44" s="35" t="str">
        <f>IF(AE10="","",VLOOKUP(AE10,DanhSach,4,FALSE))</f>
        <v>TRANG</v>
      </c>
      <c r="AF44" s="35" t="str">
        <f>IF(AF10="","",VLOOKUP(AF10,DanhSach,4,FALSE))</f>
        <v>H.GIANG</v>
      </c>
      <c r="AG44" s="35" t="str">
        <f>IF(AG10="","",VLOOKUP(AG10,DanhSach,4,FALSE))</f>
        <v>TIÊN</v>
      </c>
      <c r="AH44" s="35" t="str">
        <f>IF(AH10="","",VLOOKUP(AH10,DanhSach,4,FALSE))</f>
        <v>T.GIANG</v>
      </c>
      <c r="AI44" s="35" t="str">
        <f>IF(AI10="","",VLOOKUP(AI10,DanhSach,4,FALSE))</f>
        <v>HẰNG (KTPL)</v>
      </c>
      <c r="AJ44" s="35" t="str">
        <f>IF(AJ10="","",VLOOKUP(AJ10,DanhSach,4,FALSE))</f>
        <v/>
      </c>
      <c r="AK44" s="35" t="str">
        <f>IF(AK10="","",VLOOKUP(AK10,DanhSach,4,FALSE))</f>
        <v/>
      </c>
      <c r="AL44" s="35" t="str">
        <f>IF(AL10="","",VLOOKUP(AL10,DanhSach,4,FALSE))</f>
        <v/>
      </c>
      <c r="AM44" s="35" t="str">
        <f>IF(AM10="","",VLOOKUP(AM10,DanhSach,4,FALSE))</f>
        <v>Tùng</v>
      </c>
      <c r="AN44" s="35" t="str">
        <f>IF(AN10="","",VLOOKUP(AN10,DanhSach,4,FALSE))</f>
        <v>UYÊN</v>
      </c>
      <c r="AO44" s="35" t="str">
        <f>IF(AO10="","",VLOOKUP(AO10,DanhSach,4,FALSE))</f>
        <v>THƯƠNG</v>
      </c>
      <c r="AP44" s="35" t="str">
        <f>IF(AP10="","",VLOOKUP(AP10,DanhSach,4,FALSE))</f>
        <v>L.HỒNG</v>
      </c>
      <c r="AQ44" s="35" t="str">
        <f>IF(AQ10="","",VLOOKUP(AQ10,DanhSach,4,FALSE))</f>
        <v>HÂN</v>
      </c>
      <c r="AR44" s="35" t="str">
        <f>IF(AR10="","",VLOOKUP(AR10,DanhSach,4,FALSE))</f>
        <v>MINH (H)</v>
      </c>
      <c r="AS44" s="35" t="str">
        <f>IF(AS10="","",VLOOKUP(AS10,DanhSach,4,FALSE))</f>
        <v>Duy</v>
      </c>
      <c r="AT44" s="35" t="str">
        <f>IF(AT10="","",VLOOKUP(AT10,DanhSach,4,FALSE))</f>
        <v>LÀI</v>
      </c>
      <c r="AU44" s="35" t="str">
        <f>IF(AU10="","",VLOOKUP(AU10,DanhSach,4,FALSE))</f>
        <v>Vy</v>
      </c>
      <c r="AV44" s="35" t="str">
        <f>IF(AV10="","",VLOOKUP(AV10,DanhSach,4,FALSE))</f>
        <v>THÊM</v>
      </c>
      <c r="AW44" s="35" t="str">
        <f>IF(AW10="","",VLOOKUP(AW10,DanhSach,4,FALSE))</f>
        <v>CHẤT</v>
      </c>
      <c r="AX44" s="35" t="str">
        <f>IF(AX10="","",VLOOKUP(AX10,DanhSach,4,FALSE))</f>
        <v>HƯƠNG (L)</v>
      </c>
      <c r="AY44" s="35" t="str">
        <f>IF(AY10="","",VLOOKUP(AY10,DanhSach,4,FALSE))</f>
        <v>ĐÀO</v>
      </c>
      <c r="AZ44" s="35" t="str">
        <f>IF(AZ10="","",VLOOKUP(AZ10,DanhSach,4,FALSE))</f>
        <v>BẮC</v>
      </c>
      <c r="BA44" s="35" t="str">
        <f>IF(BA10="","",VLOOKUP(BA10,DanhSach,4,FALSE))</f>
        <v>KHUYÊN</v>
      </c>
      <c r="BB44" s="35"/>
      <c r="BC44" s="35"/>
      <c r="BD44" s="35"/>
      <c r="BE44" s="35"/>
      <c r="BF44" s="35"/>
      <c r="BG44" s="35"/>
      <c r="BH44" s="35"/>
      <c r="BI44" s="35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</row>
    <row r="45" spans="1:139" ht="15.75" customHeight="1" x14ac:dyDescent="0.2">
      <c r="A45" s="32" t="s">
        <v>174</v>
      </c>
      <c r="B45" s="45">
        <v>3</v>
      </c>
      <c r="C45" s="35" t="str">
        <f>IF(C11="","",VLOOKUP(C11,DanhSach,4,FALSE))</f>
        <v>THƯ (V)</v>
      </c>
      <c r="D45" s="35" t="str">
        <f>IF(D11="","",VLOOKUP(D11,DanhSach,4,FALSE))</f>
        <v>DƯƠNG</v>
      </c>
      <c r="E45" s="35" t="str">
        <f>IF(E11="","",VLOOKUP(E11,DanhSach,4,FALSE))</f>
        <v>LUÂN</v>
      </c>
      <c r="F45" s="35" t="e">
        <f>IF(F11="","",VLOOKUP(F11,DanhSach,4,FALSE))</f>
        <v>#N/A</v>
      </c>
      <c r="G45" s="35" t="str">
        <f>IF(G11="","",VLOOKUP(G11,DanhSach,4,FALSE))</f>
        <v>THƯƠNG</v>
      </c>
      <c r="H45" s="35" t="str">
        <f>IF(H11="","",VLOOKUP(H11,DanhSach,4,FALSE))</f>
        <v>BẮC</v>
      </c>
      <c r="I45" s="35" t="str">
        <f>IF(I11="","",VLOOKUP(I11,DanhSach,4,FALSE))</f>
        <v>TỨ</v>
      </c>
      <c r="J45" s="35" t="str">
        <f>IF(J11="","",VLOOKUP(J11,DanhSach,4,FALSE))</f>
        <v>Duy</v>
      </c>
      <c r="K45" s="35" t="str">
        <f>IF(K11="","",VLOOKUP(K11,DanhSach,4,FALSE))</f>
        <v>NGÂN</v>
      </c>
      <c r="L45" s="35" t="str">
        <f>IF(L11="","",VLOOKUP(L11,DanhSach,4,FALSE))</f>
        <v>THẮM</v>
      </c>
      <c r="M45" s="35" t="str">
        <f>IF(M11="","",VLOOKUP(M11,DanhSach,4,FALSE))</f>
        <v>DŨNG</v>
      </c>
      <c r="N45" s="35" t="str">
        <f>IF(N11="","",VLOOKUP(N11,DanhSach,4,FALSE))</f>
        <v>M.THI</v>
      </c>
      <c r="O45" s="35" t="str">
        <f>IF(O11="","",VLOOKUP(O11,DanhSach,4,FALSE))</f>
        <v>SƯƠNG</v>
      </c>
      <c r="P45" s="35" t="str">
        <f>IF(P11="","",VLOOKUP(P11,DanhSach,4,FALSE))</f>
        <v>ĐIỀN</v>
      </c>
      <c r="Q45" s="35" t="str">
        <f>IF(Q11="","",VLOOKUP(Q11,DanhSach,4,FALSE))</f>
        <v>TRAN</v>
      </c>
      <c r="R45" s="35" t="str">
        <f>IF(R11="","",VLOOKUP(R11,DanhSach,4,FALSE))</f>
        <v/>
      </c>
      <c r="S45" s="35" t="str">
        <f>IF(S11="","",VLOOKUP(S11,DanhSach,4,FALSE))</f>
        <v/>
      </c>
      <c r="T45" s="35"/>
      <c r="U45" s="35"/>
      <c r="V45" s="35" t="str">
        <f>IF(V11="","",VLOOKUP(V11,DanhSach,4,FALSE))</f>
        <v>Nguyện</v>
      </c>
      <c r="W45" s="35" t="str">
        <f>IF(W11="","",VLOOKUP(W11,DanhSach,4,FALSE))</f>
        <v>L.Anh</v>
      </c>
      <c r="X45" s="35" t="str">
        <f>IF(X11="","",VLOOKUP(X11,DanhSach,4,FALSE))</f>
        <v>B.PHƯƠNG</v>
      </c>
      <c r="Y45" s="35" t="str">
        <f>IF(Y11="","",VLOOKUP(Y11,DanhSach,4,FALSE))</f>
        <v>HOÀNG</v>
      </c>
      <c r="Z45" s="35" t="str">
        <f>IF(Z11="","",VLOOKUP(Z11,DanhSach,4,FALSE))</f>
        <v>HẢI ( SỬ)</v>
      </c>
      <c r="AA45" s="35" t="str">
        <f>IF(AA11="","",VLOOKUP(AA11,DanhSach,4,FALSE))</f>
        <v>UYÊN</v>
      </c>
      <c r="AB45" s="35" t="str">
        <f>IF(AB11="","",VLOOKUP(AB11,DanhSach,4,FALSE))</f>
        <v>THANH (H)</v>
      </c>
      <c r="AC45" s="35" t="str">
        <f>IF(AC11="","",VLOOKUP(AC11,DanhSach,4,FALSE))</f>
        <v>TRANG</v>
      </c>
      <c r="AD45" s="35" t="str">
        <f>IF(AD11="","",VLOOKUP(AD11,DanhSach,4,FALSE))</f>
        <v>HƯỜNG</v>
      </c>
      <c r="AE45" s="35" t="str">
        <f>IF(AE11="","",VLOOKUP(AE11,DanhSach,4,FALSE))</f>
        <v>CHẤT</v>
      </c>
      <c r="AF45" s="35" t="str">
        <f>IF(AF11="","",VLOOKUP(AF11,DanhSach,4,FALSE))</f>
        <v>THẢO (CN)</v>
      </c>
      <c r="AG45" s="35" t="str">
        <f>IF(AG11="","",VLOOKUP(AG11,DanhSach,4,FALSE))</f>
        <v>T.GIANG</v>
      </c>
      <c r="AH45" s="35" t="str">
        <f>IF(AH11="","",VLOOKUP(AH11,DanhSach,4,FALSE))</f>
        <v>TIÊN</v>
      </c>
      <c r="AI45" s="35" t="str">
        <f>IF(AI11="","",VLOOKUP(AI11,DanhSach,4,FALSE))</f>
        <v>M. THANH</v>
      </c>
      <c r="AJ45" s="35" t="str">
        <f>IF(AJ11="","",VLOOKUP(AJ11,DanhSach,4,FALSE))</f>
        <v/>
      </c>
      <c r="AK45" s="35" t="str">
        <f>IF(AK11="","",VLOOKUP(AK11,DanhSach,4,FALSE))</f>
        <v/>
      </c>
      <c r="AL45" s="35" t="str">
        <f>IF(AL11="","",VLOOKUP(AL11,DanhSach,4,FALSE))</f>
        <v/>
      </c>
      <c r="AM45" s="35" t="str">
        <f>IF(AM11="","",VLOOKUP(AM11,DanhSach,4,FALSE))</f>
        <v>DIẾN</v>
      </c>
      <c r="AN45" s="35" t="str">
        <f>IF(AN11="","",VLOOKUP(AN11,DanhSach,4,FALSE))</f>
        <v>THUỶ</v>
      </c>
      <c r="AO45" s="35" t="str">
        <f>IF(AO11="","",VLOOKUP(AO11,DanhSach,4,FALSE))</f>
        <v>VĨNH</v>
      </c>
      <c r="AP45" s="35" t="str">
        <f>IF(AP11="","",VLOOKUP(AP11,DanhSach,4,FALSE))</f>
        <v>L.HỒNG</v>
      </c>
      <c r="AQ45" s="35" t="str">
        <f>IF(AQ11="","",VLOOKUP(AQ11,DanhSach,4,FALSE))</f>
        <v>H.GIANG</v>
      </c>
      <c r="AR45" s="35" t="str">
        <f>IF(AR11="","",VLOOKUP(AR11,DanhSach,4,FALSE))</f>
        <v>MINH (H)</v>
      </c>
      <c r="AS45" s="35" t="str">
        <f>IF(AS11="","",VLOOKUP(AS11,DanhSach,4,FALSE))</f>
        <v>CƯỜNG (TH)</v>
      </c>
      <c r="AT45" s="35" t="str">
        <f>IF(AT11="","",VLOOKUP(AT11,DanhSach,4,FALSE))</f>
        <v>HẰNG (KTPL)</v>
      </c>
      <c r="AU45" s="35" t="str">
        <f>IF(AU11="","",VLOOKUP(AU11,DanhSach,4,FALSE))</f>
        <v>THÊM</v>
      </c>
      <c r="AV45" s="35" t="str">
        <f>IF(AV11="","",VLOOKUP(AV11,DanhSach,4,FALSE))</f>
        <v>KHOA (TIN)</v>
      </c>
      <c r="AW45" s="35" t="e">
        <f>IF(AW11="","",VLOOKUP(AW11,DanhSach,4,FALSE))</f>
        <v>#N/A</v>
      </c>
      <c r="AX45" s="35" t="str">
        <f>IF(AX11="","",VLOOKUP(AX11,DanhSach,4,FALSE))</f>
        <v>HƯƠNG (L)</v>
      </c>
      <c r="AY45" s="35" t="str">
        <f>IF(AY11="","",VLOOKUP(AY11,DanhSach,4,FALSE))</f>
        <v>Bao Phuong</v>
      </c>
      <c r="AZ45" s="35" t="str">
        <f>IF(AZ11="","",VLOOKUP(AZ11,DanhSach,4,FALSE))</f>
        <v>Tùng</v>
      </c>
      <c r="BA45" s="35" t="str">
        <f>IF(BA11="","",VLOOKUP(BA11,DanhSach,4,FALSE))</f>
        <v>H.THANH</v>
      </c>
      <c r="BB45" s="35"/>
      <c r="BC45" s="35"/>
      <c r="BD45" s="35"/>
      <c r="BE45" s="35"/>
      <c r="BF45" s="35"/>
      <c r="BG45" s="35"/>
      <c r="BH45" s="35"/>
      <c r="BI45" s="35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</row>
    <row r="46" spans="1:139" ht="15.75" customHeight="1" x14ac:dyDescent="0.2">
      <c r="A46" s="32"/>
      <c r="B46" s="45">
        <v>4</v>
      </c>
      <c r="C46" s="35" t="str">
        <f>IF(C12="","",VLOOKUP(C12,DanhSach,4,FALSE))</f>
        <v>ĐÀO</v>
      </c>
      <c r="D46" s="35" t="str">
        <f>IF(D12="","",VLOOKUP(D12,DanhSach,4,FALSE))</f>
        <v>KHUYÊN</v>
      </c>
      <c r="E46" s="35" t="str">
        <f>IF(E12="","",VLOOKUP(E12,DanhSach,4,FALSE))</f>
        <v>LUÂN</v>
      </c>
      <c r="F46" s="35" t="str">
        <f>IF(F12="","",VLOOKUP(F12,DanhSach,4,FALSE))</f>
        <v>BẮC</v>
      </c>
      <c r="G46" s="35" t="str">
        <f>IF(G12="","",VLOOKUP(G12,DanhSach,4,FALSE))</f>
        <v>THƯƠNG</v>
      </c>
      <c r="H46" s="35" t="str">
        <f>IF(H12="","",VLOOKUP(H12,DanhSach,4,FALSE))</f>
        <v>SƯƠNG</v>
      </c>
      <c r="I46" s="35" t="str">
        <f>IF(I12="","",VLOOKUP(I12,DanhSach,4,FALSE))</f>
        <v>THU (KTPL)</v>
      </c>
      <c r="J46" s="35" t="str">
        <f>IF(J12="","",VLOOKUP(J12,DanhSach,4,FALSE))</f>
        <v>Vy</v>
      </c>
      <c r="K46" s="35" t="str">
        <f>IF(K12="","",VLOOKUP(K12,DanhSach,4,FALSE))</f>
        <v>NGÂN</v>
      </c>
      <c r="L46" s="35" t="str">
        <f>IF(L12="","",VLOOKUP(L12,DanhSach,4,FALSE))</f>
        <v>M. THANH</v>
      </c>
      <c r="M46" s="35" t="str">
        <f>IF(M12="","",VLOOKUP(M12,DanhSach,4,FALSE))</f>
        <v>THU (AV)</v>
      </c>
      <c r="N46" s="35" t="str">
        <f>IF(N12="","",VLOOKUP(N12,DanhSach,4,FALSE))</f>
        <v>M.THI</v>
      </c>
      <c r="O46" s="35" t="str">
        <f>IF(O12="","",VLOOKUP(O12,DanhSach,4,FALSE))</f>
        <v>HẢI ( SỬ)</v>
      </c>
      <c r="P46" s="35" t="str">
        <f>IF(P12="","",VLOOKUP(P12,DanhSach,4,FALSE))</f>
        <v>ĐIỀN</v>
      </c>
      <c r="Q46" s="35" t="str">
        <f>IF(Q12="","",VLOOKUP(Q12,DanhSach,4,FALSE))</f>
        <v>TRAN</v>
      </c>
      <c r="R46" s="35" t="str">
        <f>IF(R12="","",VLOOKUP(R12,DanhSach,4,FALSE))</f>
        <v/>
      </c>
      <c r="S46" s="35" t="str">
        <f>IF(S12="","",VLOOKUP(S12,DanhSach,4,FALSE))</f>
        <v/>
      </c>
      <c r="T46" s="35"/>
      <c r="U46" s="35"/>
      <c r="V46" s="35" t="str">
        <f>IF(V12="","",VLOOKUP(V12,DanhSach,4,FALSE))</f>
        <v>KHÔI</v>
      </c>
      <c r="W46" s="35" t="str">
        <f>IF(W12="","",VLOOKUP(W12,DanhSach,4,FALSE))</f>
        <v>TỨ</v>
      </c>
      <c r="X46" s="35" t="str">
        <f>IF(X12="","",VLOOKUP(X12,DanhSach,4,FALSE))</f>
        <v>B.PHƯƠNG</v>
      </c>
      <c r="Y46" s="35" t="str">
        <f>IF(Y12="","",VLOOKUP(Y12,DanhSach,4,FALSE))</f>
        <v>HOÀNG</v>
      </c>
      <c r="Z46" s="35" t="str">
        <f>IF(Z12="","",VLOOKUP(Z12,DanhSach,4,FALSE))</f>
        <v>L.Anh</v>
      </c>
      <c r="AA46" s="35" t="str">
        <f>IF(AA12="","",VLOOKUP(AA12,DanhSach,4,FALSE))</f>
        <v>TRỌNG</v>
      </c>
      <c r="AB46" s="35" t="str">
        <f>IF(AB12="","",VLOOKUP(AB12,DanhSach,4,FALSE))</f>
        <v>THANH (H)</v>
      </c>
      <c r="AC46" s="35" t="str">
        <f>IF(AC12="","",VLOOKUP(AC12,DanhSach,4,FALSE))</f>
        <v>TRANG</v>
      </c>
      <c r="AD46" s="35" t="str">
        <f>IF(AD12="","",VLOOKUP(AD12,DanhSach,4,FALSE))</f>
        <v>HƯỜNG</v>
      </c>
      <c r="AE46" s="35" t="str">
        <f>IF(AE12="","",VLOOKUP(AE12,DanhSach,4,FALSE))</f>
        <v>B.Trang</v>
      </c>
      <c r="AF46" s="35" t="str">
        <f>IF(AF12="","",VLOOKUP(AF12,DanhSach,4,FALSE))</f>
        <v>THẢO (CN)</v>
      </c>
      <c r="AG46" s="35" t="str">
        <f>IF(AG12="","",VLOOKUP(AG12,DanhSach,4,FALSE))</f>
        <v>T.GIANG</v>
      </c>
      <c r="AH46" s="35" t="str">
        <f>IF(AH12="","",VLOOKUP(AH12,DanhSach,4,FALSE))</f>
        <v>THƯ (V)</v>
      </c>
      <c r="AI46" s="35" t="str">
        <f>IF(AI12="","",VLOOKUP(AI12,DanhSach,4,FALSE))</f>
        <v>DIỆM (DP)</v>
      </c>
      <c r="AJ46" s="35" t="str">
        <f>IF(AJ12="","",VLOOKUP(AJ12,DanhSach,4,FALSE))</f>
        <v/>
      </c>
      <c r="AK46" s="35" t="str">
        <f>IF(AK12="","",VLOOKUP(AK12,DanhSach,4,FALSE))</f>
        <v/>
      </c>
      <c r="AL46" s="35" t="str">
        <f>IF(AL12="","",VLOOKUP(AL12,DanhSach,4,FALSE))</f>
        <v/>
      </c>
      <c r="AM46" s="35" t="str">
        <f>IF(AM12="","",VLOOKUP(AM12,DanhSach,4,FALSE))</f>
        <v>THẮM</v>
      </c>
      <c r="AN46" s="35" t="str">
        <f>IF(AN12="","",VLOOKUP(AN12,DanhSach,4,FALSE))</f>
        <v>THUỶ</v>
      </c>
      <c r="AO46" s="35" t="str">
        <f>IF(AO12="","",VLOOKUP(AO12,DanhSach,4,FALSE))</f>
        <v>MINH (H)</v>
      </c>
      <c r="AP46" s="35" t="str">
        <f>IF(AP12="","",VLOOKUP(AP12,DanhSach,4,FALSE))</f>
        <v>Nguyện</v>
      </c>
      <c r="AQ46" s="35" t="str">
        <f>IF(AQ12="","",VLOOKUP(AQ12,DanhSach,4,FALSE))</f>
        <v>HƯƠNG (L)</v>
      </c>
      <c r="AR46" s="35" t="str">
        <f>IF(AR12="","",VLOOKUP(AR12,DanhSach,4,FALSE))</f>
        <v>BÌNH</v>
      </c>
      <c r="AS46" s="35" t="str">
        <f>IF(AS12="","",VLOOKUP(AS12,DanhSach,4,FALSE))</f>
        <v>CƯỜNG (TH)</v>
      </c>
      <c r="AT46" s="35" t="str">
        <f>IF(AT12="","",VLOOKUP(AT12,DanhSach,4,FALSE))</f>
        <v>TIÊN</v>
      </c>
      <c r="AU46" s="35" t="str">
        <f>IF(AU12="","",VLOOKUP(AU12,DanhSach,4,FALSE))</f>
        <v>THÊM</v>
      </c>
      <c r="AV46" s="35" t="str">
        <f>IF(AV12="","",VLOOKUP(AV12,DanhSach,4,FALSE))</f>
        <v>KHOA (TIN)</v>
      </c>
      <c r="AW46" s="35" t="e">
        <f>IF(AW12="","",VLOOKUP(AW12,DanhSach,4,FALSE))</f>
        <v>#N/A</v>
      </c>
      <c r="AX46" s="35" t="str">
        <f>IF(AX12="","",VLOOKUP(AX12,DanhSach,4,FALSE))</f>
        <v>Duy</v>
      </c>
      <c r="AY46" s="35" t="str">
        <f>IF(AY12="","",VLOOKUP(AY12,DanhSach,4,FALSE))</f>
        <v>VÂN (L)</v>
      </c>
      <c r="AZ46" s="35" t="str">
        <f>IF(AZ12="","",VLOOKUP(AZ12,DanhSach,4,FALSE))</f>
        <v>Tùng</v>
      </c>
      <c r="BA46" s="35" t="str">
        <f>IF(BA12="","",VLOOKUP(BA12,DanhSach,4,FALSE))</f>
        <v>H.THANH</v>
      </c>
      <c r="BB46" s="35"/>
      <c r="BC46" s="35"/>
      <c r="BD46" s="35"/>
      <c r="BE46" s="35"/>
      <c r="BF46" s="35"/>
      <c r="BG46" s="35"/>
      <c r="BH46" s="35"/>
      <c r="BI46" s="35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</row>
    <row r="47" spans="1:139" ht="15.75" customHeight="1" thickBot="1" x14ac:dyDescent="0.25">
      <c r="A47" s="39"/>
      <c r="B47" s="46">
        <v>5</v>
      </c>
      <c r="C47" s="41" t="str">
        <f>IF(C13="","",VLOOKUP(C13,DanhSach,4,FALSE))</f>
        <v/>
      </c>
      <c r="D47" s="41" t="str">
        <f>IF(D13="","",VLOOKUP(D13,DanhSach,4,FALSE))</f>
        <v/>
      </c>
      <c r="E47" s="41" t="str">
        <f>IF(E13="","",VLOOKUP(E13,DanhSach,4,FALSE))</f>
        <v/>
      </c>
      <c r="F47" s="41" t="str">
        <f>IF(F13="","",VLOOKUP(F13,DanhSach,4,FALSE))</f>
        <v/>
      </c>
      <c r="G47" s="41" t="str">
        <f>IF(G13="","",VLOOKUP(G13,DanhSach,4,FALSE))</f>
        <v/>
      </c>
      <c r="H47" s="41" t="str">
        <f>IF(H13="","",VLOOKUP(H13,DanhSach,4,FALSE))</f>
        <v/>
      </c>
      <c r="I47" s="41" t="str">
        <f>IF(I13="","",VLOOKUP(I13,DanhSach,4,FALSE))</f>
        <v/>
      </c>
      <c r="J47" s="41" t="str">
        <f>IF(J13="","",VLOOKUP(J13,DanhSach,4,FALSE))</f>
        <v/>
      </c>
      <c r="K47" s="41" t="str">
        <f>IF(K13="","",VLOOKUP(K13,DanhSach,4,FALSE))</f>
        <v/>
      </c>
      <c r="L47" s="41" t="str">
        <f>IF(L13="","",VLOOKUP(L13,DanhSach,4,FALSE))</f>
        <v/>
      </c>
      <c r="M47" s="41" t="str">
        <f>IF(M13="","",VLOOKUP(M13,DanhSach,4,FALSE))</f>
        <v/>
      </c>
      <c r="N47" s="41" t="str">
        <f>IF(N13="","",VLOOKUP(N13,DanhSach,4,FALSE))</f>
        <v/>
      </c>
      <c r="O47" s="41" t="str">
        <f>IF(O13="","",VLOOKUP(O13,DanhSach,4,FALSE))</f>
        <v/>
      </c>
      <c r="P47" s="41" t="str">
        <f>IF(P13="","",VLOOKUP(P13,DanhSach,4,FALSE))</f>
        <v/>
      </c>
      <c r="Q47" s="41" t="str">
        <f>IF(Q13="","",VLOOKUP(Q13,DanhSach,4,FALSE))</f>
        <v/>
      </c>
      <c r="R47" s="41" t="str">
        <f>IF(R13="","",VLOOKUP(R13,DanhSach,4,FALSE))</f>
        <v/>
      </c>
      <c r="S47" s="41" t="str">
        <f>IF(S13="","",VLOOKUP(S13,DanhSach,4,FALSE))</f>
        <v/>
      </c>
      <c r="T47" s="41"/>
      <c r="U47" s="41"/>
      <c r="V47" s="41" t="str">
        <f>IF(V13="","",VLOOKUP(V13,DanhSach,4,FALSE))</f>
        <v/>
      </c>
      <c r="W47" s="41" t="str">
        <f>IF(W13="","",VLOOKUP(W13,DanhSach,4,FALSE))</f>
        <v/>
      </c>
      <c r="X47" s="41" t="str">
        <f>IF(X13="","",VLOOKUP(X13,DanhSach,4,FALSE))</f>
        <v/>
      </c>
      <c r="Y47" s="41" t="str">
        <f>IF(Y13="","",VLOOKUP(Y13,DanhSach,4,FALSE))</f>
        <v/>
      </c>
      <c r="Z47" s="41" t="str">
        <f>IF(Z13="","",VLOOKUP(Z13,DanhSach,4,FALSE))</f>
        <v/>
      </c>
      <c r="AA47" s="41" t="str">
        <f>IF(AA13="","",VLOOKUP(AA13,DanhSach,4,FALSE))</f>
        <v/>
      </c>
      <c r="AB47" s="41" t="str">
        <f>IF(AB13="","",VLOOKUP(AB13,DanhSach,4,FALSE))</f>
        <v/>
      </c>
      <c r="AC47" s="41" t="str">
        <f>IF(AC13="","",VLOOKUP(AC13,DanhSach,4,FALSE))</f>
        <v/>
      </c>
      <c r="AD47" s="41" t="str">
        <f>IF(AD13="","",VLOOKUP(AD13,DanhSach,4,FALSE))</f>
        <v/>
      </c>
      <c r="AE47" s="41" t="str">
        <f>IF(AE13="","",VLOOKUP(AE13,DanhSach,4,FALSE))</f>
        <v/>
      </c>
      <c r="AF47" s="41" t="str">
        <f>IF(AF13="","",VLOOKUP(AF13,DanhSach,4,FALSE))</f>
        <v/>
      </c>
      <c r="AG47" s="41" t="str">
        <f>IF(AG13="","",VLOOKUP(AG13,DanhSach,4,FALSE))</f>
        <v/>
      </c>
      <c r="AH47" s="41" t="str">
        <f>IF(AH13="","",VLOOKUP(AH13,DanhSach,4,FALSE))</f>
        <v/>
      </c>
      <c r="AI47" s="41" t="str">
        <f>IF(AI13="","",VLOOKUP(AI13,DanhSach,4,FALSE))</f>
        <v/>
      </c>
      <c r="AJ47" s="41" t="str">
        <f>IF(AJ13="","",VLOOKUP(AJ13,DanhSach,4,FALSE))</f>
        <v/>
      </c>
      <c r="AK47" s="41" t="str">
        <f>IF(AK13="","",VLOOKUP(AK13,DanhSach,4,FALSE))</f>
        <v/>
      </c>
      <c r="AL47" s="41" t="str">
        <f>IF(AL13="","",VLOOKUP(AL13,DanhSach,4,FALSE))</f>
        <v/>
      </c>
      <c r="AM47" s="41" t="str">
        <f>IF(AM13="","",VLOOKUP(AM13,DanhSach,4,FALSE))</f>
        <v/>
      </c>
      <c r="AN47" s="41" t="str">
        <f>IF(AN13="","",VLOOKUP(AN13,DanhSach,4,FALSE))</f>
        <v/>
      </c>
      <c r="AO47" s="41" t="str">
        <f>IF(AO13="","",VLOOKUP(AO13,DanhSach,4,FALSE))</f>
        <v/>
      </c>
      <c r="AP47" s="41" t="str">
        <f>IF(AP13="","",VLOOKUP(AP13,DanhSach,4,FALSE))</f>
        <v/>
      </c>
      <c r="AQ47" s="41" t="str">
        <f>IF(AQ13="","",VLOOKUP(AQ13,DanhSach,4,FALSE))</f>
        <v/>
      </c>
      <c r="AR47" s="41" t="str">
        <f>IF(AR13="","",VLOOKUP(AR13,DanhSach,4,FALSE))</f>
        <v/>
      </c>
      <c r="AS47" s="41" t="str">
        <f>IF(AS13="","",VLOOKUP(AS13,DanhSach,4,FALSE))</f>
        <v/>
      </c>
      <c r="AT47" s="41" t="str">
        <f>IF(AT13="","",VLOOKUP(AT13,DanhSach,4,FALSE))</f>
        <v/>
      </c>
      <c r="AU47" s="41" t="str">
        <f>IF(AU13="","",VLOOKUP(AU13,DanhSach,4,FALSE))</f>
        <v/>
      </c>
      <c r="AV47" s="41" t="str">
        <f>IF(AV13="","",VLOOKUP(AV13,DanhSach,4,FALSE))</f>
        <v/>
      </c>
      <c r="AW47" s="41" t="str">
        <f>IF(AW13="","",VLOOKUP(AW13,DanhSach,4,FALSE))</f>
        <v/>
      </c>
      <c r="AX47" s="41" t="str">
        <f>IF(AX13="","",VLOOKUP(AX13,DanhSach,4,FALSE))</f>
        <v/>
      </c>
      <c r="AY47" s="41" t="str">
        <f>IF(AY13="","",VLOOKUP(AY13,DanhSach,4,FALSE))</f>
        <v/>
      </c>
      <c r="AZ47" s="41" t="str">
        <f>IF(AZ13="","",VLOOKUP(AZ13,DanhSach,4,FALSE))</f>
        <v/>
      </c>
      <c r="BA47" s="41" t="str">
        <f>IF(BA13="","",VLOOKUP(BA13,DanhSach,4,FALSE))</f>
        <v/>
      </c>
      <c r="BB47" s="41"/>
      <c r="BC47" s="41"/>
      <c r="BD47" s="41"/>
      <c r="BE47" s="41"/>
      <c r="BF47" s="41"/>
      <c r="BG47" s="41"/>
      <c r="BH47" s="41"/>
      <c r="BI47" s="41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</row>
    <row r="48" spans="1:139" ht="15.75" customHeight="1" x14ac:dyDescent="0.2">
      <c r="A48" s="42" t="s">
        <v>203</v>
      </c>
      <c r="B48" s="43">
        <v>1</v>
      </c>
      <c r="C48" s="44" t="str">
        <f>IF(C14="","",VLOOKUP(C14,DanhSach,4,FALSE))</f>
        <v>M.THI</v>
      </c>
      <c r="D48" s="44" t="str">
        <f>IF(D14="","",VLOOKUP(D14,DanhSach,4,FALSE))</f>
        <v>NHƯ</v>
      </c>
      <c r="E48" s="44" t="str">
        <f>IF(E14="","",VLOOKUP(E14,DanhSach,4,FALSE))</f>
        <v>QUẢNG(T)</v>
      </c>
      <c r="F48" s="44" t="str">
        <f>IF(F14="","",VLOOKUP(F14,DanhSach,4,FALSE))</f>
        <v>B.PHƯƠNG</v>
      </c>
      <c r="G48" s="44" t="str">
        <f>IF(G14="","",VLOOKUP(G14,DanhSach,4,FALSE))</f>
        <v>TRAN</v>
      </c>
      <c r="H48" s="44" t="str">
        <f>IF(H14="","",VLOOKUP(H14,DanhSach,4,FALSE))</f>
        <v>THẢO</v>
      </c>
      <c r="I48" s="44" t="str">
        <f>IF(I14="","",VLOOKUP(I14,DanhSach,4,FALSE))</f>
        <v>HÙNG (AV)</v>
      </c>
      <c r="J48" s="44" t="str">
        <f>IF(J14="","",VLOOKUP(J14,DanhSach,4,FALSE))</f>
        <v>HÙNG (TH)</v>
      </c>
      <c r="K48" s="44" t="str">
        <f>IF(K14="","",VLOOKUP(K14,DanhSach,4,FALSE))</f>
        <v>NHUNG</v>
      </c>
      <c r="L48" s="44" t="str">
        <f>IF(L14="","",VLOOKUP(L14,DanhSach,4,FALSE))</f>
        <v>DUNG</v>
      </c>
      <c r="M48" s="44" t="str">
        <f>IF(M14="","",VLOOKUP(M14,DanhSach,4,FALSE))</f>
        <v>THÀNH (Đ)</v>
      </c>
      <c r="N48" s="44" t="str">
        <f>IF(N14="","",VLOOKUP(N14,DanhSach,4,FALSE))</f>
        <v>LÀI</v>
      </c>
      <c r="O48" s="44" t="str">
        <f>IF(O14="","",VLOOKUP(O14,DanhSach,4,FALSE))</f>
        <v>Tùng</v>
      </c>
      <c r="P48" s="44" t="str">
        <f>IF(P14="","",VLOOKUP(P14,DanhSach,4,FALSE))</f>
        <v>TUỆ</v>
      </c>
      <c r="Q48" s="44" t="str">
        <f>IF(Q14="","",VLOOKUP(Q14,DanhSach,4,FALSE))</f>
        <v>THU (KTPL)</v>
      </c>
      <c r="R48" s="44" t="str">
        <f>IF(R14="","",VLOOKUP(R14,DanhSach,4,FALSE))</f>
        <v/>
      </c>
      <c r="S48" s="44" t="str">
        <f>IF(S14="","",VLOOKUP(S14,DanhSach,4,FALSE))</f>
        <v/>
      </c>
      <c r="T48" s="44"/>
      <c r="U48" s="44"/>
      <c r="V48" s="44" t="str">
        <f>IF(V14="","",VLOOKUP(V14,DanhSach,4,FALSE))</f>
        <v>HƯNG</v>
      </c>
      <c r="W48" s="44" t="str">
        <f>IF(W14="","",VLOOKUP(W14,DanhSach,4,FALSE))</f>
        <v>L.Anh</v>
      </c>
      <c r="X48" s="44" t="str">
        <f>IF(X14="","",VLOOKUP(X14,DanhSach,4,FALSE))</f>
        <v>Bao Phuong</v>
      </c>
      <c r="Y48" s="44" t="str">
        <f>IF(Y14="","",VLOOKUP(Y14,DanhSach,4,FALSE))</f>
        <v>TUAN (TD)</v>
      </c>
      <c r="Z48" s="44" t="str">
        <f>IF(Z14="","",VLOOKUP(Z14,DanhSach,4,FALSE))</f>
        <v>HẢI (TD)</v>
      </c>
      <c r="AA48" s="44" t="str">
        <f>IF(AA14="","",VLOOKUP(AA14,DanhSach,4,FALSE))</f>
        <v>CƯỜNG (TD)</v>
      </c>
      <c r="AB48" s="44" t="str">
        <f>IF(AB14="","",VLOOKUP(AB14,DanhSach,4,FALSE))</f>
        <v>KHOA (TIN)</v>
      </c>
      <c r="AC48" s="44" t="str">
        <f>IF(AC14="","",VLOOKUP(AC14,DanhSach,4,FALSE))</f>
        <v>KHANG</v>
      </c>
      <c r="AD48" s="44" t="str">
        <f>IF(AD14="","",VLOOKUP(AD14,DanhSach,4,FALSE))</f>
        <v>HẬU</v>
      </c>
      <c r="AE48" s="44" t="str">
        <f>IF(AE14="","",VLOOKUP(AE14,DanhSach,4,FALSE))</f>
        <v>TIÊN</v>
      </c>
      <c r="AF48" s="44" t="str">
        <f>IF(AF14="","",VLOOKUP(AF14,DanhSach,4,FALSE))</f>
        <v>V.PHƯƠNG</v>
      </c>
      <c r="AG48" s="44" t="str">
        <f>IF(AG14="","",VLOOKUP(AG14,DanhSach,4,FALSE))</f>
        <v>NGHĨA</v>
      </c>
      <c r="AH48" s="44" t="str">
        <f>IF(AH14="","",VLOOKUP(AH14,DanhSach,4,FALSE))</f>
        <v>THƠ</v>
      </c>
      <c r="AI48" s="44" t="str">
        <f>IF(AI14="","",VLOOKUP(AI14,DanhSach,4,FALSE))</f>
        <v>HẰNG (KTPL)</v>
      </c>
      <c r="AJ48" s="44" t="str">
        <f>IF(AJ14="","",VLOOKUP(AJ14,DanhSach,4,FALSE))</f>
        <v/>
      </c>
      <c r="AK48" s="44" t="str">
        <f>IF(AK14="","",VLOOKUP(AK14,DanhSach,4,FALSE))</f>
        <v/>
      </c>
      <c r="AL48" s="44" t="str">
        <f>IF(AL14="","",VLOOKUP(AL14,DanhSach,4,FALSE))</f>
        <v/>
      </c>
      <c r="AM48" s="44" t="str">
        <f>IF(AM14="","",VLOOKUP(AM14,DanhSach,4,FALSE))</f>
        <v>VĨNH</v>
      </c>
      <c r="AN48" s="44" t="str">
        <f>IF(AN14="","",VLOOKUP(AN14,DanhSach,4,FALSE))</f>
        <v>CƯỜNG (TH)</v>
      </c>
      <c r="AO48" s="44" t="str">
        <f>IF(AO14="","",VLOOKUP(AO14,DanhSach,4,FALSE))</f>
        <v>THU BA</v>
      </c>
      <c r="AP48" s="44" t="str">
        <f>IF(AP14="","",VLOOKUP(AP14,DanhSach,4,FALSE))</f>
        <v>Linh (TV)</v>
      </c>
      <c r="AQ48" s="44" t="str">
        <f>IF(AQ14="","",VLOOKUP(AQ14,DanhSach,4,FALSE))</f>
        <v>KHÔI</v>
      </c>
      <c r="AR48" s="44" t="str">
        <f>IF(AR14="","",VLOOKUP(AR14,DanhSach,4,FALSE))</f>
        <v>D.LINH (T)</v>
      </c>
      <c r="AS48" s="44" t="str">
        <f>IF(AS14="","",VLOOKUP(AS14,DanhSach,4,FALSE))</f>
        <v>DIỆM (HN)</v>
      </c>
      <c r="AT48" s="44" t="str">
        <f>IF(AT14="","",VLOOKUP(AT14,DanhSach,4,FALSE))</f>
        <v>ÁNH</v>
      </c>
      <c r="AU48" s="44" t="str">
        <f>IF(AU14="","",VLOOKUP(AU14,DanhSach,4,FALSE))</f>
        <v>TÂM</v>
      </c>
      <c r="AV48" s="44" t="str">
        <f>IF(AV14="","",VLOOKUP(AV14,DanhSach,4,FALSE))</f>
        <v>THẢO (QP)</v>
      </c>
      <c r="AW48" s="44" t="str">
        <f>IF(AW14="","",VLOOKUP(AW14,DanhSach,4,FALSE))</f>
        <v>Duy</v>
      </c>
      <c r="AX48" s="44" t="str">
        <f>IF(AX14="","",VLOOKUP(AX14,DanhSach,4,FALSE))</f>
        <v>TỨ</v>
      </c>
      <c r="AY48" s="44" t="str">
        <f>IF(AY14="","",VLOOKUP(AY14,DanhSach,4,FALSE))</f>
        <v>HẠNH (T)</v>
      </c>
      <c r="AZ48" s="44" t="str">
        <f>IF(AZ14="","",VLOOKUP(AZ14,DanhSach,4,FALSE))</f>
        <v>DIỄM</v>
      </c>
      <c r="BA48" s="44" t="str">
        <f>IF(BA14="","",VLOOKUP(BA14,DanhSach,4,FALSE))</f>
        <v>MY</v>
      </c>
      <c r="BB48" s="44"/>
      <c r="BC48" s="44"/>
      <c r="BD48" s="44"/>
      <c r="BE48" s="44"/>
      <c r="BF48" s="44"/>
      <c r="BG48" s="44"/>
      <c r="BH48" s="44"/>
      <c r="BI48" s="44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</row>
    <row r="49" spans="1:77" ht="15.75" customHeight="1" x14ac:dyDescent="0.2">
      <c r="A49" s="32" t="s">
        <v>193</v>
      </c>
      <c r="B49" s="45">
        <v>2</v>
      </c>
      <c r="C49" s="35" t="str">
        <f>IF(C15="","",VLOOKUP(C15,DanhSach,4,FALSE))</f>
        <v>TỨ</v>
      </c>
      <c r="D49" s="35" t="str">
        <f>IF(D15="","",VLOOKUP(D15,DanhSach,4,FALSE))</f>
        <v>VĨNH</v>
      </c>
      <c r="E49" s="35" t="str">
        <f>IF(E15="","",VLOOKUP(E15,DanhSach,4,FALSE))</f>
        <v>QUẢNG(T)</v>
      </c>
      <c r="F49" s="35" t="str">
        <f>IF(F15="","",VLOOKUP(F15,DanhSach,4,FALSE))</f>
        <v>KHUYÊN</v>
      </c>
      <c r="G49" s="35" t="str">
        <f>IF(G15="","",VLOOKUP(G15,DanhSach,4,FALSE))</f>
        <v>TRAN</v>
      </c>
      <c r="H49" s="35" t="str">
        <f>IF(H15="","",VLOOKUP(H15,DanhSach,4,FALSE))</f>
        <v>THẢO</v>
      </c>
      <c r="I49" s="35" t="str">
        <f>IF(I15="","",VLOOKUP(I15,DanhSach,4,FALSE))</f>
        <v>HÙNG (AV)</v>
      </c>
      <c r="J49" s="35" t="str">
        <f>IF(J15="","",VLOOKUP(J15,DanhSach,4,FALSE))</f>
        <v>HÙNG (TH)</v>
      </c>
      <c r="K49" s="35" t="str">
        <f>IF(K15="","",VLOOKUP(K15,DanhSach,4,FALSE))</f>
        <v>THU BA</v>
      </c>
      <c r="L49" s="35" t="str">
        <f>IF(L15="","",VLOOKUP(L15,DanhSach,4,FALSE))</f>
        <v>DUNG</v>
      </c>
      <c r="M49" s="35" t="str">
        <f>IF(M15="","",VLOOKUP(M15,DanhSach,4,FALSE))</f>
        <v>B.PHƯƠNG</v>
      </c>
      <c r="N49" s="35" t="str">
        <f>IF(N15="","",VLOOKUP(N15,DanhSach,4,FALSE))</f>
        <v>DƯƠNG</v>
      </c>
      <c r="O49" s="35" t="str">
        <f>IF(O15="","",VLOOKUP(O15,DanhSach,4,FALSE))</f>
        <v>HẢI ( SỬ)</v>
      </c>
      <c r="P49" s="35" t="str">
        <f>IF(P15="","",VLOOKUP(P15,DanhSach,4,FALSE))</f>
        <v>TUỆ</v>
      </c>
      <c r="Q49" s="35" t="str">
        <f>IF(Q15="","",VLOOKUP(Q15,DanhSach,4,FALSE))</f>
        <v>HUYỀN</v>
      </c>
      <c r="R49" s="35" t="str">
        <f>IF(R15="","",VLOOKUP(R15,DanhSach,4,FALSE))</f>
        <v/>
      </c>
      <c r="S49" s="35" t="str">
        <f>IF(S15="","",VLOOKUP(S15,DanhSach,4,FALSE))</f>
        <v/>
      </c>
      <c r="T49" s="35"/>
      <c r="U49" s="35"/>
      <c r="V49" s="35" t="str">
        <f>IF(V15="","",VLOOKUP(V15,DanhSach,4,FALSE))</f>
        <v>HƯNG</v>
      </c>
      <c r="W49" s="35" t="str">
        <f>IF(W15="","",VLOOKUP(W15,DanhSach,4,FALSE))</f>
        <v>L.Anh</v>
      </c>
      <c r="X49" s="35" t="str">
        <f>IF(X15="","",VLOOKUP(X15,DanhSach,4,FALSE))</f>
        <v>M.THI</v>
      </c>
      <c r="Y49" s="35" t="str">
        <f>IF(Y15="","",VLOOKUP(Y15,DanhSach,4,FALSE))</f>
        <v>TUAN (TD)</v>
      </c>
      <c r="Z49" s="35" t="str">
        <f>IF(Z15="","",VLOOKUP(Z15,DanhSach,4,FALSE))</f>
        <v>HẢI (TD)</v>
      </c>
      <c r="AA49" s="35" t="str">
        <f>IF(AA15="","",VLOOKUP(AA15,DanhSach,4,FALSE))</f>
        <v>CƯỜNG (TD)</v>
      </c>
      <c r="AB49" s="35" t="str">
        <f>IF(AB15="","",VLOOKUP(AB15,DanhSach,4,FALSE))</f>
        <v>KHOA (TIN)</v>
      </c>
      <c r="AC49" s="35" t="str">
        <f>IF(AC15="","",VLOOKUP(AC15,DanhSach,4,FALSE))</f>
        <v>KHANG</v>
      </c>
      <c r="AD49" s="35" t="str">
        <f>IF(AD15="","",VLOOKUP(AD15,DanhSach,4,FALSE))</f>
        <v>NHƯ</v>
      </c>
      <c r="AE49" s="35" t="str">
        <f>IF(AE15="","",VLOOKUP(AE15,DanhSach,4,FALSE))</f>
        <v>B. TRANG</v>
      </c>
      <c r="AF49" s="35" t="str">
        <f>IF(AF15="","",VLOOKUP(AF15,DanhSach,4,FALSE))</f>
        <v>V.PHƯƠNG</v>
      </c>
      <c r="AG49" s="35" t="str">
        <f>IF(AG15="","",VLOOKUP(AG15,DanhSach,4,FALSE))</f>
        <v>NGHĨA</v>
      </c>
      <c r="AH49" s="35" t="str">
        <f>IF(AH15="","",VLOOKUP(AH15,DanhSach,4,FALSE))</f>
        <v>THƠ</v>
      </c>
      <c r="AI49" s="35" t="str">
        <f>IF(AI15="","",VLOOKUP(AI15,DanhSach,4,FALSE))</f>
        <v>TIÊN</v>
      </c>
      <c r="AJ49" s="35" t="str">
        <f>IF(AJ15="","",VLOOKUP(AJ15,DanhSach,4,FALSE))</f>
        <v/>
      </c>
      <c r="AK49" s="35" t="str">
        <f>IF(AK15="","",VLOOKUP(AK15,DanhSach,4,FALSE))</f>
        <v/>
      </c>
      <c r="AL49" s="35" t="str">
        <f>IF(AL15="","",VLOOKUP(AL15,DanhSach,4,FALSE))</f>
        <v/>
      </c>
      <c r="AM49" s="35" t="str">
        <f>IF(AM15="","",VLOOKUP(AM15,DanhSach,4,FALSE))</f>
        <v>DIỄM</v>
      </c>
      <c r="AN49" s="35" t="str">
        <f>IF(AN15="","",VLOOKUP(AN15,DanhSach,4,FALSE))</f>
        <v>CƯỜNG (TH)</v>
      </c>
      <c r="AO49" s="35" t="str">
        <f>IF(AO15="","",VLOOKUP(AO15,DanhSach,4,FALSE))</f>
        <v>Tùng</v>
      </c>
      <c r="AP49" s="35" t="str">
        <f>IF(AP15="","",VLOOKUP(AP15,DanhSach,4,FALSE))</f>
        <v>Duy</v>
      </c>
      <c r="AQ49" s="35" t="str">
        <f>IF(AQ15="","",VLOOKUP(AQ15,DanhSach,4,FALSE))</f>
        <v>HẬU</v>
      </c>
      <c r="AR49" s="35" t="str">
        <f>IF(AR15="","",VLOOKUP(AR15,DanhSach,4,FALSE))</f>
        <v>THU (AV)</v>
      </c>
      <c r="AS49" s="35" t="str">
        <f>IF(AS15="","",VLOOKUP(AS15,DanhSach,4,FALSE))</f>
        <v>THẢO (QP)</v>
      </c>
      <c r="AT49" s="35" t="str">
        <f>IF(AT15="","",VLOOKUP(AT15,DanhSach,4,FALSE))</f>
        <v>DIỆM (DP)</v>
      </c>
      <c r="AU49" s="35" t="str">
        <f>IF(AU15="","",VLOOKUP(AU15,DanhSach,4,FALSE))</f>
        <v>HẰNG (KTPL)</v>
      </c>
      <c r="AV49" s="35" t="str">
        <f>IF(AV15="","",VLOOKUP(AV15,DanhSach,4,FALSE))</f>
        <v>MY</v>
      </c>
      <c r="AW49" s="35" t="str">
        <f>IF(AW15="","",VLOOKUP(AW15,DanhSach,4,FALSE))</f>
        <v>ĐÀO</v>
      </c>
      <c r="AX49" s="35" t="str">
        <f>IF(AX15="","",VLOOKUP(AX15,DanhSach,4,FALSE))</f>
        <v>CHẤT</v>
      </c>
      <c r="AY49" s="35" t="str">
        <f>IF(AY15="","",VLOOKUP(AY15,DanhSach,4,FALSE))</f>
        <v>THÀNH (Đ)</v>
      </c>
      <c r="AZ49" s="35" t="str">
        <f>IF(AZ15="","",VLOOKUP(AZ15,DanhSach,4,FALSE))</f>
        <v>ÁNH</v>
      </c>
      <c r="BA49" s="35" t="str">
        <f>IF(BA15="","",VLOOKUP(BA15,DanhSach,4,FALSE))</f>
        <v>Bao Phuong</v>
      </c>
      <c r="BB49" s="35"/>
      <c r="BC49" s="35"/>
      <c r="BD49" s="35"/>
      <c r="BE49" s="35"/>
      <c r="BF49" s="35"/>
      <c r="BG49" s="35"/>
      <c r="BH49" s="35"/>
      <c r="BI49" s="35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</row>
    <row r="50" spans="1:77" ht="15.75" customHeight="1" x14ac:dyDescent="0.2">
      <c r="A50" s="32" t="s">
        <v>217</v>
      </c>
      <c r="B50" s="45">
        <v>3</v>
      </c>
      <c r="C50" s="35" t="str">
        <f>IF(C16="","",VLOOKUP(C16,DanhSach,4,FALSE))</f>
        <v>THƠ</v>
      </c>
      <c r="D50" s="35" t="str">
        <f>IF(D16="","",VLOOKUP(D16,DanhSach,4,FALSE))</f>
        <v>DƯƠNG</v>
      </c>
      <c r="E50" s="35" t="str">
        <f>IF(E16="","",VLOOKUP(E16,DanhSach,4,FALSE))</f>
        <v>HIỆP(TD)</v>
      </c>
      <c r="F50" s="35" t="str">
        <f>IF(F16="","",VLOOKUP(F16,DanhSach,4,FALSE))</f>
        <v>CƯỜNG (TD)</v>
      </c>
      <c r="G50" s="35" t="str">
        <f>IF(G16="","",VLOOKUP(G16,DanhSach,4,FALSE))</f>
        <v>THU BA</v>
      </c>
      <c r="H50" s="35" t="str">
        <f>IF(H16="","",VLOOKUP(H16,DanhSach,4,FALSE))</f>
        <v>NGHĨA</v>
      </c>
      <c r="I50" s="35" t="str">
        <f>IF(I16="","",VLOOKUP(I16,DanhSach,4,FALSE))</f>
        <v>TUAN (TD)</v>
      </c>
      <c r="J50" s="35" t="str">
        <f>IF(J16="","",VLOOKUP(J16,DanhSach,4,FALSE))</f>
        <v>Vy</v>
      </c>
      <c r="K50" s="35" t="str">
        <f>IF(K16="","",VLOOKUP(K16,DanhSach,4,FALSE))</f>
        <v>VĨNH</v>
      </c>
      <c r="L50" s="35" t="str">
        <f>IF(L16="","",VLOOKUP(L16,DanhSach,4,FALSE))</f>
        <v>NHUNG</v>
      </c>
      <c r="M50" s="35" t="str">
        <f>IF(M16="","",VLOOKUP(M16,DanhSach,4,FALSE))</f>
        <v>HẠNH (T)</v>
      </c>
      <c r="N50" s="35" t="str">
        <f>IF(N16="","",VLOOKUP(N16,DanhSach,4,FALSE))</f>
        <v>HƯỜNG</v>
      </c>
      <c r="O50" s="35" t="str">
        <f>IF(O16="","",VLOOKUP(O16,DanhSach,4,FALSE))</f>
        <v>HẢI (TD)</v>
      </c>
      <c r="P50" s="35" t="str">
        <f>IF(P16="","",VLOOKUP(P16,DanhSach,4,FALSE))</f>
        <v>HÙNG (TH)</v>
      </c>
      <c r="Q50" s="35" t="str">
        <f>IF(Q16="","",VLOOKUP(Q16,DanhSach,4,FALSE))</f>
        <v>HUYỀN</v>
      </c>
      <c r="R50" s="35" t="str">
        <f>IF(R16="","",VLOOKUP(R16,DanhSach,4,FALSE))</f>
        <v/>
      </c>
      <c r="S50" s="35" t="str">
        <f>IF(S16="","",VLOOKUP(S16,DanhSach,4,FALSE))</f>
        <v/>
      </c>
      <c r="T50" s="35"/>
      <c r="U50" s="35"/>
      <c r="V50" s="35" t="str">
        <f>IF(V16="","",VLOOKUP(V16,DanhSach,4,FALSE))</f>
        <v>Bao Phuong</v>
      </c>
      <c r="W50" s="35" t="str">
        <f>IF(W16="","",VLOOKUP(W16,DanhSach,4,FALSE))</f>
        <v>TRAN</v>
      </c>
      <c r="X50" s="35" t="str">
        <f>IF(X16="","",VLOOKUP(X16,DanhSach,4,FALSE))</f>
        <v>QUẢNG(T)</v>
      </c>
      <c r="Y50" s="35" t="str">
        <f>IF(Y16="","",VLOOKUP(Y16,DanhSach,4,FALSE))</f>
        <v>M.THI</v>
      </c>
      <c r="Z50" s="35" t="str">
        <f>IF(Z16="","",VLOOKUP(Z16,DanhSach,4,FALSE))</f>
        <v>B.PHƯƠNG</v>
      </c>
      <c r="AA50" s="35" t="str">
        <f>IF(AA16="","",VLOOKUP(AA16,DanhSach,4,FALSE))</f>
        <v>NHƯ</v>
      </c>
      <c r="AB50" s="35" t="str">
        <f>IF(AB16="","",VLOOKUP(AB16,DanhSach,4,FALSE))</f>
        <v>V.PHƯƠNG</v>
      </c>
      <c r="AC50" s="35" t="str">
        <f>IF(AC16="","",VLOOKUP(AC16,DanhSach,4,FALSE))</f>
        <v>TÂM</v>
      </c>
      <c r="AD50" s="35" t="str">
        <f>IF(AD16="","",VLOOKUP(AD16,DanhSach,4,FALSE))</f>
        <v>HẢI ( SỬ)</v>
      </c>
      <c r="AE50" s="35" t="str">
        <f>IF(AE16="","",VLOOKUP(AE16,DanhSach,4,FALSE))</f>
        <v>THẢO</v>
      </c>
      <c r="AF50" s="35" t="str">
        <f>IF(AF16="","",VLOOKUP(AF16,DanhSach,4,FALSE))</f>
        <v>CHẤT</v>
      </c>
      <c r="AG50" s="35" t="str">
        <f>IF(AG16="","",VLOOKUP(AG16,DanhSach,4,FALSE))</f>
        <v>THẢO (QP)</v>
      </c>
      <c r="AH50" s="35" t="str">
        <f>IF(AH16="","",VLOOKUP(AH16,DanhSach,4,FALSE))</f>
        <v>TUỆ</v>
      </c>
      <c r="AI50" s="35" t="str">
        <f>IF(AI16="","",VLOOKUP(AI16,DanhSach,4,FALSE))</f>
        <v>M. THANH</v>
      </c>
      <c r="AJ50" s="35" t="str">
        <f>IF(AJ16="","",VLOOKUP(AJ16,DanhSach,4,FALSE))</f>
        <v/>
      </c>
      <c r="AK50" s="35" t="str">
        <f>IF(AK16="","",VLOOKUP(AK16,DanhSach,4,FALSE))</f>
        <v/>
      </c>
      <c r="AL50" s="35" t="str">
        <f>IF(AL16="","",VLOOKUP(AL16,DanhSach,4,FALSE))</f>
        <v/>
      </c>
      <c r="AM50" s="35" t="str">
        <f>IF(AM16="","",VLOOKUP(AM16,DanhSach,4,FALSE))</f>
        <v>DIỄM</v>
      </c>
      <c r="AN50" s="35" t="str">
        <f>IF(AN16="","",VLOOKUP(AN16,DanhSach,4,FALSE))</f>
        <v>HÙNG (AV)</v>
      </c>
      <c r="AO50" s="35" t="str">
        <f>IF(AO16="","",VLOOKUP(AO16,DanhSach,4,FALSE))</f>
        <v>Tùng</v>
      </c>
      <c r="AP50" s="35" t="str">
        <f>IF(AP16="","",VLOOKUP(AP16,DanhSach,4,FALSE))</f>
        <v>Duy</v>
      </c>
      <c r="AQ50" s="35" t="str">
        <f>IF(AQ16="","",VLOOKUP(AQ16,DanhSach,4,FALSE))</f>
        <v>HƯNG</v>
      </c>
      <c r="AR50" s="35" t="str">
        <f>IF(AR16="","",VLOOKUP(AR16,DanhSach,4,FALSE))</f>
        <v>ĐÀO</v>
      </c>
      <c r="AS50" s="35" t="str">
        <f>IF(AS16="","",VLOOKUP(AS16,DanhSach,4,FALSE))</f>
        <v>THU (AV)</v>
      </c>
      <c r="AT50" s="35" t="str">
        <f>IF(AT16="","",VLOOKUP(AT16,DanhSach,4,FALSE))</f>
        <v>TIÊN</v>
      </c>
      <c r="AU50" s="35" t="str">
        <f>IF(AU16="","",VLOOKUP(AU16,DanhSach,4,FALSE))</f>
        <v>Linh (TV)</v>
      </c>
      <c r="AV50" s="35" t="str">
        <f>IF(AV16="","",VLOOKUP(AV16,DanhSach,4,FALSE))</f>
        <v>L.Anh</v>
      </c>
      <c r="AW50" s="35" t="str">
        <f>IF(AW16="","",VLOOKUP(AW16,DanhSach,4,FALSE))</f>
        <v>MY</v>
      </c>
      <c r="AX50" s="35" t="str">
        <f>IF(AX16="","",VLOOKUP(AX16,DanhSach,4,FALSE))</f>
        <v>THU (KTPL)</v>
      </c>
      <c r="AY50" s="35" t="str">
        <f>IF(AY16="","",VLOOKUP(AY16,DanhSach,4,FALSE))</f>
        <v>THÀNH (Đ)</v>
      </c>
      <c r="AZ50" s="35" t="str">
        <f>IF(AZ16="","",VLOOKUP(AZ16,DanhSach,4,FALSE))</f>
        <v>ÁNH</v>
      </c>
      <c r="BA50" s="35" t="str">
        <f>IF(BA16="","",VLOOKUP(BA16,DanhSach,4,FALSE))</f>
        <v>KHOA (TIN)</v>
      </c>
      <c r="BB50" s="35"/>
      <c r="BC50" s="35"/>
      <c r="BD50" s="35"/>
      <c r="BE50" s="35"/>
      <c r="BF50" s="35"/>
      <c r="BG50" s="35"/>
      <c r="BH50" s="35"/>
      <c r="BI50" s="35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</row>
    <row r="51" spans="1:77" ht="15.75" customHeight="1" x14ac:dyDescent="0.2">
      <c r="A51" s="32"/>
      <c r="B51" s="45">
        <v>4</v>
      </c>
      <c r="C51" s="35" t="str">
        <f>IF(C17="","",VLOOKUP(C17,DanhSach,4,FALSE))</f>
        <v>THƠ</v>
      </c>
      <c r="D51" s="35" t="str">
        <f>IF(D17="","",VLOOKUP(D17,DanhSach,4,FALSE))</f>
        <v>M.THI</v>
      </c>
      <c r="E51" s="35" t="str">
        <f>IF(E17="","",VLOOKUP(E17,DanhSach,4,FALSE))</f>
        <v>HIỆP(TD)</v>
      </c>
      <c r="F51" s="35" t="str">
        <f>IF(F17="","",VLOOKUP(F17,DanhSach,4,FALSE))</f>
        <v>CƯỜNG (TD)</v>
      </c>
      <c r="G51" s="35" t="str">
        <f>IF(G17="","",VLOOKUP(G17,DanhSach,4,FALSE))</f>
        <v>THU BA</v>
      </c>
      <c r="H51" s="35" t="str">
        <f>IF(H17="","",VLOOKUP(H17,DanhSach,4,FALSE))</f>
        <v>NGHĨA</v>
      </c>
      <c r="I51" s="35" t="str">
        <f>IF(I17="","",VLOOKUP(I17,DanhSach,4,FALSE))</f>
        <v>TUAN (TD)</v>
      </c>
      <c r="J51" s="35" t="str">
        <f>IF(J17="","",VLOOKUP(J17,DanhSach,4,FALSE))</f>
        <v>Vy</v>
      </c>
      <c r="K51" s="35" t="str">
        <f>IF(K17="","",VLOOKUP(K17,DanhSach,4,FALSE))</f>
        <v>Duy</v>
      </c>
      <c r="L51" s="35" t="str">
        <f>IF(L17="","",VLOOKUP(L17,DanhSach,4,FALSE))</f>
        <v>NHUNG</v>
      </c>
      <c r="M51" s="35" t="str">
        <f>IF(M17="","",VLOOKUP(M17,DanhSach,4,FALSE))</f>
        <v>HẠNH (T)</v>
      </c>
      <c r="N51" s="35" t="str">
        <f>IF(N17="","",VLOOKUP(N17,DanhSach,4,FALSE))</f>
        <v>VĨNH</v>
      </c>
      <c r="O51" s="35" t="str">
        <f>IF(O17="","",VLOOKUP(O17,DanhSach,4,FALSE))</f>
        <v>HẢI (TD)</v>
      </c>
      <c r="P51" s="35" t="str">
        <f>IF(P17="","",VLOOKUP(P17,DanhSach,4,FALSE))</f>
        <v>HÙNG (TH)</v>
      </c>
      <c r="Q51" s="35" t="str">
        <f>IF(Q17="","",VLOOKUP(Q17,DanhSach,4,FALSE))</f>
        <v>DUNG</v>
      </c>
      <c r="R51" s="35" t="str">
        <f>IF(R17="","",VLOOKUP(R17,DanhSach,4,FALSE))</f>
        <v/>
      </c>
      <c r="S51" s="35" t="str">
        <f>IF(S17="","",VLOOKUP(S17,DanhSach,4,FALSE))</f>
        <v/>
      </c>
      <c r="T51" s="35"/>
      <c r="U51" s="35"/>
      <c r="V51" s="35" t="str">
        <f>IF(V17="","",VLOOKUP(V17,DanhSach,4,FALSE))</f>
        <v>KHÔI</v>
      </c>
      <c r="W51" s="35" t="str">
        <f>IF(W17="","",VLOOKUP(W17,DanhSach,4,FALSE))</f>
        <v>TRAN</v>
      </c>
      <c r="X51" s="35" t="str">
        <f>IF(X17="","",VLOOKUP(X17,DanhSach,4,FALSE))</f>
        <v>QUẢNG(T)</v>
      </c>
      <c r="Y51" s="35" t="str">
        <f>IF(Y17="","",VLOOKUP(Y17,DanhSach,4,FALSE))</f>
        <v>B.PHƯƠNG</v>
      </c>
      <c r="Z51" s="35" t="str">
        <f>IF(Z17="","",VLOOKUP(Z17,DanhSach,4,FALSE))</f>
        <v>HƯNG</v>
      </c>
      <c r="AA51" s="35" t="str">
        <f>IF(AA17="","",VLOOKUP(AA17,DanhSach,4,FALSE))</f>
        <v>NHƯ</v>
      </c>
      <c r="AB51" s="35" t="str">
        <f>IF(AB17="","",VLOOKUP(AB17,DanhSach,4,FALSE))</f>
        <v>THẢO (QP)</v>
      </c>
      <c r="AC51" s="35" t="str">
        <f>IF(AC17="","",VLOOKUP(AC17,DanhSach,4,FALSE))</f>
        <v>TÂM</v>
      </c>
      <c r="AD51" s="35" t="str">
        <f>IF(AD17="","",VLOOKUP(AD17,DanhSach,4,FALSE))</f>
        <v>HƯỜNG</v>
      </c>
      <c r="AE51" s="35" t="str">
        <f>IF(AE17="","",VLOOKUP(AE17,DanhSach,4,FALSE))</f>
        <v>CHẤT</v>
      </c>
      <c r="AF51" s="35" t="str">
        <f>IF(AF17="","",VLOOKUP(AF17,DanhSach,4,FALSE))</f>
        <v>THẢO</v>
      </c>
      <c r="AG51" s="35" t="str">
        <f>IF(AG17="","",VLOOKUP(AG17,DanhSach,4,FALSE))</f>
        <v>M. THANH</v>
      </c>
      <c r="AH51" s="35" t="str">
        <f>IF(AH17="","",VLOOKUP(AH17,DanhSach,4,FALSE))</f>
        <v>TUỆ</v>
      </c>
      <c r="AI51" s="35" t="str">
        <f>IF(AI17="","",VLOOKUP(AI17,DanhSach,4,FALSE))</f>
        <v>HẢI ( SỬ)</v>
      </c>
      <c r="AJ51" s="35" t="str">
        <f>IF(AJ17="","",VLOOKUP(AJ17,DanhSach,4,FALSE))</f>
        <v/>
      </c>
      <c r="AK51" s="35" t="str">
        <f>IF(AK17="","",VLOOKUP(AK17,DanhSach,4,FALSE))</f>
        <v/>
      </c>
      <c r="AL51" s="35" t="str">
        <f>IF(AL17="","",VLOOKUP(AL17,DanhSach,4,FALSE))</f>
        <v/>
      </c>
      <c r="AM51" s="35" t="str">
        <f>IF(AM17="","",VLOOKUP(AM17,DanhSach,4,FALSE))</f>
        <v>TRÍ</v>
      </c>
      <c r="AN51" s="35" t="str">
        <f>IF(AN17="","",VLOOKUP(AN17,DanhSach,4,FALSE))</f>
        <v>KHUYÊN</v>
      </c>
      <c r="AO51" s="35" t="str">
        <f>IF(AO17="","",VLOOKUP(AO17,DanhSach,4,FALSE))</f>
        <v>Linh (TV)(HN)</v>
      </c>
      <c r="AP51" s="35" t="str">
        <f>IF(AP17="","",VLOOKUP(AP17,DanhSach,4,FALSE))</f>
        <v>ÁNH</v>
      </c>
      <c r="AQ51" s="35" t="str">
        <f>IF(AQ17="","",VLOOKUP(AQ17,DanhSach,4,FALSE))</f>
        <v>L.Anh</v>
      </c>
      <c r="AR51" s="35" t="str">
        <f>IF(AR17="","",VLOOKUP(AR17,DanhSach,4,FALSE))</f>
        <v>HẬU</v>
      </c>
      <c r="AS51" s="35" t="str">
        <f>IF(AS17="","",VLOOKUP(AS17,DanhSach,4,FALSE))</f>
        <v>THU (AV)</v>
      </c>
      <c r="AT51" s="35" t="str">
        <f>IF(AT17="","",VLOOKUP(AT17,DanhSach,4,FALSE))</f>
        <v>HẰNG (KTPL)</v>
      </c>
      <c r="AU51" s="35" t="str">
        <f>IF(AU17="","",VLOOKUP(AU17,DanhSach,4,FALSE))</f>
        <v>TIÊN</v>
      </c>
      <c r="AV51" s="35" t="str">
        <f>IF(AV17="","",VLOOKUP(AV17,DanhSach,4,FALSE))</f>
        <v>THU (KTPL)</v>
      </c>
      <c r="AW51" s="35" t="str">
        <f>IF(AW17="","",VLOOKUP(AW17,DanhSach,4,FALSE))</f>
        <v>MY</v>
      </c>
      <c r="AX51" s="35" t="str">
        <f>IF(AX17="","",VLOOKUP(AX17,DanhSach,4,FALSE))</f>
        <v>D.LINH (T)</v>
      </c>
      <c r="AY51" s="35" t="str">
        <f>IF(AY17="","",VLOOKUP(AY17,DanhSach,4,FALSE))</f>
        <v>LÀI</v>
      </c>
      <c r="AZ51" s="35" t="str">
        <f>IF(AZ17="","",VLOOKUP(AZ17,DanhSach,4,FALSE))</f>
        <v>Tùng</v>
      </c>
      <c r="BA51" s="35" t="str">
        <f>IF(BA17="","",VLOOKUP(BA17,DanhSach,4,FALSE))</f>
        <v>KHOA (TIN)</v>
      </c>
      <c r="BB51" s="35"/>
      <c r="BC51" s="35"/>
      <c r="BD51" s="35"/>
      <c r="BE51" s="35"/>
      <c r="BF51" s="35"/>
      <c r="BG51" s="35"/>
      <c r="BH51" s="35"/>
      <c r="BI51" s="35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</row>
    <row r="52" spans="1:77" ht="15.75" customHeight="1" thickBot="1" x14ac:dyDescent="0.25">
      <c r="A52" s="39"/>
      <c r="B52" s="46">
        <v>5</v>
      </c>
      <c r="C52" s="41" t="str">
        <f>IF(C18="","",VLOOKUP(C18,DanhSach,4,FALSE))</f>
        <v/>
      </c>
      <c r="D52" s="41" t="str">
        <f>IF(D18="","",VLOOKUP(D18,DanhSach,4,FALSE))</f>
        <v/>
      </c>
      <c r="E52" s="41" t="str">
        <f>IF(E18="","",VLOOKUP(E18,DanhSach,4,FALSE))</f>
        <v/>
      </c>
      <c r="F52" s="41" t="str">
        <f>IF(F18="","",VLOOKUP(F18,DanhSach,4,FALSE))</f>
        <v/>
      </c>
      <c r="G52" s="41" t="str">
        <f>IF(G18="","",VLOOKUP(G18,DanhSach,4,FALSE))</f>
        <v/>
      </c>
      <c r="H52" s="41" t="str">
        <f>IF(H18="","",VLOOKUP(H18,DanhSach,4,FALSE))</f>
        <v/>
      </c>
      <c r="I52" s="41" t="str">
        <f>IF(I18="","",VLOOKUP(I18,DanhSach,4,FALSE))</f>
        <v/>
      </c>
      <c r="J52" s="41" t="str">
        <f>IF(J18="","",VLOOKUP(J18,DanhSach,4,FALSE))</f>
        <v/>
      </c>
      <c r="K52" s="41" t="str">
        <f>IF(K18="","",VLOOKUP(K18,DanhSach,4,FALSE))</f>
        <v/>
      </c>
      <c r="L52" s="41" t="str">
        <f>IF(L18="","",VLOOKUP(L18,DanhSach,4,FALSE))</f>
        <v/>
      </c>
      <c r="M52" s="41" t="str">
        <f>IF(M18="","",VLOOKUP(M18,DanhSach,4,FALSE))</f>
        <v/>
      </c>
      <c r="N52" s="41" t="str">
        <f>IF(N18="","",VLOOKUP(N18,DanhSach,4,FALSE))</f>
        <v/>
      </c>
      <c r="O52" s="41" t="str">
        <f>IF(O18="","",VLOOKUP(O18,DanhSach,4,FALSE))</f>
        <v/>
      </c>
      <c r="P52" s="41" t="str">
        <f>IF(P18="","",VLOOKUP(P18,DanhSach,4,FALSE))</f>
        <v/>
      </c>
      <c r="Q52" s="41" t="str">
        <f>IF(Q18="","",VLOOKUP(Q18,DanhSach,4,FALSE))</f>
        <v/>
      </c>
      <c r="R52" s="41" t="str">
        <f>IF(R18="","",VLOOKUP(R18,DanhSach,4,FALSE))</f>
        <v/>
      </c>
      <c r="S52" s="41" t="str">
        <f>IF(S18="","",VLOOKUP(S18,DanhSach,4,FALSE))</f>
        <v/>
      </c>
      <c r="T52" s="41"/>
      <c r="U52" s="41"/>
      <c r="V52" s="41" t="str">
        <f>IF(V18="","",VLOOKUP(V18,DanhSach,4,FALSE))</f>
        <v/>
      </c>
      <c r="W52" s="41" t="str">
        <f>IF(W18="","",VLOOKUP(W18,DanhSach,4,FALSE))</f>
        <v/>
      </c>
      <c r="X52" s="41" t="str">
        <f>IF(X18="","",VLOOKUP(X18,DanhSach,4,FALSE))</f>
        <v/>
      </c>
      <c r="Y52" s="41" t="str">
        <f>IF(Y18="","",VLOOKUP(Y18,DanhSach,4,FALSE))</f>
        <v/>
      </c>
      <c r="Z52" s="41" t="str">
        <f>IF(Z18="","",VLOOKUP(Z18,DanhSach,4,FALSE))</f>
        <v/>
      </c>
      <c r="AA52" s="41" t="str">
        <f>IF(AA18="","",VLOOKUP(AA18,DanhSach,4,FALSE))</f>
        <v/>
      </c>
      <c r="AB52" s="41" t="str">
        <f>IF(AB18="","",VLOOKUP(AB18,DanhSach,4,FALSE))</f>
        <v/>
      </c>
      <c r="AC52" s="41" t="str">
        <f>IF(AC18="","",VLOOKUP(AC18,DanhSach,4,FALSE))</f>
        <v/>
      </c>
      <c r="AD52" s="41" t="str">
        <f>IF(AD18="","",VLOOKUP(AD18,DanhSach,4,FALSE))</f>
        <v/>
      </c>
      <c r="AE52" s="41" t="str">
        <f>IF(AE18="","",VLOOKUP(AE18,DanhSach,4,FALSE))</f>
        <v/>
      </c>
      <c r="AF52" s="41" t="str">
        <f>IF(AF18="","",VLOOKUP(AF18,DanhSach,4,FALSE))</f>
        <v/>
      </c>
      <c r="AG52" s="41" t="str">
        <f>IF(AG18="","",VLOOKUP(AG18,DanhSach,4,FALSE))</f>
        <v/>
      </c>
      <c r="AH52" s="41" t="str">
        <f>IF(AH18="","",VLOOKUP(AH18,DanhSach,4,FALSE))</f>
        <v/>
      </c>
      <c r="AI52" s="41" t="str">
        <f>IF(AI18="","",VLOOKUP(AI18,DanhSach,4,FALSE))</f>
        <v/>
      </c>
      <c r="AJ52" s="41" t="str">
        <f>IF(AJ18="","",VLOOKUP(AJ18,DanhSach,4,FALSE))</f>
        <v/>
      </c>
      <c r="AK52" s="41" t="str">
        <f>IF(AK18="","",VLOOKUP(AK18,DanhSach,4,FALSE))</f>
        <v/>
      </c>
      <c r="AL52" s="41" t="str">
        <f>IF(AL18="","",VLOOKUP(AL18,DanhSach,4,FALSE))</f>
        <v/>
      </c>
      <c r="AM52" s="41" t="str">
        <f>IF(AM18="","",VLOOKUP(AM18,DanhSach,4,FALSE))</f>
        <v/>
      </c>
      <c r="AN52" s="41" t="str">
        <f>IF(AN18="","",VLOOKUP(AN18,DanhSach,4,FALSE))</f>
        <v/>
      </c>
      <c r="AO52" s="41" t="str">
        <f>IF(AO18="","",VLOOKUP(AO18,DanhSach,4,FALSE))</f>
        <v/>
      </c>
      <c r="AP52" s="41" t="str">
        <f>IF(AP18="","",VLOOKUP(AP18,DanhSach,4,FALSE))</f>
        <v/>
      </c>
      <c r="AQ52" s="41" t="str">
        <f>IF(AQ18="","",VLOOKUP(AQ18,DanhSach,4,FALSE))</f>
        <v/>
      </c>
      <c r="AR52" s="41" t="str">
        <f>IF(AR18="","",VLOOKUP(AR18,DanhSach,4,FALSE))</f>
        <v/>
      </c>
      <c r="AS52" s="41" t="str">
        <f>IF(AS18="","",VLOOKUP(AS18,DanhSach,4,FALSE))</f>
        <v/>
      </c>
      <c r="AT52" s="41" t="str">
        <f>IF(AT18="","",VLOOKUP(AT18,DanhSach,4,FALSE))</f>
        <v/>
      </c>
      <c r="AU52" s="41" t="str">
        <f>IF(AU18="","",VLOOKUP(AU18,DanhSach,4,FALSE))</f>
        <v/>
      </c>
      <c r="AV52" s="41" t="str">
        <f>IF(AV18="","",VLOOKUP(AV18,DanhSach,4,FALSE))</f>
        <v/>
      </c>
      <c r="AW52" s="41" t="str">
        <f>IF(AW18="","",VLOOKUP(AW18,DanhSach,4,FALSE))</f>
        <v/>
      </c>
      <c r="AX52" s="41" t="str">
        <f>IF(AX18="","",VLOOKUP(AX18,DanhSach,4,FALSE))</f>
        <v/>
      </c>
      <c r="AY52" s="41" t="str">
        <f>IF(AY18="","",VLOOKUP(AY18,DanhSach,4,FALSE))</f>
        <v/>
      </c>
      <c r="AZ52" s="41" t="str">
        <f>IF(AZ18="","",VLOOKUP(AZ18,DanhSach,4,FALSE))</f>
        <v/>
      </c>
      <c r="BA52" s="41" t="str">
        <f>IF(BA18="","",VLOOKUP(BA18,DanhSach,4,FALSE))</f>
        <v/>
      </c>
      <c r="BB52" s="41"/>
      <c r="BC52" s="41"/>
      <c r="BD52" s="41"/>
      <c r="BE52" s="41"/>
      <c r="BF52" s="41"/>
      <c r="BG52" s="41"/>
      <c r="BH52" s="41"/>
      <c r="BI52" s="41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</row>
    <row r="53" spans="1:77" ht="15.75" customHeight="1" x14ac:dyDescent="0.2">
      <c r="A53" s="42" t="s">
        <v>219</v>
      </c>
      <c r="B53" s="43">
        <v>1</v>
      </c>
      <c r="C53" s="44" t="str">
        <f>IF(C19="","",VLOOKUP(C19,DanhSach,4,FALSE))</f>
        <v>ĐÀO</v>
      </c>
      <c r="D53" s="44" t="str">
        <f>IF(D19="","",VLOOKUP(D19,DanhSach,4,FALSE))</f>
        <v>Phú</v>
      </c>
      <c r="E53" s="44" t="str">
        <f>IF(E19="","",VLOOKUP(E19,DanhSach,4,FALSE))</f>
        <v>THUỶ</v>
      </c>
      <c r="F53" s="44" t="str">
        <f>IF(F19="","",VLOOKUP(F19,DanhSach,4,FALSE))</f>
        <v>TUỆ</v>
      </c>
      <c r="G53" s="44" t="str">
        <f>IF(G19="","",VLOOKUP(G19,DanhSach,4,FALSE))</f>
        <v>THÊM</v>
      </c>
      <c r="H53" s="44" t="str">
        <f>IF(H19="","",VLOOKUP(H19,DanhSach,4,FALSE))</f>
        <v>NGHĨA</v>
      </c>
      <c r="I53" s="44" t="str">
        <f>IF(I19="","",VLOOKUP(I19,DanhSach,4,FALSE))</f>
        <v>TRÍ</v>
      </c>
      <c r="J53" s="44" t="str">
        <f>IF(J19="","",VLOOKUP(J19,DanhSach,4,FALSE))</f>
        <v>QUANG (L)</v>
      </c>
      <c r="K53" s="44" t="str">
        <f>IF(K19="","",VLOOKUP(K19,DanhSach,4,FALSE))</f>
        <v>Duy</v>
      </c>
      <c r="L53" s="44" t="str">
        <f>IF(L19="","",VLOOKUP(L19,DanhSach,4,FALSE))</f>
        <v>VĨNH</v>
      </c>
      <c r="M53" s="44" t="str">
        <f>IF(M19="","",VLOOKUP(M19,DanhSach,4,FALSE))</f>
        <v>SƯƠNG</v>
      </c>
      <c r="N53" s="44" t="str">
        <f>IF(N19="","",VLOOKUP(N19,DanhSach,4,FALSE))</f>
        <v>THẮM</v>
      </c>
      <c r="O53" s="44" t="str">
        <f>IF(O19="","",VLOOKUP(O19,DanhSach,4,FALSE))</f>
        <v>HẠNH (T)</v>
      </c>
      <c r="P53" s="44" t="str">
        <f>IF(P19="","",VLOOKUP(P19,DanhSach,4,FALSE))</f>
        <v>LÀI</v>
      </c>
      <c r="Q53" s="44" t="str">
        <f>IF(Q19="","",VLOOKUP(Q19,DanhSach,4,FALSE))</f>
        <v>HÙNG (AV)</v>
      </c>
      <c r="R53" s="44" t="str">
        <f>IF(R19="","",VLOOKUP(R19,DanhSach,4,FALSE))</f>
        <v/>
      </c>
      <c r="S53" s="44" t="str">
        <f>IF(S19="","",VLOOKUP(S19,DanhSach,4,FALSE))</f>
        <v/>
      </c>
      <c r="T53" s="44"/>
      <c r="U53" s="44"/>
      <c r="V53" s="44" t="str">
        <f>IF(V19="","",VLOOKUP(V19,DanhSach,4,FALSE))</f>
        <v>HẠNH (L)</v>
      </c>
      <c r="W53" s="44" t="str">
        <f>IF(W19="","",VLOOKUP(W19,DanhSach,4,FALSE))</f>
        <v>NHƯ</v>
      </c>
      <c r="X53" s="44" t="str">
        <f>IF(X19="","",VLOOKUP(X19,DanhSach,4,FALSE))</f>
        <v>NGÂN</v>
      </c>
      <c r="Y53" s="44" t="str">
        <f>IF(Y19="","",VLOOKUP(Y19,DanhSach,4,FALSE))</f>
        <v>D.LINH (T)</v>
      </c>
      <c r="Z53" s="44" t="str">
        <f>IF(Z19="","",VLOOKUP(Z19,DanhSach,4,FALSE))</f>
        <v>DIẾN</v>
      </c>
      <c r="AA53" s="44" t="str">
        <f>IF(AA19="","",VLOOKUP(AA19,DanhSach,4,FALSE))</f>
        <v>HẢI ( SỬ)</v>
      </c>
      <c r="AB53" s="44" t="str">
        <f>IF(AB19="","",VLOOKUP(AB19,DanhSach,4,FALSE))</f>
        <v>THẢO</v>
      </c>
      <c r="AC53" s="44" t="str">
        <f>IF(AC19="","",VLOOKUP(AC19,DanhSach,4,FALSE))</f>
        <v>MINH (H)</v>
      </c>
      <c r="AD53" s="44" t="str">
        <f>IF(AD19="","",VLOOKUP(AD19,DanhSach,4,FALSE))</f>
        <v>T.GIANG</v>
      </c>
      <c r="AE53" s="44" t="str">
        <f>IF(AE19="","",VLOOKUP(AE19,DanhSach,4,FALSE))</f>
        <v>VÂN (L)</v>
      </c>
      <c r="AF53" s="44" t="str">
        <f>IF(AF19="","",VLOOKUP(AF19,DanhSach,4,FALSE))</f>
        <v>TRAN</v>
      </c>
      <c r="AG53" s="44" t="str">
        <f>IF(AG19="","",VLOOKUP(AG19,DanhSach,4,FALSE))</f>
        <v>HẰNG (KTPL)</v>
      </c>
      <c r="AH53" s="44" t="str">
        <f>IF(AH19="","",VLOOKUP(AH19,DanhSach,4,FALSE))</f>
        <v>THƯ (V)</v>
      </c>
      <c r="AI53" s="44" t="str">
        <f>IF(AI19="","",VLOOKUP(AI19,DanhSach,4,FALSE))</f>
        <v>M. THANH</v>
      </c>
      <c r="AJ53" s="44" t="str">
        <f>IF(AJ19="","",VLOOKUP(AJ19,DanhSach,4,FALSE))</f>
        <v/>
      </c>
      <c r="AK53" s="44" t="str">
        <f>IF(AK19="","",VLOOKUP(AK19,DanhSach,4,FALSE))</f>
        <v/>
      </c>
      <c r="AL53" s="44" t="str">
        <f>IF(AL19="","",VLOOKUP(AL19,DanhSach,4,FALSE))</f>
        <v/>
      </c>
      <c r="AM53" s="44" t="str">
        <f>IF(AM19="","",VLOOKUP(AM19,DanhSach,4,FALSE))</f>
        <v>DIỄM</v>
      </c>
      <c r="AN53" s="44" t="str">
        <f>IF(AN19="","",VLOOKUP(AN19,DanhSach,4,FALSE))</f>
        <v>TÂM</v>
      </c>
      <c r="AO53" s="44" t="str">
        <f>IF(AO19="","",VLOOKUP(AO19,DanhSach,4,FALSE))</f>
        <v>THU (KTPL)</v>
      </c>
      <c r="AP53" s="44" t="str">
        <f>IF(AP19="","",VLOOKUP(AP19,DanhSach,4,FALSE))</f>
        <v>CƯỜNG (TH)</v>
      </c>
      <c r="AQ53" s="44" t="str">
        <f>IF(AQ19="","",VLOOKUP(AQ19,DanhSach,4,FALSE))</f>
        <v>HÂN</v>
      </c>
      <c r="AR53" s="44" t="str">
        <f>IF(AR19="","",VLOOKUP(AR19,DanhSach,4,FALSE))</f>
        <v>Nguyện</v>
      </c>
      <c r="AS53" s="44" t="str">
        <f>IF(AS19="","",VLOOKUP(AS19,DanhSach,4,FALSE))</f>
        <v>THU (AV)</v>
      </c>
      <c r="AT53" s="44" t="str">
        <f>IF(AT19="","",VLOOKUP(AT19,DanhSach,4,FALSE))</f>
        <v>MY</v>
      </c>
      <c r="AU53" s="44" t="str">
        <f>IF(AU19="","",VLOOKUP(AU19,DanhSach,4,FALSE))</f>
        <v>TIÊN</v>
      </c>
      <c r="AV53" s="44" t="str">
        <f>IF(AV19="","",VLOOKUP(AV19,DanhSach,4,FALSE))</f>
        <v>L.Anh</v>
      </c>
      <c r="AW53" s="44" t="str">
        <f>IF(AW19="","",VLOOKUP(AW19,DanhSach,4,FALSE))</f>
        <v>TỨ</v>
      </c>
      <c r="AX53" s="44" t="str">
        <f>IF(AX19="","",VLOOKUP(AX19,DanhSach,4,FALSE))</f>
        <v>KHOA (TIN)</v>
      </c>
      <c r="AY53" s="44" t="str">
        <f>IF(AY19="","",VLOOKUP(AY19,DanhSach,4,FALSE))</f>
        <v>Bao Phuong</v>
      </c>
      <c r="AZ53" s="44" t="str">
        <f>IF(AZ19="","",VLOOKUP(AZ19,DanhSach,4,FALSE))</f>
        <v>THẢO (CN)</v>
      </c>
      <c r="BA53" s="44" t="str">
        <f>IF(BA19="","",VLOOKUP(BA19,DanhSach,4,FALSE))</f>
        <v>UYÊN</v>
      </c>
      <c r="BB53" s="44"/>
      <c r="BC53" s="44"/>
      <c r="BD53" s="44"/>
      <c r="BE53" s="44"/>
      <c r="BF53" s="44"/>
      <c r="BG53" s="44"/>
      <c r="BH53" s="44"/>
      <c r="BI53" s="44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</row>
    <row r="54" spans="1:77" ht="15.75" customHeight="1" x14ac:dyDescent="0.2">
      <c r="A54" s="32" t="s">
        <v>193</v>
      </c>
      <c r="B54" s="45">
        <v>2</v>
      </c>
      <c r="C54" s="35" t="str">
        <f>IF(C20="","",VLOOKUP(C20,DanhSach,4,FALSE))</f>
        <v>ĐIỀN</v>
      </c>
      <c r="D54" s="35" t="str">
        <f>IF(D20="","",VLOOKUP(D20,DanhSach,4,FALSE))</f>
        <v>Phú</v>
      </c>
      <c r="E54" s="35" t="str">
        <f>IF(E20="","",VLOOKUP(E20,DanhSach,4,FALSE))</f>
        <v>THUỶ</v>
      </c>
      <c r="F54" s="35" t="str">
        <f>IF(F20="","",VLOOKUP(F20,DanhSach,4,FALSE))</f>
        <v>HÙNG (AV)</v>
      </c>
      <c r="G54" s="35" t="str">
        <f>IF(G20="","",VLOOKUP(G20,DanhSach,4,FALSE))</f>
        <v>THÊM</v>
      </c>
      <c r="H54" s="35" t="str">
        <f>IF(H20="","",VLOOKUP(H20,DanhSach,4,FALSE))</f>
        <v>NGHĨA</v>
      </c>
      <c r="I54" s="35" t="str">
        <f>IF(I20="","",VLOOKUP(I20,DanhSach,4,FALSE))</f>
        <v>TRÍ</v>
      </c>
      <c r="J54" s="35" t="str">
        <f>IF(J20="","",VLOOKUP(J20,DanhSach,4,FALSE))</f>
        <v>QUANG (L)</v>
      </c>
      <c r="K54" s="35" t="str">
        <f>IF(K20="","",VLOOKUP(K20,DanhSach,4,FALSE))</f>
        <v>TRỌNG</v>
      </c>
      <c r="L54" s="35" t="str">
        <f>IF(L20="","",VLOOKUP(L20,DanhSach,4,FALSE))</f>
        <v>NHUNG</v>
      </c>
      <c r="M54" s="35" t="str">
        <f>IF(M20="","",VLOOKUP(M20,DanhSach,4,FALSE))</f>
        <v>YẾN</v>
      </c>
      <c r="N54" s="35" t="str">
        <f>IF(N20="","",VLOOKUP(N20,DanhSach,4,FALSE))</f>
        <v>THẮM</v>
      </c>
      <c r="O54" s="35" t="str">
        <f>IF(O20="","",VLOOKUP(O20,DanhSach,4,FALSE))</f>
        <v>HẠNH (T)</v>
      </c>
      <c r="P54" s="35" t="str">
        <f>IF(P20="","",VLOOKUP(P20,DanhSach,4,FALSE))</f>
        <v>B.PHƯƠNG</v>
      </c>
      <c r="Q54" s="35" t="str">
        <f>IF(Q20="","",VLOOKUP(Q20,DanhSach,4,FALSE))</f>
        <v>DIỆM (DP)</v>
      </c>
      <c r="R54" s="35" t="str">
        <f>IF(R20="","",VLOOKUP(R20,DanhSach,4,FALSE))</f>
        <v/>
      </c>
      <c r="S54" s="35" t="str">
        <f>IF(S20="","",VLOOKUP(S20,DanhSach,4,FALSE))</f>
        <v/>
      </c>
      <c r="T54" s="35"/>
      <c r="U54" s="35"/>
      <c r="V54" s="35" t="str">
        <f>IF(V20="","",VLOOKUP(V20,DanhSach,4,FALSE))</f>
        <v>HẬU</v>
      </c>
      <c r="W54" s="35" t="str">
        <f>IF(W20="","",VLOOKUP(W20,DanhSach,4,FALSE))</f>
        <v>NGÂN</v>
      </c>
      <c r="X54" s="35" t="str">
        <f>IF(X20="","",VLOOKUP(X20,DanhSach,4,FALSE))</f>
        <v>Bao Phuong</v>
      </c>
      <c r="Y54" s="35" t="str">
        <f>IF(Y20="","",VLOOKUP(Y20,DanhSach,4,FALSE))</f>
        <v>DIẾN</v>
      </c>
      <c r="Z54" s="35" t="str">
        <f>IF(Z20="","",VLOOKUP(Z20,DanhSach,4,FALSE))</f>
        <v>L.Anh</v>
      </c>
      <c r="AA54" s="35" t="str">
        <f>IF(AA20="","",VLOOKUP(AA20,DanhSach,4,FALSE))</f>
        <v>NHƯ</v>
      </c>
      <c r="AB54" s="35" t="str">
        <f>IF(AB20="","",VLOOKUP(AB20,DanhSach,4,FALSE))</f>
        <v>VÂN (L)</v>
      </c>
      <c r="AC54" s="35" t="str">
        <f>IF(AC20="","",VLOOKUP(AC20,DanhSach,4,FALSE))</f>
        <v>HOÀNG</v>
      </c>
      <c r="AD54" s="35" t="str">
        <f>IF(AD20="","",VLOOKUP(AD20,DanhSach,4,FALSE))</f>
        <v>HẠNH (L)</v>
      </c>
      <c r="AE54" s="35" t="str">
        <f>IF(AE20="","",VLOOKUP(AE20,DanhSach,4,FALSE))</f>
        <v>D.LINH (T)</v>
      </c>
      <c r="AF54" s="35" t="str">
        <f>IF(AF20="","",VLOOKUP(AF20,DanhSach,4,FALSE))</f>
        <v>TRAN</v>
      </c>
      <c r="AG54" s="35" t="str">
        <f>IF(AG20="","",VLOOKUP(AG20,DanhSach,4,FALSE))</f>
        <v>M. THANH</v>
      </c>
      <c r="AH54" s="35" t="str">
        <f>IF(AH20="","",VLOOKUP(AH20,DanhSach,4,FALSE))</f>
        <v>CHẤT</v>
      </c>
      <c r="AI54" s="35" t="str">
        <f>IF(AI20="","",VLOOKUP(AI20,DanhSach,4,FALSE))</f>
        <v>HẢI ( SỬ)</v>
      </c>
      <c r="AJ54" s="35" t="str">
        <f>IF(AJ20="","",VLOOKUP(AJ20,DanhSach,4,FALSE))</f>
        <v/>
      </c>
      <c r="AK54" s="35" t="str">
        <f>IF(AK20="","",VLOOKUP(AK20,DanhSach,4,FALSE))</f>
        <v/>
      </c>
      <c r="AL54" s="35" t="str">
        <f>IF(AL20="","",VLOOKUP(AL20,DanhSach,4,FALSE))</f>
        <v/>
      </c>
      <c r="AM54" s="35" t="str">
        <f>IF(AM20="","",VLOOKUP(AM20,DanhSach,4,FALSE))</f>
        <v>DIỄM</v>
      </c>
      <c r="AN54" s="35" t="str">
        <f>IF(AN20="","",VLOOKUP(AN20,DanhSach,4,FALSE))</f>
        <v>TÂM</v>
      </c>
      <c r="AO54" s="35" t="str">
        <f>IF(AO20="","",VLOOKUP(AO20,DanhSach,4,FALSE))</f>
        <v>Linh (TV)</v>
      </c>
      <c r="AP54" s="35" t="str">
        <f>IF(AP20="","",VLOOKUP(AP20,DanhSach,4,FALSE))</f>
        <v>CƯỜNG (TH)</v>
      </c>
      <c r="AQ54" s="35" t="str">
        <f>IF(AQ20="","",VLOOKUP(AQ20,DanhSach,4,FALSE))</f>
        <v>HÂN</v>
      </c>
      <c r="AR54" s="35" t="str">
        <f>IF(AR20="","",VLOOKUP(AR20,DanhSach,4,FALSE))</f>
        <v>THU (AV)</v>
      </c>
      <c r="AS54" s="35" t="str">
        <f>IF(AS20="","",VLOOKUP(AS20,DanhSach,4,FALSE))</f>
        <v>ĐÀO</v>
      </c>
      <c r="AT54" s="35" t="str">
        <f>IF(AT20="","",VLOOKUP(AT20,DanhSach,4,FALSE))</f>
        <v>VĨNH</v>
      </c>
      <c r="AU54" s="35" t="str">
        <f>IF(AU20="","",VLOOKUP(AU20,DanhSach,4,FALSE))</f>
        <v>KHÔI</v>
      </c>
      <c r="AV54" s="35" t="str">
        <f>IF(AV20="","",VLOOKUP(AV20,DanhSach,4,FALSE))</f>
        <v>MY</v>
      </c>
      <c r="AW54" s="35" t="str">
        <f>IF(AW20="","",VLOOKUP(AW20,DanhSach,4,FALSE))</f>
        <v>Duy</v>
      </c>
      <c r="AX54" s="35" t="str">
        <f>IF(AX20="","",VLOOKUP(AX20,DanhSach,4,FALSE))</f>
        <v>KHOA (TIN)</v>
      </c>
      <c r="AY54" s="35" t="str">
        <f>IF(AY20="","",VLOOKUP(AY20,DanhSach,4,FALSE))</f>
        <v>THẢO (QP)</v>
      </c>
      <c r="AZ54" s="35" t="str">
        <f>IF(AZ20="","",VLOOKUP(AZ20,DanhSach,4,FALSE))</f>
        <v>THẢO (CN)</v>
      </c>
      <c r="BA54" s="35" t="str">
        <f>IF(BA20="","",VLOOKUP(BA20,DanhSach,4,FALSE))</f>
        <v>UYÊN</v>
      </c>
      <c r="BB54" s="35"/>
      <c r="BC54" s="35"/>
      <c r="BD54" s="35"/>
      <c r="BE54" s="35"/>
      <c r="BF54" s="35"/>
      <c r="BG54" s="35"/>
      <c r="BH54" s="35"/>
      <c r="BI54" s="35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</row>
    <row r="55" spans="1:77" ht="15.75" customHeight="1" x14ac:dyDescent="0.2">
      <c r="A55" s="32" t="s">
        <v>223</v>
      </c>
      <c r="B55" s="45">
        <v>3</v>
      </c>
      <c r="C55" s="35" t="str">
        <f>IF(C21="","",VLOOKUP(C21,DanhSach,4,FALSE))</f>
        <v>NGHĨA</v>
      </c>
      <c r="D55" s="35" t="str">
        <f>IF(D21="","",VLOOKUP(D21,DanhSach,4,FALSE))</f>
        <v>QUANG (L)</v>
      </c>
      <c r="E55" s="35" t="str">
        <f>IF(E21="","",VLOOKUP(E21,DanhSach,4,FALSE))</f>
        <v>THU (AV)</v>
      </c>
      <c r="F55" s="35" t="str">
        <f>IF(F21="","",VLOOKUP(F21,DanhSach,4,FALSE))</f>
        <v>BẮC</v>
      </c>
      <c r="G55" s="35" t="str">
        <f>IF(G21="","",VLOOKUP(G21,DanhSach,4,FALSE))</f>
        <v>THU BA</v>
      </c>
      <c r="H55" s="35" t="str">
        <f>IF(H21="","",VLOOKUP(H21,DanhSach,4,FALSE))</f>
        <v>THU (KTPL)</v>
      </c>
      <c r="I55" s="35" t="str">
        <f>IF(I21="","",VLOOKUP(I21,DanhSach,4,FALSE))</f>
        <v>HOÀNG</v>
      </c>
      <c r="J55" s="35" t="str">
        <f>IF(J21="","",VLOOKUP(J21,DanhSach,4,FALSE))</f>
        <v>THÊM</v>
      </c>
      <c r="K55" s="35" t="str">
        <f>IF(K21="","",VLOOKUP(K21,DanhSach,4,FALSE))</f>
        <v>TRỌNG</v>
      </c>
      <c r="L55" s="35" t="str">
        <f>IF(L21="","",VLOOKUP(L21,DanhSach,4,FALSE))</f>
        <v>HẢI ( SỬ)</v>
      </c>
      <c r="M55" s="35" t="str">
        <f>IF(M21="","",VLOOKUP(M21,DanhSach,4,FALSE))</f>
        <v>B.PHƯƠNG</v>
      </c>
      <c r="N55" s="35" t="str">
        <f>IF(N21="","",VLOOKUP(N21,DanhSach,4,FALSE))</f>
        <v>PHÚC(TH)</v>
      </c>
      <c r="O55" s="35" t="str">
        <f>IF(O21="","",VLOOKUP(O21,DanhSach,4,FALSE))</f>
        <v>SƯƠNG</v>
      </c>
      <c r="P55" s="35" t="str">
        <f>IF(P21="","",VLOOKUP(P21,DanhSach,4,FALSE))</f>
        <v>TUỆ</v>
      </c>
      <c r="Q55" s="35" t="str">
        <f>IF(Q21="","",VLOOKUP(Q21,DanhSach,4,FALSE))</f>
        <v>THUỶ</v>
      </c>
      <c r="R55" s="35" t="str">
        <f>IF(R21="","",VLOOKUP(R21,DanhSach,4,FALSE))</f>
        <v/>
      </c>
      <c r="S55" s="35" t="str">
        <f>IF(S21="","",VLOOKUP(S21,DanhSach,4,FALSE))</f>
        <v/>
      </c>
      <c r="T55" s="35"/>
      <c r="U55" s="35"/>
      <c r="V55" s="35" t="str">
        <f>IF(V21="","",VLOOKUP(V21,DanhSach,4,FALSE))</f>
        <v>HƯNG</v>
      </c>
      <c r="W55" s="35" t="str">
        <f>IF(W21="","",VLOOKUP(W21,DanhSach,4,FALSE))</f>
        <v>THẢO (CN)</v>
      </c>
      <c r="X55" s="35" t="str">
        <f>IF(X21="","",VLOOKUP(X21,DanhSach,4,FALSE))</f>
        <v>VĨNH</v>
      </c>
      <c r="Y55" s="35" t="str">
        <f>IF(Y21="","",VLOOKUP(Y21,DanhSach,4,FALSE))</f>
        <v>DIẾN</v>
      </c>
      <c r="Z55" s="35" t="str">
        <f>IF(Z21="","",VLOOKUP(Z21,DanhSach,4,FALSE))</f>
        <v>THƯ (V)</v>
      </c>
      <c r="AA55" s="35" t="str">
        <f>IF(AA21="","",VLOOKUP(AA21,DanhSach,4,FALSE))</f>
        <v>NHƯ</v>
      </c>
      <c r="AB55" s="35" t="str">
        <f>IF(AB21="","",VLOOKUP(AB21,DanhSach,4,FALSE))</f>
        <v>M. THANH</v>
      </c>
      <c r="AC55" s="35" t="str">
        <f>IF(AC21="","",VLOOKUP(AC21,DanhSach,4,FALSE))</f>
        <v>CƯỜNG (TH)</v>
      </c>
      <c r="AD55" s="35" t="str">
        <f>IF(AD21="","",VLOOKUP(AD21,DanhSach,4,FALSE))</f>
        <v>HẠNH (L)</v>
      </c>
      <c r="AE55" s="35" t="str">
        <f>IF(AE21="","",VLOOKUP(AE21,DanhSach,4,FALSE))</f>
        <v>D.LINH (T)</v>
      </c>
      <c r="AF55" s="35" t="str">
        <f>IF(AF21="","",VLOOKUP(AF21,DanhSach,4,FALSE))</f>
        <v>HẰNG (KTPL)</v>
      </c>
      <c r="AG55" s="35" t="str">
        <f>IF(AG21="","",VLOOKUP(AG21,DanhSach,4,FALSE))</f>
        <v>THẢO</v>
      </c>
      <c r="AH55" s="35" t="str">
        <f>IF(AH21="","",VLOOKUP(AH21,DanhSach,4,FALSE))</f>
        <v>TRAN</v>
      </c>
      <c r="AI55" s="35" t="str">
        <f>IF(AI21="","",VLOOKUP(AI21,DanhSach,4,FALSE))</f>
        <v>TÂM</v>
      </c>
      <c r="AJ55" s="35" t="str">
        <f>IF(AJ21="","",VLOOKUP(AJ21,DanhSach,4,FALSE))</f>
        <v/>
      </c>
      <c r="AK55" s="35" t="str">
        <f>IF(AK21="","",VLOOKUP(AK21,DanhSach,4,FALSE))</f>
        <v/>
      </c>
      <c r="AL55" s="35" t="str">
        <f>IF(AL21="","",VLOOKUP(AL21,DanhSach,4,FALSE))</f>
        <v/>
      </c>
      <c r="AM55" s="35" t="str">
        <f>IF(AM21="","",VLOOKUP(AM21,DanhSach,4,FALSE))</f>
        <v>TRÍ</v>
      </c>
      <c r="AN55" s="35" t="str">
        <f>IF(AN21="","",VLOOKUP(AN21,DanhSach,4,FALSE))</f>
        <v>HÙNG (AV)</v>
      </c>
      <c r="AO55" s="35" t="str">
        <f>IF(AO21="","",VLOOKUP(AO21,DanhSach,4,FALSE))</f>
        <v>MINH (H)</v>
      </c>
      <c r="AP55" s="35" t="str">
        <f>IF(AP21="","",VLOOKUP(AP21,DanhSach,4,FALSE))</f>
        <v>Vy</v>
      </c>
      <c r="AQ55" s="35" t="str">
        <f>IF(AQ21="","",VLOOKUP(AQ21,DanhSach,4,FALSE))</f>
        <v>TỨ</v>
      </c>
      <c r="AR55" s="35" t="str">
        <f>IF(AR21="","",VLOOKUP(AR21,DanhSach,4,FALSE))</f>
        <v>KHÔI</v>
      </c>
      <c r="AS55" s="35" t="str">
        <f>IF(AS21="","",VLOOKUP(AS21,DanhSach,4,FALSE))</f>
        <v>ĐÀO</v>
      </c>
      <c r="AT55" s="35" t="str">
        <f>IF(AT21="","",VLOOKUP(AT21,DanhSach,4,FALSE))</f>
        <v>LÀI</v>
      </c>
      <c r="AU55" s="35" t="str">
        <f>IF(AU21="","",VLOOKUP(AU21,DanhSach,4,FALSE))</f>
        <v>THƯƠNG</v>
      </c>
      <c r="AV55" s="35" t="str">
        <f>IF(AV21="","",VLOOKUP(AV21,DanhSach,4,FALSE))</f>
        <v>Linh (TV)(HN)</v>
      </c>
      <c r="AW55" s="35" t="str">
        <f>IF(AW21="","",VLOOKUP(AW21,DanhSach,4,FALSE))</f>
        <v>MY</v>
      </c>
      <c r="AX55" s="35" t="str">
        <f>IF(AX21="","",VLOOKUP(AX21,DanhSach,4,FALSE))</f>
        <v>CHẤT</v>
      </c>
      <c r="AY55" s="35" t="e">
        <f>IF(AY21="","",VLOOKUP(AY21,DanhSach,4,FALSE))</f>
        <v>#N/A</v>
      </c>
      <c r="AZ55" s="35" t="str">
        <f>IF(AZ21="","",VLOOKUP(AZ21,DanhSach,4,FALSE))</f>
        <v>DIỄM</v>
      </c>
      <c r="BA55" s="35" t="str">
        <f>IF(BA21="","",VLOOKUP(BA21,DanhSach,4,FALSE))</f>
        <v>DIỆM (DP)</v>
      </c>
      <c r="BB55" s="35"/>
      <c r="BC55" s="35"/>
      <c r="BD55" s="35"/>
      <c r="BE55" s="35"/>
      <c r="BF55" s="35"/>
      <c r="BG55" s="35"/>
      <c r="BH55" s="35"/>
      <c r="BI55" s="35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</row>
    <row r="56" spans="1:77" ht="15.75" customHeight="1" x14ac:dyDescent="0.2">
      <c r="A56" s="32"/>
      <c r="B56" s="45">
        <v>4</v>
      </c>
      <c r="C56" s="35" t="str">
        <f>IF(C22="","",VLOOKUP(C22,DanhSach,4,FALSE))</f>
        <v>NGHĨA</v>
      </c>
      <c r="D56" s="35" t="str">
        <f>IF(D22="","",VLOOKUP(D22,DanhSach,4,FALSE))</f>
        <v>QUANG (L)</v>
      </c>
      <c r="E56" s="35" t="str">
        <f>IF(E22="","",VLOOKUP(E22,DanhSach,4,FALSE))</f>
        <v>SƯƠNG</v>
      </c>
      <c r="F56" s="35" t="str">
        <f>IF(F22="","",VLOOKUP(F22,DanhSach,4,FALSE))</f>
        <v>TUỆ</v>
      </c>
      <c r="G56" s="35" t="str">
        <f>IF(G22="","",VLOOKUP(G22,DanhSach,4,FALSE))</f>
        <v>THU BA</v>
      </c>
      <c r="H56" s="35" t="str">
        <f>IF(H22="","",VLOOKUP(H22,DanhSach,4,FALSE))</f>
        <v>HOÀNG</v>
      </c>
      <c r="I56" s="35" t="str">
        <f>IF(I22="","",VLOOKUP(I22,DanhSach,4,FALSE))</f>
        <v>THƯ (V)</v>
      </c>
      <c r="J56" s="35" t="str">
        <f>IF(J22="","",VLOOKUP(J22,DanhSach,4,FALSE))</f>
        <v>THẢO (CN)</v>
      </c>
      <c r="K56" s="35" t="str">
        <f>IF(K22="","",VLOOKUP(K22,DanhSach,4,FALSE))</f>
        <v>ĐÀO</v>
      </c>
      <c r="L56" s="35" t="str">
        <f>IF(L22="","",VLOOKUP(L22,DanhSach,4,FALSE))</f>
        <v>HÂN</v>
      </c>
      <c r="M56" s="35" t="str">
        <f>IF(M22="","",VLOOKUP(M22,DanhSach,4,FALSE))</f>
        <v>HẠNH (T)</v>
      </c>
      <c r="N56" s="35" t="str">
        <f>IF(N22="","",VLOOKUP(N22,DanhSach,4,FALSE))</f>
        <v>PHÚC(TH)</v>
      </c>
      <c r="O56" s="35" t="str">
        <f>IF(O22="","",VLOOKUP(O22,DanhSach,4,FALSE))</f>
        <v>YẾN</v>
      </c>
      <c r="P56" s="35" t="str">
        <f>IF(P22="","",VLOOKUP(P22,DanhSach,4,FALSE))</f>
        <v>TUỆ</v>
      </c>
      <c r="Q56" s="35" t="str">
        <f>IF(Q22="","",VLOOKUP(Q22,DanhSach,4,FALSE))</f>
        <v>THUỶ</v>
      </c>
      <c r="R56" s="35" t="str">
        <f>IF(R22="","",VLOOKUP(R22,DanhSach,4,FALSE))</f>
        <v/>
      </c>
      <c r="S56" s="35" t="str">
        <f>IF(S22="","",VLOOKUP(S22,DanhSach,4,FALSE))</f>
        <v/>
      </c>
      <c r="T56" s="35"/>
      <c r="U56" s="35"/>
      <c r="V56" s="35" t="str">
        <f>IF(V22="","",VLOOKUP(V22,DanhSach,4,FALSE))</f>
        <v>Bao Phuong</v>
      </c>
      <c r="W56" s="35" t="str">
        <f>IF(W22="","",VLOOKUP(W22,DanhSach,4,FALSE))</f>
        <v>THẢO</v>
      </c>
      <c r="X56" s="35" t="str">
        <f>IF(X22="","",VLOOKUP(X22,DanhSach,4,FALSE))</f>
        <v>HẢI ( SỬ)</v>
      </c>
      <c r="Y56" s="35" t="str">
        <f>IF(Y22="","",VLOOKUP(Y22,DanhSach,4,FALSE))</f>
        <v>H.GIANG</v>
      </c>
      <c r="Z56" s="35" t="str">
        <f>IF(Z22="","",VLOOKUP(Z22,DanhSach,4,FALSE))</f>
        <v>B.PHƯƠNG</v>
      </c>
      <c r="AA56" s="35" t="str">
        <f>IF(AA22="","",VLOOKUP(AA22,DanhSach,4,FALSE))</f>
        <v>TRỌNG</v>
      </c>
      <c r="AB56" s="35" t="str">
        <f>IF(AB22="","",VLOOKUP(AB22,DanhSach,4,FALSE))</f>
        <v>M. THANH</v>
      </c>
      <c r="AC56" s="35" t="str">
        <f>IF(AC22="","",VLOOKUP(AC22,DanhSach,4,FALSE))</f>
        <v>CƯỜNG (TH)</v>
      </c>
      <c r="AD56" s="35" t="str">
        <f>IF(AD22="","",VLOOKUP(AD22,DanhSach,4,FALSE))</f>
        <v>TỨ</v>
      </c>
      <c r="AE56" s="35" t="str">
        <f>IF(AE22="","",VLOOKUP(AE22,DanhSach,4,FALSE))</f>
        <v>TIÊN</v>
      </c>
      <c r="AF56" s="35" t="str">
        <f>IF(AF22="","",VLOOKUP(AF22,DanhSach,4,FALSE))</f>
        <v>CHẤT</v>
      </c>
      <c r="AG56" s="35" t="str">
        <f>IF(AG22="","",VLOOKUP(AG22,DanhSach,4,FALSE))</f>
        <v>H.THANH</v>
      </c>
      <c r="AH56" s="35" t="str">
        <f>IF(AH22="","",VLOOKUP(AH22,DanhSach,4,FALSE))</f>
        <v>TRAN</v>
      </c>
      <c r="AI56" s="35" t="str">
        <f>IF(AI22="","",VLOOKUP(AI22,DanhSach,4,FALSE))</f>
        <v>TÂM</v>
      </c>
      <c r="AJ56" s="35" t="str">
        <f>IF(AJ22="","",VLOOKUP(AJ22,DanhSach,4,FALSE))</f>
        <v/>
      </c>
      <c r="AK56" s="35" t="str">
        <f>IF(AK22="","",VLOOKUP(AK22,DanhSach,4,FALSE))</f>
        <v/>
      </c>
      <c r="AL56" s="35" t="str">
        <f>IF(AL22="","",VLOOKUP(AL22,DanhSach,4,FALSE))</f>
        <v/>
      </c>
      <c r="AM56" s="35" t="str">
        <f>IF(AM22="","",VLOOKUP(AM22,DanhSach,4,FALSE))</f>
        <v>DIẾN</v>
      </c>
      <c r="AN56" s="35" t="str">
        <f>IF(AN22="","",VLOOKUP(AN22,DanhSach,4,FALSE))</f>
        <v>HÙNG (AV)</v>
      </c>
      <c r="AO56" s="35" t="str">
        <f>IF(AO22="","",VLOOKUP(AO22,DanhSach,4,FALSE))</f>
        <v>MINH (H)</v>
      </c>
      <c r="AP56" s="35" t="str">
        <f>IF(AP22="","",VLOOKUP(AP22,DanhSach,4,FALSE))</f>
        <v>Vy</v>
      </c>
      <c r="AQ56" s="35" t="str">
        <f>IF(AQ22="","",VLOOKUP(AQ22,DanhSach,4,FALSE))</f>
        <v>KHÔI</v>
      </c>
      <c r="AR56" s="35" t="str">
        <f>IF(AR22="","",VLOOKUP(AR22,DanhSach,4,FALSE))</f>
        <v>D.LINH (T)</v>
      </c>
      <c r="AS56" s="35" t="str">
        <f>IF(AS22="","",VLOOKUP(AS22,DanhSach,4,FALSE))</f>
        <v>THẮM</v>
      </c>
      <c r="AT56" s="35" t="str">
        <f>IF(AT22="","",VLOOKUP(AT22,DanhSach,4,FALSE))</f>
        <v>LÀI</v>
      </c>
      <c r="AU56" s="35" t="str">
        <f>IF(AU22="","",VLOOKUP(AU22,DanhSach,4,FALSE))</f>
        <v>THƯƠNG</v>
      </c>
      <c r="AV56" s="35" t="str">
        <f>IF(AV22="","",VLOOKUP(AV22,DanhSach,4,FALSE))</f>
        <v>VÂN (L)</v>
      </c>
      <c r="AW56" s="35" t="str">
        <f>IF(AW22="","",VLOOKUP(AW22,DanhSach,4,FALSE))</f>
        <v>THẢO (QP)</v>
      </c>
      <c r="AX56" s="35" t="str">
        <f>IF(AX22="","",VLOOKUP(AX22,DanhSach,4,FALSE))</f>
        <v>Duy</v>
      </c>
      <c r="AY56" s="35" t="e">
        <f>IF(AY22="","",VLOOKUP(AY22,DanhSach,4,FALSE))</f>
        <v>#N/A</v>
      </c>
      <c r="AZ56" s="35" t="str">
        <f>IF(AZ22="","",VLOOKUP(AZ22,DanhSach,4,FALSE))</f>
        <v>DIỄM</v>
      </c>
      <c r="BA56" s="35" t="str">
        <f>IF(BA22="","",VLOOKUP(BA22,DanhSach,4,FALSE))</f>
        <v>MY</v>
      </c>
      <c r="BB56" s="35"/>
      <c r="BC56" s="35"/>
      <c r="BD56" s="35"/>
      <c r="BE56" s="35"/>
      <c r="BF56" s="35"/>
      <c r="BG56" s="35"/>
      <c r="BH56" s="35"/>
      <c r="BI56" s="35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</row>
    <row r="57" spans="1:77" ht="15.75" customHeight="1" thickBot="1" x14ac:dyDescent="0.25">
      <c r="A57" s="39"/>
      <c r="B57" s="46">
        <v>5</v>
      </c>
      <c r="C57" s="41" t="str">
        <f>IF(C23="","",VLOOKUP(C23,DanhSach,4,FALSE))</f>
        <v/>
      </c>
      <c r="D57" s="41" t="str">
        <f>IF(D23="","",VLOOKUP(D23,DanhSach,4,FALSE))</f>
        <v/>
      </c>
      <c r="E57" s="41" t="str">
        <f>IF(E23="","",VLOOKUP(E23,DanhSach,4,FALSE))</f>
        <v/>
      </c>
      <c r="F57" s="41" t="str">
        <f>IF(F23="","",VLOOKUP(F23,DanhSach,4,FALSE))</f>
        <v/>
      </c>
      <c r="G57" s="41" t="str">
        <f>IF(G23="","",VLOOKUP(G23,DanhSach,4,FALSE))</f>
        <v/>
      </c>
      <c r="H57" s="41" t="str">
        <f>IF(H23="","",VLOOKUP(H23,DanhSach,4,FALSE))</f>
        <v/>
      </c>
      <c r="I57" s="41" t="str">
        <f>IF(I23="","",VLOOKUP(I23,DanhSach,4,FALSE))</f>
        <v/>
      </c>
      <c r="J57" s="41" t="str">
        <f>IF(J23="","",VLOOKUP(J23,DanhSach,4,FALSE))</f>
        <v/>
      </c>
      <c r="K57" s="41" t="str">
        <f>IF(K23="","",VLOOKUP(K23,DanhSach,4,FALSE))</f>
        <v/>
      </c>
      <c r="L57" s="41" t="str">
        <f>IF(L23="","",VLOOKUP(L23,DanhSach,4,FALSE))</f>
        <v/>
      </c>
      <c r="M57" s="41" t="str">
        <f>IF(M23="","",VLOOKUP(M23,DanhSach,4,FALSE))</f>
        <v/>
      </c>
      <c r="N57" s="41" t="str">
        <f>IF(N23="","",VLOOKUP(N23,DanhSach,4,FALSE))</f>
        <v/>
      </c>
      <c r="O57" s="41" t="str">
        <f>IF(O23="","",VLOOKUP(O23,DanhSach,4,FALSE))</f>
        <v/>
      </c>
      <c r="P57" s="41" t="str">
        <f>IF(P23="","",VLOOKUP(P23,DanhSach,4,FALSE))</f>
        <v/>
      </c>
      <c r="Q57" s="41" t="str">
        <f>IF(Q23="","",VLOOKUP(Q23,DanhSach,4,FALSE))</f>
        <v/>
      </c>
      <c r="R57" s="41" t="str">
        <f>IF(R23="","",VLOOKUP(R23,DanhSach,4,FALSE))</f>
        <v/>
      </c>
      <c r="S57" s="41" t="str">
        <f>IF(S23="","",VLOOKUP(S23,DanhSach,4,FALSE))</f>
        <v/>
      </c>
      <c r="T57" s="41"/>
      <c r="U57" s="41"/>
      <c r="V57" s="41" t="str">
        <f>IF(V23="","",VLOOKUP(V23,DanhSach,4,FALSE))</f>
        <v/>
      </c>
      <c r="W57" s="41" t="str">
        <f>IF(W23="","",VLOOKUP(W23,DanhSach,4,FALSE))</f>
        <v/>
      </c>
      <c r="X57" s="41" t="str">
        <f>IF(X23="","",VLOOKUP(X23,DanhSach,4,FALSE))</f>
        <v/>
      </c>
      <c r="Y57" s="41" t="str">
        <f>IF(Y23="","",VLOOKUP(Y23,DanhSach,4,FALSE))</f>
        <v/>
      </c>
      <c r="Z57" s="41" t="str">
        <f>IF(Z23="","",VLOOKUP(Z23,DanhSach,4,FALSE))</f>
        <v/>
      </c>
      <c r="AA57" s="41" t="str">
        <f>IF(AA23="","",VLOOKUP(AA23,DanhSach,4,FALSE))</f>
        <v/>
      </c>
      <c r="AB57" s="41" t="str">
        <f>IF(AB23="","",VLOOKUP(AB23,DanhSach,4,FALSE))</f>
        <v/>
      </c>
      <c r="AC57" s="41" t="str">
        <f>IF(AC23="","",VLOOKUP(AC23,DanhSach,4,FALSE))</f>
        <v/>
      </c>
      <c r="AD57" s="41" t="str">
        <f>IF(AD23="","",VLOOKUP(AD23,DanhSach,4,FALSE))</f>
        <v/>
      </c>
      <c r="AE57" s="41" t="str">
        <f>IF(AE23="","",VLOOKUP(AE23,DanhSach,4,FALSE))</f>
        <v/>
      </c>
      <c r="AF57" s="41" t="str">
        <f>IF(AF23="","",VLOOKUP(AF23,DanhSach,4,FALSE))</f>
        <v/>
      </c>
      <c r="AG57" s="41" t="str">
        <f>IF(AG23="","",VLOOKUP(AG23,DanhSach,4,FALSE))</f>
        <v/>
      </c>
      <c r="AH57" s="41" t="str">
        <f>IF(AH23="","",VLOOKUP(AH23,DanhSach,4,FALSE))</f>
        <v/>
      </c>
      <c r="AI57" s="41" t="str">
        <f>IF(AI23="","",VLOOKUP(AI23,DanhSach,4,FALSE))</f>
        <v/>
      </c>
      <c r="AJ57" s="41" t="str">
        <f>IF(AJ23="","",VLOOKUP(AJ23,DanhSach,4,FALSE))</f>
        <v/>
      </c>
      <c r="AK57" s="41" t="str">
        <f>IF(AK23="","",VLOOKUP(AK23,DanhSach,4,FALSE))</f>
        <v/>
      </c>
      <c r="AL57" s="41" t="str">
        <f>IF(AL23="","",VLOOKUP(AL23,DanhSach,4,FALSE))</f>
        <v/>
      </c>
      <c r="AM57" s="41" t="str">
        <f>IF(AM23="","",VLOOKUP(AM23,DanhSach,4,FALSE))</f>
        <v/>
      </c>
      <c r="AN57" s="41" t="str">
        <f>IF(AN23="","",VLOOKUP(AN23,DanhSach,4,FALSE))</f>
        <v/>
      </c>
      <c r="AO57" s="41" t="str">
        <f>IF(AO23="","",VLOOKUP(AO23,DanhSach,4,FALSE))</f>
        <v/>
      </c>
      <c r="AP57" s="41" t="str">
        <f>IF(AP23="","",VLOOKUP(AP23,DanhSach,4,FALSE))</f>
        <v/>
      </c>
      <c r="AQ57" s="41"/>
      <c r="AR57" s="41" t="str">
        <f>IF(AR23="","",VLOOKUP(AR23,DanhSach,4,FALSE))</f>
        <v/>
      </c>
      <c r="AS57" s="41" t="str">
        <f>IF(AS23="","",VLOOKUP(AS23,DanhSach,4,FALSE))</f>
        <v/>
      </c>
      <c r="AT57" s="41" t="str">
        <f>IF(AT23="","",VLOOKUP(AT23,DanhSach,4,FALSE))</f>
        <v/>
      </c>
      <c r="AU57" s="41" t="str">
        <f>IF(AU23="","",VLOOKUP(AU23,DanhSach,4,FALSE))</f>
        <v/>
      </c>
      <c r="AV57" s="41" t="str">
        <f>IF(AV23="","",VLOOKUP(AV23,DanhSach,4,FALSE))</f>
        <v/>
      </c>
      <c r="AW57" s="41" t="str">
        <f>IF(AW23="","",VLOOKUP(AW23,DanhSach,4,FALSE))</f>
        <v/>
      </c>
      <c r="AX57" s="41" t="str">
        <f>IF(AX23="","",VLOOKUP(AX23,DanhSach,4,FALSE))</f>
        <v/>
      </c>
      <c r="AY57" s="41" t="str">
        <f>IF(AY23="","",VLOOKUP(AY23,DanhSach,4,FALSE))</f>
        <v/>
      </c>
      <c r="AZ57" s="41" t="str">
        <f>IF(AZ23="","",VLOOKUP(AZ23,DanhSach,4,FALSE))</f>
        <v/>
      </c>
      <c r="BA57" s="41" t="str">
        <f>IF(BA23="","",VLOOKUP(BA23,DanhSach,4,FALSE))</f>
        <v/>
      </c>
      <c r="BB57" s="41"/>
      <c r="BC57" s="41"/>
      <c r="BD57" s="41"/>
      <c r="BE57" s="41"/>
      <c r="BF57" s="41"/>
      <c r="BG57" s="41"/>
      <c r="BH57" s="41"/>
      <c r="BI57" s="41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</row>
    <row r="58" spans="1:77" ht="15.75" customHeight="1" x14ac:dyDescent="0.2">
      <c r="A58" s="42" t="s">
        <v>226</v>
      </c>
      <c r="B58" s="43">
        <v>1</v>
      </c>
      <c r="C58" s="44" t="str">
        <f>IF(C24="","",VLOOKUP(C24,DanhSach,4,FALSE))</f>
        <v>NGHĨA</v>
      </c>
      <c r="D58" s="44" t="str">
        <f>IF(D24="","",VLOOKUP(D24,DanhSach,4,FALSE))</f>
        <v>NHƯ</v>
      </c>
      <c r="E58" s="44" t="str">
        <f>IF(E24="","",VLOOKUP(E24,DanhSach,4,FALSE))</f>
        <v>QUẢNG(T)</v>
      </c>
      <c r="F58" s="44" t="str">
        <f>IF(F24="","",VLOOKUP(F24,DanhSach,4,FALSE))</f>
        <v>BÌNH</v>
      </c>
      <c r="G58" s="44" t="str">
        <f>IF(G24="","",VLOOKUP(G24,DanhSach,4,FALSE))</f>
        <v>THÀNH (Đ)</v>
      </c>
      <c r="H58" s="44" t="str">
        <f>IF(H24="","",VLOOKUP(H24,DanhSach,4,FALSE))</f>
        <v>TỨ</v>
      </c>
      <c r="I58" s="44" t="str">
        <f>IF(I24="","",VLOOKUP(I24,DanhSach,4,FALSE))</f>
        <v>HUYỀN</v>
      </c>
      <c r="J58" s="44" t="str">
        <f>IF(J24="","",VLOOKUP(J24,DanhSach,4,FALSE))</f>
        <v>THÊM</v>
      </c>
      <c r="K58" s="44" t="str">
        <f>IF(K24="","",VLOOKUP(K24,DanhSach,4,FALSE))</f>
        <v>NGÂN</v>
      </c>
      <c r="L58" s="44" t="e">
        <f>IF(L24="","",VLOOKUP(L24,DanhSach,4,FALSE))</f>
        <v>#N/A</v>
      </c>
      <c r="M58" s="44" t="str">
        <f>IF(M24="","",VLOOKUP(M24,DanhSach,4,FALSE))</f>
        <v>HẠNH (T)</v>
      </c>
      <c r="N58" s="44" t="str">
        <f>IF(N24="","",VLOOKUP(N24,DanhSach,4,FALSE))</f>
        <v>HƯỜNG</v>
      </c>
      <c r="O58" s="44" t="str">
        <f>IF(O24="","",VLOOKUP(O24,DanhSach,4,FALSE))</f>
        <v>YẾN</v>
      </c>
      <c r="P58" s="44" t="str">
        <f>IF(P24="","",VLOOKUP(P24,DanhSach,4,FALSE))</f>
        <v>THẢO (CN)</v>
      </c>
      <c r="Q58" s="44" t="str">
        <f>IF(Q24="","",VLOOKUP(Q24,DanhSach,4,FALSE))</f>
        <v>DUNG</v>
      </c>
      <c r="R58" s="44" t="str">
        <f>IF(R24="","",VLOOKUP(R24,DanhSach,4,FALSE))</f>
        <v/>
      </c>
      <c r="S58" s="44" t="str">
        <f>IF(S24="","",VLOOKUP(S24,DanhSach,4,FALSE))</f>
        <v/>
      </c>
      <c r="T58" s="44"/>
      <c r="U58" s="44"/>
      <c r="V58" s="44" t="str">
        <f>IF(V24="","",VLOOKUP(V24,DanhSach,4,FALSE))</f>
        <v>HẬU</v>
      </c>
      <c r="W58" s="44" t="str">
        <f>IF(W24="","",VLOOKUP(W24,DanhSach,4,FALSE))</f>
        <v>HẰNG (KTPL)</v>
      </c>
      <c r="X58" s="44" t="str">
        <f>IF(X24="","",VLOOKUP(X24,DanhSach,4,FALSE))</f>
        <v>L.HỒNG</v>
      </c>
      <c r="Y58" s="44" t="str">
        <f>IF(Y24="","",VLOOKUP(Y24,DanhSach,4,FALSE))</f>
        <v>HƯƠNG (L)</v>
      </c>
      <c r="Z58" s="44" t="str">
        <f>IF(Z24="","",VLOOKUP(Z24,DanhSach,4,FALSE))</f>
        <v>TRAN</v>
      </c>
      <c r="AA58" s="44" t="str">
        <f>IF(AA24="","",VLOOKUP(AA24,DanhSach,4,FALSE))</f>
        <v>Nguyện</v>
      </c>
      <c r="AB58" s="44" t="str">
        <f>IF(AB24="","",VLOOKUP(AB24,DanhSach,4,FALSE))</f>
        <v>V.PHƯƠNG</v>
      </c>
      <c r="AC58" s="44" t="str">
        <f>IF(AC24="","",VLOOKUP(AC24,DanhSach,4,FALSE))</f>
        <v>HOÀNG</v>
      </c>
      <c r="AD58" s="44" t="str">
        <f>IF(AD24="","",VLOOKUP(AD24,DanhSach,4,FALSE))</f>
        <v>T.GIANG</v>
      </c>
      <c r="AE58" s="44" t="str">
        <f>IF(AE24="","",VLOOKUP(AE24,DanhSach,4,FALSE))</f>
        <v>THẢO</v>
      </c>
      <c r="AF58" s="44" t="str">
        <f>IF(AF24="","",VLOOKUP(AF24,DanhSach,4,FALSE))</f>
        <v>H.GIANG</v>
      </c>
      <c r="AG58" s="44" t="str">
        <f>IF(AG24="","",VLOOKUP(AG24,DanhSach,4,FALSE))</f>
        <v>TIÊN</v>
      </c>
      <c r="AH58" s="44" t="str">
        <f>IF(AH24="","",VLOOKUP(AH24,DanhSach,4,FALSE))</f>
        <v>THƯ (V)</v>
      </c>
      <c r="AI58" s="44" t="str">
        <f>IF(AI24="","",VLOOKUP(AI24,DanhSach,4,FALSE))</f>
        <v>THẢO (QP)</v>
      </c>
      <c r="AJ58" s="44" t="str">
        <f>IF(AJ24="","",VLOOKUP(AJ24,DanhSach,4,FALSE))</f>
        <v/>
      </c>
      <c r="AK58" s="44" t="str">
        <f>IF(AK24="","",VLOOKUP(AK24,DanhSach,4,FALSE))</f>
        <v/>
      </c>
      <c r="AL58" s="44" t="str">
        <f>IF(AL24="","",VLOOKUP(AL24,DanhSach,4,FALSE))</f>
        <v/>
      </c>
      <c r="AM58" s="44" t="str">
        <f>IF(AM24="","",VLOOKUP(AM24,DanhSach,4,FALSE))</f>
        <v>THẮM</v>
      </c>
      <c r="AN58" s="44" t="str">
        <f>IF(AN24="","",VLOOKUP(AN24,DanhSach,4,FALSE))</f>
        <v>THUỶ</v>
      </c>
      <c r="AO58" s="44" t="str">
        <f>IF(AO24="","",VLOOKUP(AO24,DanhSach,4,FALSE))</f>
        <v>THU BA</v>
      </c>
      <c r="AP58" s="44" t="str">
        <f>IF(AP24="","",VLOOKUP(AP24,DanhSach,4,FALSE))</f>
        <v>DŨNG</v>
      </c>
      <c r="AQ58" s="44" t="str">
        <f>IF(AQ24="","",VLOOKUP(AQ24,DanhSach,4,FALSE))</f>
        <v>CƯỜNG (TH)</v>
      </c>
      <c r="AR58" s="44" t="str">
        <f>IF(AR24="","",VLOOKUP(AR24,DanhSach,4,FALSE))</f>
        <v>D.LINH (T)</v>
      </c>
      <c r="AS58" s="44" t="str">
        <f>IF(AS24="","",VLOOKUP(AS24,DanhSach,4,FALSE))</f>
        <v>THANH (H)</v>
      </c>
      <c r="AT58" s="44" t="str">
        <f>IF(AT24="","",VLOOKUP(AT24,DanhSach,4,FALSE))</f>
        <v>UYÊN</v>
      </c>
      <c r="AU58" s="44" t="str">
        <f>IF(AU24="","",VLOOKUP(AU24,DanhSach,4,FALSE))</f>
        <v>PHÚC(TH)</v>
      </c>
      <c r="AV58" s="44" t="str">
        <f>IF(AV24="","",VLOOKUP(AV24,DanhSach,4,FALSE))</f>
        <v>Duy</v>
      </c>
      <c r="AW58" s="44" t="str">
        <f>IF(AW24="","",VLOOKUP(AW24,DanhSach,4,FALSE))</f>
        <v>TRANG</v>
      </c>
      <c r="AX58" s="44" t="str">
        <f>IF(AX24="","",VLOOKUP(AX24,DanhSach,4,FALSE))</f>
        <v>THU (KTPL)</v>
      </c>
      <c r="AY58" s="44" t="str">
        <f>IF(AY24="","",VLOOKUP(AY24,DanhSach,4,FALSE))</f>
        <v>HÙNG (TH)</v>
      </c>
      <c r="AZ58" s="44" t="str">
        <f>IF(AZ24="","",VLOOKUP(AZ24,DanhSach,4,FALSE))</f>
        <v>ÁNH</v>
      </c>
      <c r="BA58" s="44" t="str">
        <f>IF(BA24="","",VLOOKUP(BA24,DanhSach,4,FALSE))</f>
        <v>VĨNH</v>
      </c>
      <c r="BB58" s="44"/>
      <c r="BC58" s="44"/>
      <c r="BD58" s="44"/>
      <c r="BE58" s="44"/>
      <c r="BF58" s="44"/>
      <c r="BG58" s="44"/>
      <c r="BH58" s="44"/>
      <c r="BI58" s="44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</row>
    <row r="59" spans="1:77" ht="15.75" customHeight="1" x14ac:dyDescent="0.2">
      <c r="A59" s="32" t="s">
        <v>193</v>
      </c>
      <c r="B59" s="45">
        <v>2</v>
      </c>
      <c r="C59" s="35" t="str">
        <f>IF(C25="","",VLOOKUP(C25,DanhSach,4,FALSE))</f>
        <v>NGHĨA</v>
      </c>
      <c r="D59" s="35" t="str">
        <f>IF(D25="","",VLOOKUP(D25,DanhSach,4,FALSE))</f>
        <v>NHƯ</v>
      </c>
      <c r="E59" s="35" t="str">
        <f>IF(E25="","",VLOOKUP(E25,DanhSach,4,FALSE))</f>
        <v>QUẢNG(T)</v>
      </c>
      <c r="F59" s="35" t="str">
        <f>IF(F25="","",VLOOKUP(F25,DanhSach,4,FALSE))</f>
        <v>BÌNH</v>
      </c>
      <c r="G59" s="35" t="str">
        <f>IF(G25="","",VLOOKUP(G25,DanhSach,4,FALSE))</f>
        <v>THƯƠNG</v>
      </c>
      <c r="H59" s="35" t="str">
        <f>IF(H25="","",VLOOKUP(H25,DanhSach,4,FALSE))</f>
        <v>BẮC</v>
      </c>
      <c r="I59" s="35" t="str">
        <f>IF(I25="","",VLOOKUP(I25,DanhSach,4,FALSE))</f>
        <v>TRÍ</v>
      </c>
      <c r="J59" s="35" t="str">
        <f>IF(J25="","",VLOOKUP(J25,DanhSach,4,FALSE))</f>
        <v>THÊM</v>
      </c>
      <c r="K59" s="35" t="str">
        <f>IF(K25="","",VLOOKUP(K25,DanhSach,4,FALSE))</f>
        <v>HƯỜNG</v>
      </c>
      <c r="L59" s="35" t="str">
        <f>IF(L25="","",VLOOKUP(L25,DanhSach,4,FALSE))</f>
        <v>DUNG</v>
      </c>
      <c r="M59" s="35" t="str">
        <f>IF(M25="","",VLOOKUP(M25,DanhSach,4,FALSE))</f>
        <v>HẠNH (T)</v>
      </c>
      <c r="N59" s="35" t="str">
        <f>IF(N25="","",VLOOKUP(N25,DanhSach,4,FALSE))</f>
        <v>LÀI</v>
      </c>
      <c r="O59" s="35" t="str">
        <f>IF(O25="","",VLOOKUP(O25,DanhSach,4,FALSE))</f>
        <v>YẾN</v>
      </c>
      <c r="P59" s="35" t="str">
        <f>IF(P25="","",VLOOKUP(P25,DanhSach,4,FALSE))</f>
        <v>THÀNH (Đ)</v>
      </c>
      <c r="Q59" s="35" t="str">
        <f>IF(Q25="","",VLOOKUP(Q25,DanhSach,4,FALSE))</f>
        <v>THẢO (CN)</v>
      </c>
      <c r="R59" s="35" t="str">
        <f>IF(R25="","",VLOOKUP(R25,DanhSach,4,FALSE))</f>
        <v/>
      </c>
      <c r="S59" s="35" t="str">
        <f>IF(S25="","",VLOOKUP(S25,DanhSach,4,FALSE))</f>
        <v/>
      </c>
      <c r="T59" s="35"/>
      <c r="U59" s="35"/>
      <c r="V59" s="35" t="str">
        <f>IF(V25="","",VLOOKUP(V25,DanhSach,4,FALSE))</f>
        <v>VĨNH</v>
      </c>
      <c r="W59" s="35" t="str">
        <f>IF(W25="","",VLOOKUP(W25,DanhSach,4,FALSE))</f>
        <v>NGÂN</v>
      </c>
      <c r="X59" s="35" t="str">
        <f>IF(X25="","",VLOOKUP(X25,DanhSach,4,FALSE))</f>
        <v>L.HỒNG</v>
      </c>
      <c r="Y59" s="35" t="str">
        <f>IF(Y25="","",VLOOKUP(Y25,DanhSach,4,FALSE))</f>
        <v>D.LINH (T)</v>
      </c>
      <c r="Z59" s="35" t="str">
        <f>IF(Z25="","",VLOOKUP(Z25,DanhSach,4,FALSE))</f>
        <v>TRAN</v>
      </c>
      <c r="AA59" s="35" t="str">
        <f>IF(AA25="","",VLOOKUP(AA25,DanhSach,4,FALSE))</f>
        <v>TRỌNG</v>
      </c>
      <c r="AB59" s="35" t="str">
        <f>IF(AB25="","",VLOOKUP(AB25,DanhSach,4,FALSE))</f>
        <v>THẢO (QP)</v>
      </c>
      <c r="AC59" s="35" t="str">
        <f>IF(AC25="","",VLOOKUP(AC25,DanhSach,4,FALSE))</f>
        <v>HOÀNG</v>
      </c>
      <c r="AD59" s="35" t="str">
        <f>IF(AD25="","",VLOOKUP(AD25,DanhSach,4,FALSE))</f>
        <v>T.GIANG</v>
      </c>
      <c r="AE59" s="35" t="str">
        <f>IF(AE25="","",VLOOKUP(AE25,DanhSach,4,FALSE))</f>
        <v>TRANG</v>
      </c>
      <c r="AF59" s="35" t="str">
        <f>IF(AF25="","",VLOOKUP(AF25,DanhSach,4,FALSE))</f>
        <v>HẬU</v>
      </c>
      <c r="AG59" s="35" t="str">
        <f>IF(AG25="","",VLOOKUP(AG25,DanhSach,4,FALSE))</f>
        <v>HẰNG (KTPL)</v>
      </c>
      <c r="AH59" s="35" t="str">
        <f>IF(AH25="","",VLOOKUP(AH25,DanhSach,4,FALSE))</f>
        <v>THƯ (V)</v>
      </c>
      <c r="AI59" s="35" t="str">
        <f>IF(AI25="","",VLOOKUP(AI25,DanhSach,4,FALSE))</f>
        <v>TIÊN</v>
      </c>
      <c r="AJ59" s="35" t="str">
        <f>IF(AJ25="","",VLOOKUP(AJ25,DanhSach,4,FALSE))</f>
        <v/>
      </c>
      <c r="AK59" s="35" t="str">
        <f>IF(AK25="","",VLOOKUP(AK25,DanhSach,4,FALSE))</f>
        <v/>
      </c>
      <c r="AL59" s="35" t="str">
        <f>IF(AL25="","",VLOOKUP(AL25,DanhSach,4,FALSE))</f>
        <v/>
      </c>
      <c r="AM59" s="35" t="str">
        <f>IF(AM25="","",VLOOKUP(AM25,DanhSach,4,FALSE))</f>
        <v>THẮM</v>
      </c>
      <c r="AN59" s="35" t="str">
        <f>IF(AN25="","",VLOOKUP(AN25,DanhSach,4,FALSE))</f>
        <v>THANH (H)</v>
      </c>
      <c r="AO59" s="35" t="str">
        <f>IF(AO25="","",VLOOKUP(AO25,DanhSach,4,FALSE))</f>
        <v>THU BA</v>
      </c>
      <c r="AP59" s="35" t="str">
        <f>IF(AP25="","",VLOOKUP(AP25,DanhSach,4,FALSE))</f>
        <v>L.HỒNG</v>
      </c>
      <c r="AQ59" s="35" t="str">
        <f>IF(AQ25="","",VLOOKUP(AQ25,DanhSach,4,FALSE))</f>
        <v>CƯỜNG (TH)</v>
      </c>
      <c r="AR59" s="35" t="str">
        <f>IF(AR25="","",VLOOKUP(AR25,DanhSach,4,FALSE))</f>
        <v>TỨ</v>
      </c>
      <c r="AS59" s="35" t="str">
        <f>IF(AS25="","",VLOOKUP(AS25,DanhSach,4,FALSE))</f>
        <v>V.PHƯƠNG</v>
      </c>
      <c r="AT59" s="35" t="str">
        <f>IF(AT25="","",VLOOKUP(AT25,DanhSach,4,FALSE))</f>
        <v>UYÊN</v>
      </c>
      <c r="AU59" s="35" t="str">
        <f>IF(AU25="","",VLOOKUP(AU25,DanhSach,4,FALSE))</f>
        <v>PHÚC(TH)</v>
      </c>
      <c r="AV59" s="35" t="str">
        <f>IF(AV25="","",VLOOKUP(AV25,DanhSach,4,FALSE))</f>
        <v>VÂN (L)</v>
      </c>
      <c r="AW59" s="35" t="str">
        <f>IF(AW25="","",VLOOKUP(AW25,DanhSach,4,FALSE))</f>
        <v>HUYỀN</v>
      </c>
      <c r="AX59" s="35" t="str">
        <f>IF(AX25="","",VLOOKUP(AX25,DanhSach,4,FALSE))</f>
        <v>HƯƠNG (L)</v>
      </c>
      <c r="AY59" s="35" t="str">
        <f>IF(AY25="","",VLOOKUP(AY25,DanhSach,4,FALSE))</f>
        <v>HÙNG (TH)</v>
      </c>
      <c r="AZ59" s="35" t="str">
        <f>IF(AZ25="","",VLOOKUP(AZ25,DanhSach,4,FALSE))</f>
        <v>ÁNH</v>
      </c>
      <c r="BA59" s="35" t="str">
        <f>IF(BA25="","",VLOOKUP(BA25,DanhSach,4,FALSE))</f>
        <v>Nguyện</v>
      </c>
      <c r="BB59" s="35"/>
      <c r="BC59" s="35"/>
      <c r="BD59" s="35"/>
      <c r="BE59" s="35"/>
      <c r="BF59" s="35"/>
      <c r="BG59" s="35"/>
      <c r="BH59" s="35"/>
      <c r="BI59" s="35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</row>
    <row r="60" spans="1:77" ht="15.75" customHeight="1" x14ac:dyDescent="0.2">
      <c r="A60" s="32" t="s">
        <v>230</v>
      </c>
      <c r="B60" s="45">
        <v>3</v>
      </c>
      <c r="C60" s="35" t="str">
        <f>IF(C26="","",VLOOKUP(C26,DanhSach,4,FALSE))</f>
        <v>THẢO</v>
      </c>
      <c r="D60" s="35" t="str">
        <f>IF(D26="","",VLOOKUP(D26,DanhSach,4,FALSE))</f>
        <v>DŨNG</v>
      </c>
      <c r="E60" s="35" t="str">
        <f>IF(E26="","",VLOOKUP(E26,DanhSach,4,FALSE))</f>
        <v>BÌNH</v>
      </c>
      <c r="F60" s="35" t="str">
        <f>IF(F26="","",VLOOKUP(F26,DanhSach,4,FALSE))</f>
        <v>HÂN</v>
      </c>
      <c r="G60" s="35" t="str">
        <f>IF(G26="","",VLOOKUP(G26,DanhSach,4,FALSE))</f>
        <v>TRỌNG</v>
      </c>
      <c r="H60" s="35" t="str">
        <f>IF(H26="","",VLOOKUP(H26,DanhSach,4,FALSE))</f>
        <v>HOÀNG</v>
      </c>
      <c r="I60" s="35" t="str">
        <f>IF(I26="","",VLOOKUP(I26,DanhSach,4,FALSE))</f>
        <v>THU (KTPL)</v>
      </c>
      <c r="J60" s="35" t="str">
        <f>IF(J26="","",VLOOKUP(J26,DanhSach,4,FALSE))</f>
        <v>TRÍ</v>
      </c>
      <c r="K60" s="35" t="str">
        <f>IF(K26="","",VLOOKUP(K26,DanhSach,4,FALSE))</f>
        <v>THU BA</v>
      </c>
      <c r="L60" s="35" t="str">
        <f>IF(L26="","",VLOOKUP(L26,DanhSach,4,FALSE))</f>
        <v>HÙNG (TH)</v>
      </c>
      <c r="M60" s="35" t="str">
        <f>IF(M26="","",VLOOKUP(M26,DanhSach,4,FALSE))</f>
        <v>YẾN</v>
      </c>
      <c r="N60" s="35" t="str">
        <f>IF(N26="","",VLOOKUP(N26,DanhSach,4,FALSE))</f>
        <v>THẮM</v>
      </c>
      <c r="O60" s="35" t="str">
        <f>IF(O26="","",VLOOKUP(O26,DanhSach,4,FALSE))</f>
        <v>HƯỜNG</v>
      </c>
      <c r="P60" s="35" t="str">
        <f>IF(P26="","",VLOOKUP(P26,DanhSach,4,FALSE))</f>
        <v>LÀI</v>
      </c>
      <c r="Q60" s="35" t="str">
        <f>IF(Q26="","",VLOOKUP(Q26,DanhSach,4,FALSE))</f>
        <v>THẢO (CN)</v>
      </c>
      <c r="R60" s="35" t="str">
        <f>IF(R26="","",VLOOKUP(R26,DanhSach,4,FALSE))</f>
        <v/>
      </c>
      <c r="S60" s="35" t="str">
        <f>IF(S26="","",VLOOKUP(S26,DanhSach,4,FALSE))</f>
        <v/>
      </c>
      <c r="T60" s="35"/>
      <c r="U60" s="35"/>
      <c r="V60" s="35" t="str">
        <f>IF(V26="","",VLOOKUP(V26,DanhSach,4,FALSE))</f>
        <v>CƯỜNG (TH)</v>
      </c>
      <c r="W60" s="35" t="str">
        <f>IF(W26="","",VLOOKUP(W26,DanhSach,4,FALSE))</f>
        <v>NHƯ</v>
      </c>
      <c r="X60" s="35" t="str">
        <f>IF(X26="","",VLOOKUP(X26,DanhSach,4,FALSE))</f>
        <v>NGÂN</v>
      </c>
      <c r="Y60" s="35" t="str">
        <f>IF(Y26="","",VLOOKUP(Y26,DanhSach,4,FALSE))</f>
        <v>D.LINH (T)</v>
      </c>
      <c r="Z60" s="35" t="str">
        <f>IF(Z26="","",VLOOKUP(Z26,DanhSach,4,FALSE))</f>
        <v>THƯ (V)</v>
      </c>
      <c r="AA60" s="35" t="str">
        <f>IF(AA26="","",VLOOKUP(AA26,DanhSach,4,FALSE))</f>
        <v>UYÊN</v>
      </c>
      <c r="AB60" s="35" t="str">
        <f>IF(AB26="","",VLOOKUP(AB26,DanhSach,4,FALSE))</f>
        <v>H.THANH</v>
      </c>
      <c r="AC60" s="35" t="str">
        <f>IF(AC26="","",VLOOKUP(AC26,DanhSach,4,FALSE))</f>
        <v>HẬU</v>
      </c>
      <c r="AD60" s="35" t="str">
        <f>IF(AD26="","",VLOOKUP(AD26,DanhSach,4,FALSE))</f>
        <v>TRAN</v>
      </c>
      <c r="AE60" s="35" t="str">
        <f>IF(AE26="","",VLOOKUP(AE26,DanhSach,4,FALSE))</f>
        <v>TIÊN</v>
      </c>
      <c r="AF60" s="35" t="str">
        <f>IF(AF26="","",VLOOKUP(AF26,DanhSach,4,FALSE))</f>
        <v>TỨ</v>
      </c>
      <c r="AG60" s="35" t="str">
        <f>IF(AG26="","",VLOOKUP(AG26,DanhSach,4,FALSE))</f>
        <v>NGHĨA</v>
      </c>
      <c r="AH60" s="35" t="str">
        <f>IF(AH26="","",VLOOKUP(AH26,DanhSach,4,FALSE))</f>
        <v>TUỆ</v>
      </c>
      <c r="AI60" s="35" t="str">
        <f>IF(AI26="","",VLOOKUP(AI26,DanhSach,4,FALSE))</f>
        <v>DIỆM (HN)</v>
      </c>
      <c r="AJ60" s="35" t="str">
        <f>IF(AJ26="","",VLOOKUP(AJ26,DanhSach,4,FALSE))</f>
        <v/>
      </c>
      <c r="AK60" s="35" t="str">
        <f>IF(AK26="","",VLOOKUP(AK26,DanhSach,4,FALSE))</f>
        <v/>
      </c>
      <c r="AL60" s="35" t="str">
        <f>IF(AL26="","",VLOOKUP(AL26,DanhSach,4,FALSE))</f>
        <v/>
      </c>
      <c r="AM60" s="35" t="str">
        <f>IF(AM26="","",VLOOKUP(AM26,DanhSach,4,FALSE))</f>
        <v>HẠNH (L)</v>
      </c>
      <c r="AN60" s="35" t="str">
        <f>IF(AN26="","",VLOOKUP(AN26,DanhSach,4,FALSE))</f>
        <v>TÂM</v>
      </c>
      <c r="AO60" s="35" t="str">
        <f>IF(AO26="","",VLOOKUP(AO26,DanhSach,4,FALSE))</f>
        <v>THƯƠNG</v>
      </c>
      <c r="AP60" s="35" t="str">
        <f>IF(AP26="","",VLOOKUP(AP26,DanhSach,4,FALSE))</f>
        <v>ÁNH</v>
      </c>
      <c r="AQ60" s="35" t="str">
        <f>IF(AQ26="","",VLOOKUP(AQ26,DanhSach,4,FALSE))</f>
        <v>HƯƠNG (L)</v>
      </c>
      <c r="AR60" s="35" t="str">
        <f>IF(AR26="","",VLOOKUP(AR26,DanhSach,4,FALSE))</f>
        <v>KHÔI</v>
      </c>
      <c r="AS60" s="35" t="str">
        <f>IF(AS26="","",VLOOKUP(AS26,DanhSach,4,FALSE))</f>
        <v>V.PHƯƠNG</v>
      </c>
      <c r="AT60" s="35" t="str">
        <f>IF(AT26="","",VLOOKUP(AT26,DanhSach,4,FALSE))</f>
        <v>TRANG</v>
      </c>
      <c r="AU60" s="35" t="str">
        <f>IF(AU26="","",VLOOKUP(AU26,DanhSach,4,FALSE))</f>
        <v>THÊM</v>
      </c>
      <c r="AV60" s="35" t="str">
        <f>IF(AV26="","",VLOOKUP(AV26,DanhSach,4,FALSE))</f>
        <v>THÀNH (Đ)</v>
      </c>
      <c r="AW60" s="35" t="str">
        <f>IF(AW26="","",VLOOKUP(AW26,DanhSach,4,FALSE))</f>
        <v>L.HỒNG</v>
      </c>
      <c r="AX60" s="35" t="str">
        <f>IF(AX26="","",VLOOKUP(AX26,DanhSach,4,FALSE))</f>
        <v>BẮC</v>
      </c>
      <c r="AY60" s="35" t="str">
        <f>IF(AY26="","",VLOOKUP(AY26,DanhSach,4,FALSE))</f>
        <v>VÂN (L)</v>
      </c>
      <c r="AZ60" s="35" t="str">
        <f>IF(AZ26="","",VLOOKUP(AZ26,DanhSach,4,FALSE))</f>
        <v>PHÚC(TH)</v>
      </c>
      <c r="BA60" s="35" t="str">
        <f>IF(BA26="","",VLOOKUP(BA26,DanhSach,4,FALSE))</f>
        <v>Nguyện</v>
      </c>
      <c r="BB60" s="35"/>
      <c r="BC60" s="35"/>
      <c r="BD60" s="35"/>
      <c r="BE60" s="35"/>
      <c r="BF60" s="35"/>
      <c r="BG60" s="35"/>
      <c r="BH60" s="35"/>
      <c r="BI60" s="35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</row>
    <row r="61" spans="1:77" ht="15.75" customHeight="1" x14ac:dyDescent="0.2">
      <c r="A61" s="32"/>
      <c r="B61" s="45">
        <v>4</v>
      </c>
      <c r="C61" s="35" t="str">
        <f>IF(C27="","",VLOOKUP(C27,DanhSach,4,FALSE))</f>
        <v>THƯƠNG</v>
      </c>
      <c r="D61" s="35" t="str">
        <f>IF(D27="","",VLOOKUP(D27,DanhSach,4,FALSE))</f>
        <v>DŨNG</v>
      </c>
      <c r="E61" s="35" t="str">
        <f>IF(E27="","",VLOOKUP(E27,DanhSach,4,FALSE))</f>
        <v>BÌNH</v>
      </c>
      <c r="F61" s="35" t="str">
        <f>IF(F27="","",VLOOKUP(F27,DanhSach,4,FALSE))</f>
        <v>HÂN</v>
      </c>
      <c r="G61" s="35" t="str">
        <f>IF(G27="","",VLOOKUP(G27,DanhSach,4,FALSE))</f>
        <v>TRỌNG</v>
      </c>
      <c r="H61" s="35" t="str">
        <f>IF(H27="","",VLOOKUP(H27,DanhSach,4,FALSE))</f>
        <v>NGHĨA</v>
      </c>
      <c r="I61" s="35" t="str">
        <f>IF(I27="","",VLOOKUP(I27,DanhSach,4,FALSE))</f>
        <v>HOÀNG</v>
      </c>
      <c r="J61" s="35" t="str">
        <f>IF(J27="","",VLOOKUP(J27,DanhSach,4,FALSE))</f>
        <v>TRÍ</v>
      </c>
      <c r="K61" s="35" t="str">
        <f>IF(K27="","",VLOOKUP(K27,DanhSach,4,FALSE))</f>
        <v>THU BA</v>
      </c>
      <c r="L61" s="35" t="str">
        <f>IF(L27="","",VLOOKUP(L27,DanhSach,4,FALSE))</f>
        <v>HÙNG (TH)</v>
      </c>
      <c r="M61" s="35" t="str">
        <f>IF(M27="","",VLOOKUP(M27,DanhSach,4,FALSE))</f>
        <v>YẾN</v>
      </c>
      <c r="N61" s="35" t="str">
        <f>IF(N27="","",VLOOKUP(N27,DanhSach,4,FALSE))</f>
        <v>THẮM</v>
      </c>
      <c r="O61" s="35" t="str">
        <f>IF(O27="","",VLOOKUP(O27,DanhSach,4,FALSE))</f>
        <v>HƯỜNG</v>
      </c>
      <c r="P61" s="35" t="str">
        <f>IF(P27="","",VLOOKUP(P27,DanhSach,4,FALSE))</f>
        <v>VĨNH</v>
      </c>
      <c r="Q61" s="35" t="str">
        <f>IF(Q27="","",VLOOKUP(Q27,DanhSach,4,FALSE))</f>
        <v>HUYỀN</v>
      </c>
      <c r="R61" s="35" t="str">
        <f>IF(R27="","",VLOOKUP(R27,DanhSach,4,FALSE))</f>
        <v/>
      </c>
      <c r="S61" s="35" t="str">
        <f>IF(S27="","",VLOOKUP(S27,DanhSach,4,FALSE))</f>
        <v/>
      </c>
      <c r="T61" s="35"/>
      <c r="U61" s="35"/>
      <c r="V61" s="35" t="str">
        <f>IF(V27="","",VLOOKUP(V27,DanhSach,4,FALSE))</f>
        <v>CƯỜNG (TH)</v>
      </c>
      <c r="W61" s="35" t="str">
        <f>IF(W27="","",VLOOKUP(W27,DanhSach,4,FALSE))</f>
        <v>NHƯ</v>
      </c>
      <c r="X61" s="35" t="str">
        <f>IF(X27="","",VLOOKUP(X27,DanhSach,4,FALSE))</f>
        <v>NGÂN</v>
      </c>
      <c r="Y61" s="35" t="str">
        <f>IF(Y27="","",VLOOKUP(Y27,DanhSach,4,FALSE))</f>
        <v>THẢO (QP)</v>
      </c>
      <c r="Z61" s="35" t="str">
        <f>IF(Z27="","",VLOOKUP(Z27,DanhSach,4,FALSE))</f>
        <v>THƯ (V)</v>
      </c>
      <c r="AA61" s="35" t="str">
        <f>IF(AA27="","",VLOOKUP(AA27,DanhSach,4,FALSE))</f>
        <v>UYÊN</v>
      </c>
      <c r="AB61" s="35" t="str">
        <f>IF(AB27="","",VLOOKUP(AB27,DanhSach,4,FALSE))</f>
        <v>VÂN (L)</v>
      </c>
      <c r="AC61" s="35" t="str">
        <f>IF(AC27="","",VLOOKUP(AC27,DanhSach,4,FALSE))</f>
        <v>TÂM</v>
      </c>
      <c r="AD61" s="35" t="str">
        <f>IF(AD27="","",VLOOKUP(AD27,DanhSach,4,FALSE))</f>
        <v>TRAN</v>
      </c>
      <c r="AE61" s="35" t="str">
        <f>IF(AE27="","",VLOOKUP(AE27,DanhSach,4,FALSE))</f>
        <v>D.LINH (T)</v>
      </c>
      <c r="AF61" s="35" t="str">
        <f>IF(AF27="","",VLOOKUP(AF27,DanhSach,4,FALSE))</f>
        <v>V.PHƯƠNG</v>
      </c>
      <c r="AG61" s="35" t="str">
        <f>IF(AG27="","",VLOOKUP(AG27,DanhSach,4,FALSE))</f>
        <v>HẬU</v>
      </c>
      <c r="AH61" s="35" t="str">
        <f>IF(AH27="","",VLOOKUP(AH27,DanhSach,4,FALSE))</f>
        <v>THẢO</v>
      </c>
      <c r="AI61" s="35" t="str">
        <f>IF(AI27="","",VLOOKUP(AI27,DanhSach,4,FALSE))</f>
        <v>H.THANH</v>
      </c>
      <c r="AJ61" s="35" t="str">
        <f>IF(AJ27="","",VLOOKUP(AJ27,DanhSach,4,FALSE))</f>
        <v/>
      </c>
      <c r="AK61" s="35" t="str">
        <f>IF(AK27="","",VLOOKUP(AK27,DanhSach,4,FALSE))</f>
        <v/>
      </c>
      <c r="AL61" s="35" t="str">
        <f>IF(AL27="","",VLOOKUP(AL27,DanhSach,4,FALSE))</f>
        <v/>
      </c>
      <c r="AM61" s="35" t="str">
        <f>IF(AM27="","",VLOOKUP(AM27,DanhSach,4,FALSE))</f>
        <v>HẠNH (L)</v>
      </c>
      <c r="AN61" s="35" t="str">
        <f>IF(AN27="","",VLOOKUP(AN27,DanhSach,4,FALSE))</f>
        <v>TỨ</v>
      </c>
      <c r="AO61" s="35" t="str">
        <f>IF(AO27="","",VLOOKUP(AO27,DanhSach,4,FALSE))</f>
        <v>THU (KTPL)</v>
      </c>
      <c r="AP61" s="35" t="str">
        <f>IF(AP27="","",VLOOKUP(AP27,DanhSach,4,FALSE))</f>
        <v>ÁNH</v>
      </c>
      <c r="AQ61" s="35" t="str">
        <f>IF(AQ27="","",VLOOKUP(AQ27,DanhSach,4,FALSE))</f>
        <v>HƯƠNG (L)</v>
      </c>
      <c r="AR61" s="35" t="str">
        <f>IF(AR27="","",VLOOKUP(AR27,DanhSach,4,FALSE))</f>
        <v>Nguyện</v>
      </c>
      <c r="AS61" s="35" t="str">
        <f>IF(AS27="","",VLOOKUP(AS27,DanhSach,4,FALSE))</f>
        <v>DIỆM (DP)</v>
      </c>
      <c r="AT61" s="35" t="str">
        <f>IF(AT27="","",VLOOKUP(AT27,DanhSach,4,FALSE))</f>
        <v>TRANG</v>
      </c>
      <c r="AU61" s="35" t="str">
        <f>IF(AU27="","",VLOOKUP(AU27,DanhSach,4,FALSE))</f>
        <v>TIÊN</v>
      </c>
      <c r="AV61" s="35" t="str">
        <f>IF(AV27="","",VLOOKUP(AV27,DanhSach,4,FALSE))</f>
        <v>THÊM</v>
      </c>
      <c r="AW61" s="35" t="str">
        <f>IF(AW27="","",VLOOKUP(AW27,DanhSach,4,FALSE))</f>
        <v>Duy</v>
      </c>
      <c r="AX61" s="35" t="str">
        <f>IF(AX27="","",VLOOKUP(AX27,DanhSach,4,FALSE))</f>
        <v>BẮC</v>
      </c>
      <c r="AY61" s="35" t="str">
        <f>IF(AY27="","",VLOOKUP(AY27,DanhSach,4,FALSE))</f>
        <v>THUỶ</v>
      </c>
      <c r="AZ61" s="35" t="str">
        <f>IF(AZ27="","",VLOOKUP(AZ27,DanhSach,4,FALSE))</f>
        <v>PHÚC(TH)</v>
      </c>
      <c r="BA61" s="35" t="str">
        <f>IF(BA27="","",VLOOKUP(BA27,DanhSach,4,FALSE))</f>
        <v>LÀI</v>
      </c>
      <c r="BB61" s="35"/>
      <c r="BC61" s="35"/>
      <c r="BD61" s="35"/>
      <c r="BE61" s="35"/>
      <c r="BF61" s="35"/>
      <c r="BG61" s="35"/>
      <c r="BH61" s="35"/>
      <c r="BI61" s="35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</row>
    <row r="62" spans="1:77" ht="15.75" customHeight="1" thickBot="1" x14ac:dyDescent="0.25">
      <c r="A62" s="39"/>
      <c r="B62" s="46">
        <v>5</v>
      </c>
      <c r="C62" s="41" t="str">
        <f>IF(C28="","",VLOOKUP(C28,DanhSach,4,FALSE))</f>
        <v/>
      </c>
      <c r="D62" s="41" t="str">
        <f>IF(D28="","",VLOOKUP(D28,DanhSach,4,FALSE))</f>
        <v/>
      </c>
      <c r="E62" s="41" t="str">
        <f>IF(E28="","",VLOOKUP(E28,DanhSach,4,FALSE))</f>
        <v/>
      </c>
      <c r="F62" s="41" t="str">
        <f>IF(F28="","",VLOOKUP(F28,DanhSach,4,FALSE))</f>
        <v/>
      </c>
      <c r="G62" s="41" t="str">
        <f>IF(G28="","",VLOOKUP(G28,DanhSach,4,FALSE))</f>
        <v/>
      </c>
      <c r="H62" s="41" t="str">
        <f>IF(H28="","",VLOOKUP(H28,DanhSach,4,FALSE))</f>
        <v/>
      </c>
      <c r="I62" s="41" t="str">
        <f>IF(I28="","",VLOOKUP(I28,DanhSach,4,FALSE))</f>
        <v/>
      </c>
      <c r="J62" s="41" t="str">
        <f>IF(J28="","",VLOOKUP(J28,DanhSach,4,FALSE))</f>
        <v/>
      </c>
      <c r="K62" s="41" t="str">
        <f>IF(K28="","",VLOOKUP(K28,DanhSach,4,FALSE))</f>
        <v/>
      </c>
      <c r="L62" s="41" t="str">
        <f>IF(L28="","",VLOOKUP(L28,DanhSach,4,FALSE))</f>
        <v/>
      </c>
      <c r="M62" s="41" t="str">
        <f>IF(M28="","",VLOOKUP(M28,DanhSach,4,FALSE))</f>
        <v/>
      </c>
      <c r="N62" s="41" t="str">
        <f>IF(N28="","",VLOOKUP(N28,DanhSach,4,FALSE))</f>
        <v/>
      </c>
      <c r="O62" s="41" t="str">
        <f>IF(O28="","",VLOOKUP(O28,DanhSach,4,FALSE))</f>
        <v/>
      </c>
      <c r="P62" s="41" t="str">
        <f>IF(P28="","",VLOOKUP(P28,DanhSach,4,FALSE))</f>
        <v/>
      </c>
      <c r="Q62" s="41" t="str">
        <f>IF(Q28="","",VLOOKUP(Q28,DanhSach,4,FALSE))</f>
        <v/>
      </c>
      <c r="R62" s="41" t="str">
        <f>IF(R28="","",VLOOKUP(R28,DanhSach,4,FALSE))</f>
        <v/>
      </c>
      <c r="S62" s="41" t="str">
        <f>IF(S28="","",VLOOKUP(S28,DanhSach,4,FALSE))</f>
        <v/>
      </c>
      <c r="T62" s="41"/>
      <c r="U62" s="41"/>
      <c r="V62" s="41" t="str">
        <f>IF(V28="","",VLOOKUP(V28,DanhSach,4,FALSE))</f>
        <v/>
      </c>
      <c r="W62" s="41" t="str">
        <f>IF(W28="","",VLOOKUP(W28,DanhSach,4,FALSE))</f>
        <v/>
      </c>
      <c r="X62" s="41" t="str">
        <f>IF(X28="","",VLOOKUP(X28,DanhSach,4,FALSE))</f>
        <v/>
      </c>
      <c r="Y62" s="41" t="str">
        <f>IF(Y28="","",VLOOKUP(Y28,DanhSach,4,FALSE))</f>
        <v/>
      </c>
      <c r="Z62" s="41" t="str">
        <f>IF(Z28="","",VLOOKUP(Z28,DanhSach,4,FALSE))</f>
        <v/>
      </c>
      <c r="AA62" s="41" t="str">
        <f>IF(AA28="","",VLOOKUP(AA28,DanhSach,4,FALSE))</f>
        <v/>
      </c>
      <c r="AB62" s="41" t="str">
        <f>IF(AB28="","",VLOOKUP(AB28,DanhSach,4,FALSE))</f>
        <v/>
      </c>
      <c r="AC62" s="41" t="str">
        <f>IF(AC28="","",VLOOKUP(AC28,DanhSach,4,FALSE))</f>
        <v/>
      </c>
      <c r="AD62" s="41" t="str">
        <f>IF(AD28="","",VLOOKUP(AD28,DanhSach,4,FALSE))</f>
        <v/>
      </c>
      <c r="AE62" s="41" t="str">
        <f>IF(AE28="","",VLOOKUP(AE28,DanhSach,4,FALSE))</f>
        <v/>
      </c>
      <c r="AF62" s="41" t="str">
        <f>IF(AF28="","",VLOOKUP(AF28,DanhSach,4,FALSE))</f>
        <v/>
      </c>
      <c r="AG62" s="41" t="str">
        <f>IF(AG28="","",VLOOKUP(AG28,DanhSach,4,FALSE))</f>
        <v/>
      </c>
      <c r="AH62" s="41" t="str">
        <f>IF(AH28="","",VLOOKUP(AH28,DanhSach,4,FALSE))</f>
        <v/>
      </c>
      <c r="AI62" s="41" t="str">
        <f>IF(AI28="","",VLOOKUP(AI28,DanhSach,4,FALSE))</f>
        <v/>
      </c>
      <c r="AJ62" s="41" t="str">
        <f>IF(AJ28="","",VLOOKUP(AJ28,DanhSach,4,FALSE))</f>
        <v/>
      </c>
      <c r="AK62" s="41" t="str">
        <f>IF(AK28="","",VLOOKUP(AK28,DanhSach,4,FALSE))</f>
        <v/>
      </c>
      <c r="AL62" s="41" t="str">
        <f>IF(AL28="","",VLOOKUP(AL28,DanhSach,4,FALSE))</f>
        <v/>
      </c>
      <c r="AM62" s="41" t="str">
        <f>IF(AM28="","",VLOOKUP(AM28,DanhSach,4,FALSE))</f>
        <v/>
      </c>
      <c r="AN62" s="41" t="str">
        <f>IF(AN28="","",VLOOKUP(AN28,DanhSach,4,FALSE))</f>
        <v/>
      </c>
      <c r="AO62" s="41" t="str">
        <f>IF(AO28="","",VLOOKUP(AO28,DanhSach,4,FALSE))</f>
        <v/>
      </c>
      <c r="AP62" s="41" t="str">
        <f>IF(AP28="","",VLOOKUP(AP28,DanhSach,4,FALSE))</f>
        <v/>
      </c>
      <c r="AQ62" s="41" t="str">
        <f>IF(AQ28="","",VLOOKUP(AQ28,DanhSach,4,FALSE))</f>
        <v/>
      </c>
      <c r="AR62" s="41" t="str">
        <f>IF(AR28="","",VLOOKUP(AR28,DanhSach,4,FALSE))</f>
        <v/>
      </c>
      <c r="AS62" s="41" t="str">
        <f>IF(AS28="","",VLOOKUP(AS28,DanhSach,4,FALSE))</f>
        <v/>
      </c>
      <c r="AT62" s="41" t="str">
        <f>IF(AT28="","",VLOOKUP(AT28,DanhSach,4,FALSE))</f>
        <v/>
      </c>
      <c r="AU62" s="41" t="str">
        <f>IF(AU28="","",VLOOKUP(AU28,DanhSach,4,FALSE))</f>
        <v/>
      </c>
      <c r="AV62" s="41" t="str">
        <f>IF(AV28="","",VLOOKUP(AV28,DanhSach,4,FALSE))</f>
        <v/>
      </c>
      <c r="AW62" s="41"/>
      <c r="AX62" s="41" t="str">
        <f>IF(AX28="","",VLOOKUP(AX28,DanhSach,4,FALSE))</f>
        <v/>
      </c>
      <c r="AY62" s="41" t="str">
        <f>IF(AY28="","",VLOOKUP(AY28,DanhSach,4,FALSE))</f>
        <v/>
      </c>
      <c r="AZ62" s="41" t="str">
        <f>IF(AZ28="","",VLOOKUP(AZ28,DanhSach,4,FALSE))</f>
        <v/>
      </c>
      <c r="BA62" s="41" t="str">
        <f>IF(BA28="","",VLOOKUP(BA28,DanhSach,4,FALSE))</f>
        <v/>
      </c>
      <c r="BB62" s="41"/>
      <c r="BC62" s="41"/>
      <c r="BD62" s="41"/>
      <c r="BE62" s="41"/>
      <c r="BF62" s="41"/>
      <c r="BG62" s="41"/>
      <c r="BH62" s="41"/>
      <c r="BI62" s="41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</row>
    <row r="63" spans="1:77" ht="15.75" customHeight="1" x14ac:dyDescent="0.2">
      <c r="A63" s="42" t="s">
        <v>231</v>
      </c>
      <c r="B63" s="43">
        <v>1</v>
      </c>
      <c r="C63" s="44" t="str">
        <f>IF(C29="","",VLOOKUP(C29,DanhSach,4,FALSE))</f>
        <v/>
      </c>
      <c r="D63" s="44" t="str">
        <f>IF(D29="","",VLOOKUP(D29,DanhSach,4,FALSE))</f>
        <v/>
      </c>
      <c r="E63" s="44" t="str">
        <f>IF(E29="","",VLOOKUP(E29,DanhSach,4,FALSE))</f>
        <v/>
      </c>
      <c r="F63" s="44" t="str">
        <f>IF(F29="","",VLOOKUP(F29,DanhSach,4,FALSE))</f>
        <v/>
      </c>
      <c r="G63" s="44" t="str">
        <f>IF(G29="","",VLOOKUP(G29,DanhSach,4,FALSE))</f>
        <v/>
      </c>
      <c r="H63" s="44" t="str">
        <f>IF(H29="","",VLOOKUP(H29,DanhSach,4,FALSE))</f>
        <v/>
      </c>
      <c r="I63" s="44" t="str">
        <f>IF(I29="","",VLOOKUP(I29,DanhSach,4,FALSE))</f>
        <v/>
      </c>
      <c r="J63" s="44" t="str">
        <f>IF(J29="","",VLOOKUP(J29,DanhSach,4,FALSE))</f>
        <v/>
      </c>
      <c r="K63" s="44" t="str">
        <f>IF(K29="","",VLOOKUP(K29,DanhSach,4,FALSE))</f>
        <v/>
      </c>
      <c r="L63" s="44" t="str">
        <f>IF(L29="","",VLOOKUP(L29,DanhSach,4,FALSE))</f>
        <v/>
      </c>
      <c r="M63" s="44" t="str">
        <f>IF(M29="","",VLOOKUP(M29,DanhSach,4,FALSE))</f>
        <v/>
      </c>
      <c r="N63" s="44" t="str">
        <f>IF(N29="","",VLOOKUP(N29,DanhSach,4,FALSE))</f>
        <v/>
      </c>
      <c r="O63" s="44" t="str">
        <f>IF(O29="","",VLOOKUP(O29,DanhSach,4,FALSE))</f>
        <v/>
      </c>
      <c r="P63" s="44" t="str">
        <f>IF(P29="","",VLOOKUP(P29,DanhSach,4,FALSE))</f>
        <v/>
      </c>
      <c r="Q63" s="44"/>
      <c r="R63" s="44"/>
      <c r="S63" s="44"/>
      <c r="T63" s="44"/>
      <c r="U63" s="44"/>
      <c r="V63" s="44" t="str">
        <f>IF(V29="","",VLOOKUP(V29,DanhSach,4,FALSE))</f>
        <v/>
      </c>
      <c r="W63" s="44" t="str">
        <f>IF(W29="","",VLOOKUP(W29,DanhSach,4,FALSE))</f>
        <v/>
      </c>
      <c r="X63" s="44" t="str">
        <f>IF(X29="","",VLOOKUP(X29,DanhSach,4,FALSE))</f>
        <v/>
      </c>
      <c r="Y63" s="44" t="str">
        <f>IF(Y29="","",VLOOKUP(Y29,DanhSach,4,FALSE))</f>
        <v>HƯƠNG (L)</v>
      </c>
      <c r="Z63" s="44" t="str">
        <f>IF(Z29="","",VLOOKUP(Z29,DanhSach,4,FALSE))</f>
        <v/>
      </c>
      <c r="AA63" s="44" t="str">
        <f>IF(AA29="","",VLOOKUP(AA29,DanhSach,4,FALSE))</f>
        <v/>
      </c>
      <c r="AB63" s="44" t="str">
        <f>IF(AB29="","",VLOOKUP(AB29,DanhSach,4,FALSE))</f>
        <v/>
      </c>
      <c r="AC63" s="44" t="str">
        <f>IF(AC29="","",VLOOKUP(AC29,DanhSach,4,FALSE))</f>
        <v/>
      </c>
      <c r="AD63" s="44" t="str">
        <f>IF(AD29="","",VLOOKUP(AD29,DanhSach,4,FALSE))</f>
        <v/>
      </c>
      <c r="AE63" s="44" t="str">
        <f>IF(AE29="","",VLOOKUP(AE29,DanhSach,4,FALSE))</f>
        <v/>
      </c>
      <c r="AF63" s="44" t="str">
        <f>IF(AF29="","",VLOOKUP(AF29,DanhSach,4,FALSE))</f>
        <v/>
      </c>
      <c r="AG63" s="44" t="str">
        <f>IF(AG29="","",VLOOKUP(AG29,DanhSach,4,FALSE))</f>
        <v/>
      </c>
      <c r="AH63" s="44" t="str">
        <f>IF(AH29="","",VLOOKUP(AH29,DanhSach,4,FALSE))</f>
        <v/>
      </c>
      <c r="AI63" s="44" t="str">
        <f>IF(AI29="","",VLOOKUP(AI29,DanhSach,4,FALSE))</f>
        <v/>
      </c>
      <c r="AJ63" s="44" t="str">
        <f>IF(AJ29="","",VLOOKUP(AJ29,DanhSach,4,FALSE))</f>
        <v/>
      </c>
      <c r="AK63" s="44" t="str">
        <f>IF(AK29="","",VLOOKUP(AK29,DanhSach,4,FALSE))</f>
        <v/>
      </c>
      <c r="AL63" s="44" t="str">
        <f>IF(AL29="","",VLOOKUP(AL29,DanhSach,4,FALSE))</f>
        <v/>
      </c>
      <c r="AM63" s="44" t="str">
        <f>IF(AM29="","",VLOOKUP(AM29,DanhSach,4,FALSE))</f>
        <v/>
      </c>
      <c r="AN63" s="44" t="str">
        <f>IF(AN29="","",VLOOKUP(AN29,DanhSach,4,FALSE))</f>
        <v>KHUYÊN</v>
      </c>
      <c r="AO63" s="44" t="str">
        <f>IF(AO29="","",VLOOKUP(AO29,DanhSach,4,FALSE))</f>
        <v/>
      </c>
      <c r="AP63" s="44" t="str">
        <f>IF(AP29="","",VLOOKUP(AP29,DanhSach,4,FALSE))</f>
        <v/>
      </c>
      <c r="AQ63" s="44" t="str">
        <f>IF(AQ29="","",VLOOKUP(AQ29,DanhSach,4,FALSE))</f>
        <v/>
      </c>
      <c r="AR63" s="44" t="str">
        <f>IF(AR29="","",VLOOKUP(AR29,DanhSach,4,FALSE))</f>
        <v/>
      </c>
      <c r="AS63" s="44" t="str">
        <f>IF(AS29="","",VLOOKUP(AS29,DanhSach,4,FALSE))</f>
        <v/>
      </c>
      <c r="AT63" s="44" t="str">
        <f>IF(AT29="","",VLOOKUP(AT29,DanhSach,4,FALSE))</f>
        <v/>
      </c>
      <c r="AU63" s="44" t="str">
        <f>IF(AU29="","",VLOOKUP(AU29,DanhSach,4,FALSE))</f>
        <v/>
      </c>
      <c r="AV63" s="44" t="str">
        <f>IF(AV29="","",VLOOKUP(AV29,DanhSach,4,FALSE))</f>
        <v>Linh (TV)(HN)</v>
      </c>
      <c r="AW63" s="44" t="str">
        <f>IF(AW29="","",VLOOKUP(AW29,DanhSach,4,FALSE))</f>
        <v/>
      </c>
      <c r="AX63" s="44" t="str">
        <f>IF(AX29="","",VLOOKUP(AX29,DanhSach,4,FALSE))</f>
        <v/>
      </c>
      <c r="AY63" s="44" t="str">
        <f>IF(AY29="","",VLOOKUP(AY29,DanhSach,4,FALSE))</f>
        <v/>
      </c>
      <c r="AZ63" s="44" t="str">
        <f>IF(AZ29="","",VLOOKUP(AZ29,DanhSach,4,FALSE))</f>
        <v/>
      </c>
      <c r="BA63" s="44" t="str">
        <f>IF(BA29="","",VLOOKUP(BA29,DanhSach,4,FALSE))</f>
        <v/>
      </c>
      <c r="BB63" s="44"/>
      <c r="BC63" s="44"/>
      <c r="BD63" s="44"/>
      <c r="BE63" s="44"/>
      <c r="BF63" s="44"/>
      <c r="BG63" s="44"/>
      <c r="BH63" s="44"/>
      <c r="BI63" s="44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</row>
    <row r="64" spans="1:77" ht="15.75" customHeight="1" x14ac:dyDescent="0.2">
      <c r="A64" s="32" t="s">
        <v>193</v>
      </c>
      <c r="B64" s="45">
        <v>2</v>
      </c>
      <c r="C64" s="35" t="str">
        <f>IF(C30="","",VLOOKUP(C30,DanhSach,4,FALSE))</f>
        <v/>
      </c>
      <c r="D64" s="35" t="str">
        <f>IF(D30="","",VLOOKUP(D30,DanhSach,4,FALSE))</f>
        <v/>
      </c>
      <c r="E64" s="35" t="str">
        <f>IF(E30="","",VLOOKUP(E30,DanhSach,4,FALSE))</f>
        <v/>
      </c>
      <c r="F64" s="35" t="str">
        <f>IF(F30="","",VLOOKUP(F30,DanhSach,4,FALSE))</f>
        <v/>
      </c>
      <c r="G64" s="35" t="str">
        <f>IF(G30="","",VLOOKUP(G30,DanhSach,4,FALSE))</f>
        <v/>
      </c>
      <c r="H64" s="35" t="str">
        <f>IF(H30="","",VLOOKUP(H30,DanhSach,4,FALSE))</f>
        <v/>
      </c>
      <c r="I64" s="35" t="str">
        <f>IF(I30="","",VLOOKUP(I30,DanhSach,4,FALSE))</f>
        <v/>
      </c>
      <c r="J64" s="35" t="str">
        <f>IF(J30="","",VLOOKUP(J30,DanhSach,4,FALSE))</f>
        <v/>
      </c>
      <c r="K64" s="35" t="str">
        <f>IF(K30="","",VLOOKUP(K30,DanhSach,4,FALSE))</f>
        <v/>
      </c>
      <c r="L64" s="35" t="str">
        <f>IF(L30="","",VLOOKUP(L30,DanhSach,4,FALSE))</f>
        <v/>
      </c>
      <c r="M64" s="35" t="str">
        <f>IF(M30="","",VLOOKUP(M30,DanhSach,4,FALSE))</f>
        <v/>
      </c>
      <c r="N64" s="35" t="str">
        <f>IF(N30="","",VLOOKUP(N30,DanhSach,4,FALSE))</f>
        <v/>
      </c>
      <c r="O64" s="35" t="str">
        <f>IF(O30="","",VLOOKUP(O30,DanhSach,4,FALSE))</f>
        <v/>
      </c>
      <c r="P64" s="35" t="str">
        <f>IF(P30="","",VLOOKUP(P30,DanhSach,4,FALSE))</f>
        <v/>
      </c>
      <c r="Q64" s="35"/>
      <c r="R64" s="35"/>
      <c r="S64" s="35"/>
      <c r="T64" s="35"/>
      <c r="U64" s="35"/>
      <c r="V64" s="35" t="str">
        <f>IF(V30="","",VLOOKUP(V30,DanhSach,4,FALSE))</f>
        <v/>
      </c>
      <c r="W64" s="35" t="str">
        <f>IF(W30="","",VLOOKUP(W30,DanhSach,4,FALSE))</f>
        <v/>
      </c>
      <c r="X64" s="35" t="str">
        <f>IF(X30="","",VLOOKUP(X30,DanhSach,4,FALSE))</f>
        <v/>
      </c>
      <c r="Y64" s="35" t="str">
        <f>IF(Y30="","",VLOOKUP(Y30,DanhSach,4,FALSE))</f>
        <v/>
      </c>
      <c r="Z64" s="35" t="str">
        <f>IF(Z30="","",VLOOKUP(Z30,DanhSach,4,FALSE))</f>
        <v>Linh (TV)(HN)</v>
      </c>
      <c r="AA64" s="35" t="str">
        <f>IF(AA30="","",VLOOKUP(AA30,DanhSach,4,FALSE))</f>
        <v/>
      </c>
      <c r="AB64" s="35" t="str">
        <f>IF(AB30="","",VLOOKUP(AB30,DanhSach,4,FALSE))</f>
        <v/>
      </c>
      <c r="AC64" s="35" t="str">
        <f>IF(AC30="","",VLOOKUP(AC30,DanhSach,4,FALSE))</f>
        <v/>
      </c>
      <c r="AD64" s="35" t="str">
        <f>IF(AD30="","",VLOOKUP(AD30,DanhSach,4,FALSE))</f>
        <v/>
      </c>
      <c r="AE64" s="35" t="str">
        <f>IF(AE30="","",VLOOKUP(AE30,DanhSach,4,FALSE))</f>
        <v>B. TRANG</v>
      </c>
      <c r="AF64" s="35" t="str">
        <f>IF(AF30="","",VLOOKUP(AF30,DanhSach,4,FALSE))</f>
        <v>HẬU</v>
      </c>
      <c r="AG64" s="35" t="str">
        <f>IF(AG30="","",VLOOKUP(AG30,DanhSach,4,FALSE))</f>
        <v>HƯƠNG (L)</v>
      </c>
      <c r="AH64" s="35" t="str">
        <f>IF(AH30="","",VLOOKUP(AH30,DanhSach,4,FALSE))</f>
        <v/>
      </c>
      <c r="AI64" s="35" t="str">
        <f>IF(AI30="","",VLOOKUP(AI30,DanhSach,4,FALSE))</f>
        <v>DIỆM (HN)</v>
      </c>
      <c r="AJ64" s="35" t="str">
        <f>IF(AJ30="","",VLOOKUP(AJ30,DanhSach,4,FALSE))</f>
        <v/>
      </c>
      <c r="AK64" s="35" t="str">
        <f>IF(AK30="","",VLOOKUP(AK30,DanhSach,4,FALSE))</f>
        <v/>
      </c>
      <c r="AL64" s="35" t="str">
        <f>IF(AL30="","",VLOOKUP(AL30,DanhSach,4,FALSE))</f>
        <v/>
      </c>
      <c r="AM64" s="35" t="str">
        <f>IF(AM30="","",VLOOKUP(AM30,DanhSach,4,FALSE))</f>
        <v/>
      </c>
      <c r="AN64" s="35" t="str">
        <f>IF(AN30="","",VLOOKUP(AN30,DanhSach,4,FALSE))</f>
        <v/>
      </c>
      <c r="AO64" s="35" t="str">
        <f>IF(AO30="","",VLOOKUP(AO30,DanhSach,4,FALSE))</f>
        <v/>
      </c>
      <c r="AP64" s="35" t="str">
        <f>IF(AP30="","",VLOOKUP(AP30,DanhSach,4,FALSE))</f>
        <v/>
      </c>
      <c r="AQ64" s="35" t="str">
        <f>IF(AQ30="","",VLOOKUP(AQ30,DanhSach,4,FALSE))</f>
        <v/>
      </c>
      <c r="AR64" s="35" t="str">
        <f>IF(AR30="","",VLOOKUP(AR30,DanhSach,4,FALSE))</f>
        <v/>
      </c>
      <c r="AS64" s="35" t="str">
        <f>IF(AS30="","",VLOOKUP(AS30,DanhSach,4,FALSE))</f>
        <v/>
      </c>
      <c r="AT64" s="35" t="str">
        <f>IF(AT30="","",VLOOKUP(AT30,DanhSach,4,FALSE))</f>
        <v/>
      </c>
      <c r="AU64" s="35" t="str">
        <f>IF(AU30="","",VLOOKUP(AU30,DanhSach,4,FALSE))</f>
        <v/>
      </c>
      <c r="AV64" s="35" t="str">
        <f>IF(AV30="","",VLOOKUP(AV30,DanhSach,4,FALSE))</f>
        <v/>
      </c>
      <c r="AW64" s="35" t="str">
        <f>IF(AW30="","",VLOOKUP(AW30,DanhSach,4,FALSE))</f>
        <v/>
      </c>
      <c r="AX64" s="35" t="str">
        <f>IF(AX30="","",VLOOKUP(AX30,DanhSach,4,FALSE))</f>
        <v/>
      </c>
      <c r="AY64" s="35" t="str">
        <f>IF(AY30="","",VLOOKUP(AY30,DanhSach,4,FALSE))</f>
        <v/>
      </c>
      <c r="AZ64" s="35" t="str">
        <f>IF(AZ30="","",VLOOKUP(AZ30,DanhSach,4,FALSE))</f>
        <v>ÁNH</v>
      </c>
      <c r="BA64" s="35" t="str">
        <f>IF(BA30="","",VLOOKUP(BA30,DanhSach,4,FALSE))</f>
        <v>KHUYÊN</v>
      </c>
      <c r="BB64" s="35"/>
      <c r="BC64" s="35"/>
      <c r="BD64" s="35"/>
      <c r="BE64" s="35"/>
      <c r="BF64" s="35"/>
      <c r="BG64" s="35"/>
      <c r="BH64" s="35"/>
      <c r="BI64" s="35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</row>
    <row r="65" spans="1:77" ht="15.75" customHeight="1" x14ac:dyDescent="0.2">
      <c r="A65" s="32" t="s">
        <v>233</v>
      </c>
      <c r="B65" s="45">
        <v>3</v>
      </c>
      <c r="C65" s="35" t="str">
        <f>IF(C31="","",VLOOKUP(C31,DanhSach,4,FALSE))</f>
        <v/>
      </c>
      <c r="D65" s="35" t="str">
        <f>IF(D31="","",VLOOKUP(D31,DanhSach,4,FALSE))</f>
        <v/>
      </c>
      <c r="E65" s="35" t="str">
        <f>IF(E31="","",VLOOKUP(E31,DanhSach,4,FALSE))</f>
        <v/>
      </c>
      <c r="F65" s="35" t="str">
        <f>IF(F31="","",VLOOKUP(F31,DanhSach,4,FALSE))</f>
        <v/>
      </c>
      <c r="G65" s="35" t="str">
        <f>IF(G31="","",VLOOKUP(G31,DanhSach,4,FALSE))</f>
        <v/>
      </c>
      <c r="H65" s="35" t="str">
        <f>IF(H31="","",VLOOKUP(H31,DanhSach,4,FALSE))</f>
        <v/>
      </c>
      <c r="I65" s="35" t="str">
        <f>IF(I31="","",VLOOKUP(I31,DanhSach,4,FALSE))</f>
        <v/>
      </c>
      <c r="J65" s="35" t="str">
        <f>IF(J31="","",VLOOKUP(J31,DanhSach,4,FALSE))</f>
        <v/>
      </c>
      <c r="K65" s="35" t="str">
        <f>IF(K31="","",VLOOKUP(K31,DanhSach,4,FALSE))</f>
        <v/>
      </c>
      <c r="L65" s="35" t="str">
        <f>IF(L31="","",VLOOKUP(L31,DanhSach,4,FALSE))</f>
        <v/>
      </c>
      <c r="M65" s="35" t="str">
        <f>IF(M31="","",VLOOKUP(M31,DanhSach,4,FALSE))</f>
        <v/>
      </c>
      <c r="N65" s="35" t="str">
        <f>IF(N31="","",VLOOKUP(N31,DanhSach,4,FALSE))</f>
        <v/>
      </c>
      <c r="O65" s="35" t="str">
        <f>IF(O31="","",VLOOKUP(O31,DanhSach,4,FALSE))</f>
        <v/>
      </c>
      <c r="P65" s="35" t="str">
        <f>IF(P31="","",VLOOKUP(P31,DanhSach,4,FALSE))</f>
        <v/>
      </c>
      <c r="Q65" s="35"/>
      <c r="R65" s="35"/>
      <c r="S65" s="35"/>
      <c r="T65" s="35"/>
      <c r="U65" s="35"/>
      <c r="V65" s="35" t="str">
        <f>IF(V31="","",VLOOKUP(V31,DanhSach,4,FALSE))</f>
        <v/>
      </c>
      <c r="W65" s="35" t="str">
        <f>IF(W31="","",VLOOKUP(W31,DanhSach,4,FALSE))</f>
        <v>TỨ</v>
      </c>
      <c r="X65" s="35" t="str">
        <f>IF(X31="","",VLOOKUP(X31,DanhSach,4,FALSE))</f>
        <v>M.THI</v>
      </c>
      <c r="Y65" s="35" t="str">
        <f>IF(Y31="","",VLOOKUP(Y31,DanhSach,4,FALSE))</f>
        <v/>
      </c>
      <c r="Z65" s="35" t="str">
        <f>IF(Z31="","",VLOOKUP(Z31,DanhSach,4,FALSE))</f>
        <v/>
      </c>
      <c r="AA65" s="35" t="str">
        <f>IF(AA31="","",VLOOKUP(AA31,DanhSach,4,FALSE))</f>
        <v>TRỌNG</v>
      </c>
      <c r="AB65" s="35" t="str">
        <f>IF(AB31="","",VLOOKUP(AB31,DanhSach,4,FALSE))</f>
        <v>CHẤT</v>
      </c>
      <c r="AC65" s="35" t="str">
        <f>IF(AC31="","",VLOOKUP(AC31,DanhSach,4,FALSE))</f>
        <v>MINH (H)</v>
      </c>
      <c r="AD65" s="35" t="str">
        <f>IF(AD31="","",VLOOKUP(AD31,DanhSach,4,FALSE))</f>
        <v>HẠNH (L)</v>
      </c>
      <c r="AE65" s="35" t="str">
        <f>IF(AE31="","",VLOOKUP(AE31,DanhSach,4,FALSE))</f>
        <v/>
      </c>
      <c r="AF65" s="35" t="str">
        <f>IF(AF31="","",VLOOKUP(AF31,DanhSach,4,FALSE))</f>
        <v/>
      </c>
      <c r="AG65" s="35" t="str">
        <f>IF(AG31="","",VLOOKUP(AG31,DanhSach,4,FALSE))</f>
        <v/>
      </c>
      <c r="AH65" s="35" t="str">
        <f>IF(AH31="","",VLOOKUP(AH31,DanhSach,4,FALSE))</f>
        <v>T.GIANG</v>
      </c>
      <c r="AI65" s="35" t="str">
        <f>IF(AI31="","",VLOOKUP(AI31,DanhSach,4,FALSE))</f>
        <v/>
      </c>
      <c r="AJ65" s="35" t="str">
        <f>IF(AJ31="","",VLOOKUP(AJ31,DanhSach,4,FALSE))</f>
        <v/>
      </c>
      <c r="AK65" s="35" t="str">
        <f>IF(AK31="","",VLOOKUP(AK31,DanhSach,4,FALSE))</f>
        <v/>
      </c>
      <c r="AL65" s="35" t="str">
        <f>IF(AL31="","",VLOOKUP(AL31,DanhSach,4,FALSE))</f>
        <v/>
      </c>
      <c r="AM65" s="35" t="str">
        <f>IF(AM31="","",VLOOKUP(AM31,DanhSach,4,FALSE))</f>
        <v>DIỄM</v>
      </c>
      <c r="AN65" s="35" t="str">
        <f>IF(AN31="","",VLOOKUP(AN31,DanhSach,4,FALSE))</f>
        <v/>
      </c>
      <c r="AO65" s="35" t="str">
        <f>IF(AO31="","",VLOOKUP(AO31,DanhSach,4,FALSE))</f>
        <v/>
      </c>
      <c r="AP65" s="35" t="str">
        <f>IF(AP31="","",VLOOKUP(AP31,DanhSach,4,FALSE))</f>
        <v>L.HỒNG</v>
      </c>
      <c r="AQ65" s="35" t="str">
        <f>IF(AQ31="","",VLOOKUP(AQ31,DanhSach,4,FALSE))</f>
        <v>HÂN</v>
      </c>
      <c r="AR65" s="35" t="str">
        <f>IF(AR31="","",VLOOKUP(AR31,DanhSach,4,FALSE))</f>
        <v>HẬU</v>
      </c>
      <c r="AS65" s="35" t="str">
        <f>IF(AS31="","",VLOOKUP(AS31,DanhSach,4,FALSE))</f>
        <v>DIỆM (HN)</v>
      </c>
      <c r="AT65" s="35" t="str">
        <f>IF(AT31="","",VLOOKUP(AT31,DanhSach,4,FALSE))</f>
        <v>ÁNH</v>
      </c>
      <c r="AU65" s="35" t="str">
        <f>IF(AU31="","",VLOOKUP(AU31,DanhSach,4,FALSE))</f>
        <v>THƯƠNG</v>
      </c>
      <c r="AV65" s="35" t="str">
        <f>IF(AV31="","",VLOOKUP(AV31,DanhSach,4,FALSE))</f>
        <v/>
      </c>
      <c r="AW65" s="35" t="str">
        <f>IF(AW31="","",VLOOKUP(AW31,DanhSach,4,FALSE))</f>
        <v/>
      </c>
      <c r="AX65" s="35" t="str">
        <f>IF(AX31="","",VLOOKUP(AX31,DanhSach,4,FALSE))</f>
        <v>HƯƠNG (L)</v>
      </c>
      <c r="AY65" s="35" t="str">
        <f>IF(AY31="","",VLOOKUP(AY31,DanhSach,4,FALSE))</f>
        <v/>
      </c>
      <c r="AZ65" s="35" t="str">
        <f>IF(AZ31="","",VLOOKUP(AZ31,DanhSach,4,FALSE))</f>
        <v/>
      </c>
      <c r="BA65" s="35" t="str">
        <f>IF(BA31="","",VLOOKUP(BA31,DanhSach,4,FALSE))</f>
        <v/>
      </c>
      <c r="BB65" s="35"/>
      <c r="BC65" s="35"/>
      <c r="BD65" s="35"/>
      <c r="BE65" s="35"/>
      <c r="BF65" s="35"/>
      <c r="BG65" s="35"/>
      <c r="BH65" s="35"/>
      <c r="BI65" s="35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</row>
    <row r="66" spans="1:77" ht="15.75" customHeight="1" x14ac:dyDescent="0.2">
      <c r="A66" s="32"/>
      <c r="B66" s="45">
        <v>4</v>
      </c>
      <c r="C66" s="35" t="str">
        <f>IF(C32="","",VLOOKUP(C32,DanhSach,4,FALSE))</f>
        <v/>
      </c>
      <c r="D66" s="35" t="str">
        <f>IF(D32="","",VLOOKUP(D32,DanhSach,4,FALSE))</f>
        <v/>
      </c>
      <c r="E66" s="35" t="str">
        <f>IF(E32="","",VLOOKUP(E32,DanhSach,4,FALSE))</f>
        <v/>
      </c>
      <c r="F66" s="35" t="str">
        <f>IF(F32="","",VLOOKUP(F32,DanhSach,4,FALSE))</f>
        <v/>
      </c>
      <c r="G66" s="35" t="str">
        <f>IF(G32="","",VLOOKUP(G32,DanhSach,4,FALSE))</f>
        <v/>
      </c>
      <c r="H66" s="35" t="str">
        <f>IF(H32="","",VLOOKUP(H32,DanhSach,4,FALSE))</f>
        <v/>
      </c>
      <c r="I66" s="35" t="str">
        <f>IF(I32="","",VLOOKUP(I32,DanhSach,4,FALSE))</f>
        <v/>
      </c>
      <c r="J66" s="35" t="str">
        <f>IF(J32="","",VLOOKUP(J32,DanhSach,4,FALSE))</f>
        <v/>
      </c>
      <c r="K66" s="35" t="str">
        <f>IF(K32="","",VLOOKUP(K32,DanhSach,4,FALSE))</f>
        <v/>
      </c>
      <c r="L66" s="35" t="str">
        <f>IF(L32="","",VLOOKUP(L32,DanhSach,4,FALSE))</f>
        <v/>
      </c>
      <c r="M66" s="35" t="str">
        <f>IF(M32="","",VLOOKUP(M32,DanhSach,4,FALSE))</f>
        <v/>
      </c>
      <c r="N66" s="35" t="str">
        <f>IF(N32="","",VLOOKUP(N32,DanhSach,4,FALSE))</f>
        <v/>
      </c>
      <c r="O66" s="35" t="str">
        <f>IF(O32="","",VLOOKUP(O32,DanhSach,4,FALSE))</f>
        <v/>
      </c>
      <c r="P66" s="35" t="str">
        <f>IF(P32="","",VLOOKUP(P32,DanhSach,4,FALSE))</f>
        <v/>
      </c>
      <c r="Q66" s="35"/>
      <c r="R66" s="35"/>
      <c r="S66" s="35"/>
      <c r="T66" s="35"/>
      <c r="U66" s="35"/>
      <c r="V66" s="35" t="str">
        <f>IF(V32="","",VLOOKUP(V32,DanhSach,4,FALSE))</f>
        <v>HẬU</v>
      </c>
      <c r="W66" s="35" t="str">
        <f>IF(W32="","",VLOOKUP(W32,DanhSach,4,FALSE))</f>
        <v/>
      </c>
      <c r="X66" s="35" t="str">
        <f>IF(X32="","",VLOOKUP(X32,DanhSach,4,FALSE))</f>
        <v/>
      </c>
      <c r="Y66" s="35" t="str">
        <f>IF(Y32="","",VLOOKUP(Y32,DanhSach,4,FALSE))</f>
        <v/>
      </c>
      <c r="Z66" s="35" t="str">
        <f>IF(Z32="","",VLOOKUP(Z32,DanhSach,4,FALSE))</f>
        <v/>
      </c>
      <c r="AA66" s="35" t="str">
        <f>IF(AA32="","",VLOOKUP(AA32,DanhSach,4,FALSE))</f>
        <v/>
      </c>
      <c r="AB66" s="35" t="str">
        <f>IF(AB32="","",VLOOKUP(AB32,DanhSach,4,FALSE))</f>
        <v/>
      </c>
      <c r="AC66" s="35" t="str">
        <f>IF(AC32="","",VLOOKUP(AC32,DanhSach,4,FALSE))</f>
        <v/>
      </c>
      <c r="AD66" s="35" t="str">
        <f>IF(AD32="","",VLOOKUP(AD32,DanhSach,4,FALSE))</f>
        <v/>
      </c>
      <c r="AE66" s="35" t="str">
        <f>IF(AE32="","",VLOOKUP(AE32,DanhSach,4,FALSE))</f>
        <v/>
      </c>
      <c r="AF66" s="35" t="str">
        <f>IF(AF32="","",VLOOKUP(AF32,DanhSach,4,FALSE))</f>
        <v/>
      </c>
      <c r="AG66" s="35" t="str">
        <f>IF(AG32="","",VLOOKUP(AG32,DanhSach,4,FALSE))</f>
        <v/>
      </c>
      <c r="AH66" s="35" t="str">
        <f>IF(AH32="","",VLOOKUP(AH32,DanhSach,4,FALSE))</f>
        <v/>
      </c>
      <c r="AI66" s="35" t="str">
        <f>IF(AI32="","",VLOOKUP(AI32,DanhSach,4,FALSE))</f>
        <v/>
      </c>
      <c r="AJ66" s="35" t="str">
        <f>IF(AJ32="","",VLOOKUP(AJ32,DanhSach,4,FALSE))</f>
        <v/>
      </c>
      <c r="AK66" s="35" t="str">
        <f>IF(AK32="","",VLOOKUP(AK32,DanhSach,4,FALSE))</f>
        <v/>
      </c>
      <c r="AL66" s="35" t="str">
        <f>IF(AL32="","",VLOOKUP(AL32,DanhSach,4,FALSE))</f>
        <v/>
      </c>
      <c r="AM66" s="35" t="str">
        <f>IF(AM32="","",VLOOKUP(AM32,DanhSach,4,FALSE))</f>
        <v/>
      </c>
      <c r="AN66" s="35" t="str">
        <f>IF(AN32="","",VLOOKUP(AN32,DanhSach,4,FALSE))</f>
        <v/>
      </c>
      <c r="AO66" s="35" t="str">
        <f>IF(AO32="","",VLOOKUP(AO32,DanhSach,4,FALSE))</f>
        <v>Linh (TV)(HN)</v>
      </c>
      <c r="AP66" s="35" t="str">
        <f>IF(AP32="","",VLOOKUP(AP32,DanhSach,4,FALSE))</f>
        <v/>
      </c>
      <c r="AQ66" s="35" t="str">
        <f>IF(AQ32="","",VLOOKUP(AQ32,DanhSach,4,FALSE))</f>
        <v/>
      </c>
      <c r="AR66" s="35" t="str">
        <f>IF(AR32="","",VLOOKUP(AR32,DanhSach,4,FALSE))</f>
        <v/>
      </c>
      <c r="AS66" s="35" t="str">
        <f>IF(AS32="","",VLOOKUP(AS32,DanhSach,4,FALSE))</f>
        <v/>
      </c>
      <c r="AT66" s="35" t="str">
        <f>IF(AT32="","",VLOOKUP(AT32,DanhSach,4,FALSE))</f>
        <v/>
      </c>
      <c r="AU66" s="35" t="str">
        <f>IF(AU32="","",VLOOKUP(AU32,DanhSach,4,FALSE))</f>
        <v/>
      </c>
      <c r="AV66" s="35" t="str">
        <f>IF(AV32="","",VLOOKUP(AV32,DanhSach,4,FALSE))</f>
        <v/>
      </c>
      <c r="AW66" s="35" t="str">
        <f>IF(AW32="","",VLOOKUP(AW32,DanhSach,4,FALSE))</f>
        <v/>
      </c>
      <c r="AX66" s="35" t="str">
        <f>IF(AX32="","",VLOOKUP(AX32,DanhSach,4,FALSE))</f>
        <v/>
      </c>
      <c r="AY66" s="35" t="str">
        <f>IF(AY32="","",VLOOKUP(AY32,DanhSach,4,FALSE))</f>
        <v/>
      </c>
      <c r="AZ66" s="35" t="str">
        <f>IF(AZ32="","",VLOOKUP(AZ32,DanhSach,4,FALSE))</f>
        <v/>
      </c>
      <c r="BA66" s="35" t="str">
        <f>IF(BA32="","",VLOOKUP(BA32,DanhSach,4,FALSE))</f>
        <v/>
      </c>
      <c r="BB66" s="35"/>
      <c r="BC66" s="35"/>
      <c r="BD66" s="35"/>
      <c r="BE66" s="35"/>
      <c r="BF66" s="35"/>
      <c r="BG66" s="35"/>
      <c r="BH66" s="35"/>
      <c r="BI66" s="35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</row>
    <row r="67" spans="1:77" ht="15.75" customHeight="1" thickBot="1" x14ac:dyDescent="0.25">
      <c r="A67" s="39"/>
      <c r="B67" s="46">
        <v>5</v>
      </c>
      <c r="C67" s="41" t="str">
        <f>IF(C33="","",VLOOKUP(C33,DanhSach,4,FALSE))</f>
        <v/>
      </c>
      <c r="D67" s="41" t="str">
        <f>IF(D33="","",VLOOKUP(D33,DanhSach,4,FALSE))</f>
        <v/>
      </c>
      <c r="E67" s="41" t="str">
        <f>IF(E33="","",VLOOKUP(E33,DanhSach,4,FALSE))</f>
        <v/>
      </c>
      <c r="F67" s="41" t="str">
        <f>IF(F33="","",VLOOKUP(F33,DanhSach,4,FALSE))</f>
        <v/>
      </c>
      <c r="G67" s="41" t="str">
        <f>IF(G33="","",VLOOKUP(G33,DanhSach,4,FALSE))</f>
        <v/>
      </c>
      <c r="H67" s="41" t="str">
        <f>IF(H33="","",VLOOKUP(H33,DanhSach,4,FALSE))</f>
        <v/>
      </c>
      <c r="I67" s="41" t="str">
        <f>IF(I33="","",VLOOKUP(I33,DanhSach,4,FALSE))</f>
        <v/>
      </c>
      <c r="J67" s="41" t="str">
        <f>IF(J33="","",VLOOKUP(J33,DanhSach,4,FALSE))</f>
        <v/>
      </c>
      <c r="K67" s="41" t="str">
        <f>IF(K33="","",VLOOKUP(K33,DanhSach,4,FALSE))</f>
        <v/>
      </c>
      <c r="L67" s="41" t="str">
        <f>IF(L33="","",VLOOKUP(L33,DanhSach,4,FALSE))</f>
        <v/>
      </c>
      <c r="M67" s="41" t="str">
        <f>IF(M33="","",VLOOKUP(M33,DanhSach,4,FALSE))</f>
        <v/>
      </c>
      <c r="N67" s="41" t="str">
        <f>IF(N33="","",VLOOKUP(N33,DanhSach,4,FALSE))</f>
        <v/>
      </c>
      <c r="O67" s="41" t="str">
        <f>IF(O33="","",VLOOKUP(O33,DanhSach,4,FALSE))</f>
        <v/>
      </c>
      <c r="P67" s="41" t="str">
        <f>IF(P33="","",VLOOKUP(P33,DanhSach,4,FALSE))</f>
        <v/>
      </c>
      <c r="Q67" s="41"/>
      <c r="R67" s="41"/>
      <c r="S67" s="41"/>
      <c r="T67" s="41"/>
      <c r="U67" s="41"/>
      <c r="V67" s="41" t="str">
        <f>IF(V33="","",VLOOKUP(V33,DanhSach,4,FALSE))</f>
        <v/>
      </c>
      <c r="W67" s="41" t="str">
        <f>IF(W33="","",VLOOKUP(W33,DanhSach,4,FALSE))</f>
        <v/>
      </c>
      <c r="X67" s="41" t="str">
        <f>IF(X33="","",VLOOKUP(X33,DanhSach,4,FALSE))</f>
        <v/>
      </c>
      <c r="Y67" s="41" t="str">
        <f>IF(Y33="","",VLOOKUP(Y33,DanhSach,4,FALSE))</f>
        <v/>
      </c>
      <c r="Z67" s="41" t="str">
        <f>IF(Z33="","",VLOOKUP(Z33,DanhSach,4,FALSE))</f>
        <v/>
      </c>
      <c r="AA67" s="41" t="str">
        <f>IF(AA33="","",VLOOKUP(AA33,DanhSach,4,FALSE))</f>
        <v/>
      </c>
      <c r="AB67" s="41" t="str">
        <f>IF(AB33="","",VLOOKUP(AB33,DanhSach,4,FALSE))</f>
        <v/>
      </c>
      <c r="AC67" s="41" t="str">
        <f>IF(AC33="","",VLOOKUP(AC33,DanhSach,4,FALSE))</f>
        <v/>
      </c>
      <c r="AD67" s="41" t="str">
        <f>IF(AD33="","",VLOOKUP(AD33,DanhSach,4,FALSE))</f>
        <v/>
      </c>
      <c r="AE67" s="41" t="str">
        <f>IF(AE33="","",VLOOKUP(AE33,DanhSach,4,FALSE))</f>
        <v/>
      </c>
      <c r="AF67" s="41" t="str">
        <f>IF(AF33="","",VLOOKUP(AF33,DanhSach,4,FALSE))</f>
        <v/>
      </c>
      <c r="AG67" s="41" t="str">
        <f>IF(AG33="","",VLOOKUP(AG33,DanhSach,4,FALSE))</f>
        <v/>
      </c>
      <c r="AH67" s="41" t="str">
        <f>IF(AH33="","",VLOOKUP(AH33,DanhSach,4,FALSE))</f>
        <v/>
      </c>
      <c r="AI67" s="41" t="str">
        <f>IF(AI33="","",VLOOKUP(AI33,DanhSach,4,FALSE))</f>
        <v/>
      </c>
      <c r="AJ67" s="41" t="str">
        <f>IF(AJ33="","",VLOOKUP(AJ33,DanhSach,4,FALSE))</f>
        <v/>
      </c>
      <c r="AK67" s="41" t="str">
        <f>IF(AK33="","",VLOOKUP(AK33,DanhSach,4,FALSE))</f>
        <v/>
      </c>
      <c r="AL67" s="41" t="str">
        <f>IF(AL33="","",VLOOKUP(AL33,DanhSach,4,FALSE))</f>
        <v/>
      </c>
      <c r="AM67" s="41" t="str">
        <f>IF(AM33="","",VLOOKUP(AM33,DanhSach,4,FALSE))</f>
        <v/>
      </c>
      <c r="AN67" s="41" t="str">
        <f>IF(AN33="","",VLOOKUP(AN33,DanhSach,4,FALSE))</f>
        <v/>
      </c>
      <c r="AO67" s="41" t="str">
        <f>IF(AO33="","",VLOOKUP(AO33,DanhSach,4,FALSE))</f>
        <v/>
      </c>
      <c r="AP67" s="41" t="str">
        <f>IF(AP33="","",VLOOKUP(AP33,DanhSach,4,FALSE))</f>
        <v/>
      </c>
      <c r="AQ67" s="41" t="str">
        <f>IF(AQ33="","",VLOOKUP(AQ33,DanhSach,4,FALSE))</f>
        <v/>
      </c>
      <c r="AR67" s="41" t="str">
        <f>IF(AR33="","",VLOOKUP(AR33,DanhSach,4,FALSE))</f>
        <v/>
      </c>
      <c r="AS67" s="41" t="str">
        <f>IF(AS33="","",VLOOKUP(AS33,DanhSach,4,FALSE))</f>
        <v/>
      </c>
      <c r="AT67" s="41" t="str">
        <f>IF(AT33="","",VLOOKUP(AT33,DanhSach,4,FALSE))</f>
        <v/>
      </c>
      <c r="AU67" s="41" t="str">
        <f>IF(AU33="","",VLOOKUP(AU33,DanhSach,4,FALSE))</f>
        <v/>
      </c>
      <c r="AV67" s="41" t="str">
        <f>IF(AV33="","",VLOOKUP(AV33,DanhSach,4,FALSE))</f>
        <v/>
      </c>
      <c r="AW67" s="41" t="str">
        <f>IF(AW33="","",VLOOKUP(AW33,DanhSach,4,FALSE))</f>
        <v/>
      </c>
      <c r="AX67" s="41" t="str">
        <f>IF(AX33="","",VLOOKUP(AX33,DanhSach,4,FALSE))</f>
        <v/>
      </c>
      <c r="AY67" s="41" t="str">
        <f>IF(AY33="","",VLOOKUP(AY33,DanhSach,4,FALSE))</f>
        <v/>
      </c>
      <c r="AZ67" s="41" t="str">
        <f>IF(AZ33="","",VLOOKUP(AZ33,DanhSach,4,FALSE))</f>
        <v/>
      </c>
      <c r="BA67" s="41" t="str">
        <f>IF(BA33="","",VLOOKUP(BA33,DanhSach,4,FALSE))</f>
        <v/>
      </c>
      <c r="BB67" s="41"/>
      <c r="BC67" s="41"/>
      <c r="BD67" s="41"/>
      <c r="BE67" s="41"/>
      <c r="BF67" s="41"/>
      <c r="BG67" s="41"/>
      <c r="BH67" s="41"/>
      <c r="BI67" s="41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</row>
    <row r="68" spans="1:77" ht="15.75" customHeight="1" x14ac:dyDescent="0.2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77" ht="15.75" customHeight="1" x14ac:dyDescent="0.2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77" ht="15.75" customHeight="1" x14ac:dyDescent="0.2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77" ht="15.75" customHeight="1" x14ac:dyDescent="0.2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77" ht="15.75" customHeight="1" x14ac:dyDescent="0.2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77" ht="15.75" customHeight="1" x14ac:dyDescent="0.2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77" ht="15.75" customHeight="1" x14ac:dyDescent="0.2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77" ht="15.75" customHeight="1" x14ac:dyDescent="0.2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77" ht="15.75" customHeight="1" x14ac:dyDescent="0.2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77" ht="15.75" customHeight="1" x14ac:dyDescent="0.2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77" ht="15.75" customHeight="1" x14ac:dyDescent="0.2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77" ht="15.75" customHeight="1" x14ac:dyDescent="0.2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77" ht="15.75" customHeight="1" x14ac:dyDescent="0.2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6:56" ht="15.75" customHeight="1" x14ac:dyDescent="0.2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6:56" ht="15.75" customHeight="1" x14ac:dyDescent="0.2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6:56" ht="15.75" customHeight="1" x14ac:dyDescent="0.2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6:56" ht="15.75" customHeight="1" x14ac:dyDescent="0.2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6:56" ht="15.75" customHeight="1" x14ac:dyDescent="0.2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6:56" ht="15.75" customHeight="1" x14ac:dyDescent="0.2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6:56" ht="15.75" customHeight="1" x14ac:dyDescent="0.2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6:56" ht="15.75" customHeight="1" x14ac:dyDescent="0.2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6:56" ht="15.75" customHeight="1" x14ac:dyDescent="0.2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6:56" ht="15.75" customHeight="1" x14ac:dyDescent="0.2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6:56" ht="15.75" customHeight="1" x14ac:dyDescent="0.2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6:56" ht="15.75" customHeight="1" x14ac:dyDescent="0.2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6:56" ht="15.75" customHeight="1" x14ac:dyDescent="0.2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</sheetData>
  <mergeCells count="8">
    <mergeCell ref="A38:A42"/>
    <mergeCell ref="A43:A47"/>
    <mergeCell ref="A48:A52"/>
    <mergeCell ref="A53:A57"/>
    <mergeCell ref="A58:A62"/>
    <mergeCell ref="A63:A67"/>
    <mergeCell ref="A4:A8"/>
    <mergeCell ref="A29:A33"/>
  </mergeCells>
  <conditionalFormatting sqref="B4:B33">
    <cfRule type="cellIs" dxfId="1" priority="1" stopIfTrue="1" operator="equal">
      <formula>0</formula>
    </cfRule>
  </conditionalFormatting>
  <pageMargins left="0.3" right="0.17" top="0.59" bottom="0.63" header="0" footer="0.63"/>
  <pageSetup paperSize="9" scale="9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InTKBS">
                <anchor>
                  <from>
                    <xdr:col>0</xdr:col>
                    <xdr:colOff>28575</xdr:colOff>
                    <xdr:row>0</xdr:row>
                    <xdr:rowOff>28575</xdr:rowOff>
                  </from>
                  <to>
                    <xdr:col>1</xdr:col>
                    <xdr:colOff>314325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058D-E176-457B-BD2E-ACDD768EF69E}">
  <dimension ref="A1:EM67"/>
  <sheetViews>
    <sheetView topLeftCell="V31" zoomScale="80" zoomScaleNormal="80" workbookViewId="0">
      <selection activeCell="L68" sqref="L68"/>
    </sheetView>
  </sheetViews>
  <sheetFormatPr defaultColWidth="7.5" defaultRowHeight="15.75" customHeight="1" x14ac:dyDescent="0.2"/>
  <cols>
    <col min="1" max="2" width="4.25" style="48" customWidth="1"/>
    <col min="3" max="21" width="6.625" style="48" customWidth="1"/>
    <col min="22" max="23" width="8.125" style="48" customWidth="1"/>
    <col min="24" max="24" width="6.5" style="48" hidden="1" customWidth="1"/>
    <col min="25" max="39" width="8.5" style="48" customWidth="1"/>
    <col min="40" max="43" width="8.5" style="48" hidden="1" customWidth="1"/>
    <col min="44" max="45" width="8.5" style="48" customWidth="1"/>
    <col min="46" max="57" width="8.125" style="48" customWidth="1"/>
    <col min="58" max="60" width="8.125" style="48" hidden="1" customWidth="1"/>
    <col min="61" max="76" width="8" style="48" hidden="1" customWidth="1"/>
    <col min="77" max="78" width="8.5" style="48" hidden="1" customWidth="1"/>
    <col min="79" max="80" width="7.5" style="48" hidden="1" customWidth="1"/>
    <col min="81" max="16384" width="7.5" style="48"/>
  </cols>
  <sheetData>
    <row r="1" spans="1:143" ht="15.75" customHeight="1" x14ac:dyDescent="0.25">
      <c r="A1" s="47" t="str">
        <f>"THỜI KHÓA BIỂU ÁP DỤNG BUỔI CHIỀU TỪ "&amp;" "&amp;[1]DanhSach!$F$1</f>
        <v>THỜI KHÓA BIỂU ÁP DỤNG BUỔI CHIỀU TỪ  12-10-2026</v>
      </c>
      <c r="C1" s="49"/>
      <c r="CD1" s="48" t="s">
        <v>0</v>
      </c>
      <c r="CF1" s="48">
        <f>COUNTIF($CE$4:$EJ$33,"X")</f>
        <v>100</v>
      </c>
    </row>
    <row r="2" spans="1:143" ht="15.75" customHeight="1" x14ac:dyDescent="0.2">
      <c r="A2" s="50"/>
      <c r="C2" s="48" t="s">
        <v>239</v>
      </c>
      <c r="Y2" s="48" t="s">
        <v>239</v>
      </c>
      <c r="AR2" s="48" t="s">
        <v>239</v>
      </c>
      <c r="BI2" s="48" t="s">
        <v>239</v>
      </c>
      <c r="CD2" s="48">
        <f>COUNTIF(CE4:CE33,"X")</f>
        <v>0</v>
      </c>
      <c r="CE2" s="48">
        <f>COUNTIF(CE4:CE33,"X")</f>
        <v>0</v>
      </c>
      <c r="CF2" s="48">
        <f t="shared" ref="CF2:EJ2" si="0">COUNTIF(CF4:CF33,"X")</f>
        <v>0</v>
      </c>
      <c r="CG2" s="48">
        <f t="shared" si="0"/>
        <v>4</v>
      </c>
      <c r="CH2" s="48">
        <f t="shared" si="0"/>
        <v>3</v>
      </c>
      <c r="CI2" s="48">
        <f t="shared" si="0"/>
        <v>8</v>
      </c>
      <c r="CJ2" s="48">
        <f t="shared" si="0"/>
        <v>2</v>
      </c>
      <c r="CK2" s="48">
        <f t="shared" si="0"/>
        <v>4</v>
      </c>
      <c r="CL2" s="48">
        <f t="shared" si="0"/>
        <v>2</v>
      </c>
      <c r="CM2" s="48">
        <f t="shared" si="0"/>
        <v>4</v>
      </c>
      <c r="CN2" s="48">
        <f t="shared" si="0"/>
        <v>4</v>
      </c>
      <c r="CO2" s="48">
        <f t="shared" si="0"/>
        <v>6</v>
      </c>
      <c r="CP2" s="48">
        <f t="shared" si="0"/>
        <v>4</v>
      </c>
      <c r="CQ2" s="48">
        <f t="shared" si="0"/>
        <v>6</v>
      </c>
      <c r="CR2" s="48">
        <f t="shared" si="0"/>
        <v>0</v>
      </c>
      <c r="CS2" s="48">
        <f t="shared" si="0"/>
        <v>0</v>
      </c>
      <c r="CT2" s="48">
        <f t="shared" si="0"/>
        <v>4</v>
      </c>
      <c r="CU2" s="48">
        <f t="shared" si="0"/>
        <v>2</v>
      </c>
      <c r="CZ2" s="48">
        <f t="shared" si="0"/>
        <v>0</v>
      </c>
      <c r="DA2" s="48">
        <f t="shared" si="0"/>
        <v>4</v>
      </c>
      <c r="DB2" s="48">
        <f t="shared" si="0"/>
        <v>0</v>
      </c>
      <c r="DC2" s="48">
        <f t="shared" si="0"/>
        <v>2</v>
      </c>
      <c r="DD2" s="48">
        <f t="shared" si="0"/>
        <v>2</v>
      </c>
      <c r="DE2" s="48">
        <f t="shared" si="0"/>
        <v>2</v>
      </c>
      <c r="DF2" s="48">
        <f t="shared" si="0"/>
        <v>0</v>
      </c>
      <c r="DG2" s="48">
        <f t="shared" si="0"/>
        <v>2</v>
      </c>
      <c r="DH2" s="48">
        <f t="shared" si="0"/>
        <v>2</v>
      </c>
      <c r="DI2" s="48">
        <f t="shared" si="0"/>
        <v>2</v>
      </c>
      <c r="DJ2" s="48">
        <f t="shared" si="0"/>
        <v>3</v>
      </c>
      <c r="DK2" s="48">
        <f t="shared" si="0"/>
        <v>0</v>
      </c>
      <c r="DL2" s="48">
        <f t="shared" si="0"/>
        <v>0</v>
      </c>
      <c r="DM2" s="48">
        <f t="shared" si="0"/>
        <v>0</v>
      </c>
      <c r="DN2" s="48">
        <f t="shared" si="0"/>
        <v>0</v>
      </c>
      <c r="DO2" s="48">
        <f t="shared" si="0"/>
        <v>0</v>
      </c>
      <c r="DP2" s="48">
        <f t="shared" si="0"/>
        <v>0</v>
      </c>
      <c r="DQ2" s="48">
        <f t="shared" si="0"/>
        <v>1</v>
      </c>
      <c r="DR2" s="48">
        <f t="shared" si="0"/>
        <v>1</v>
      </c>
      <c r="DS2" s="48">
        <f t="shared" si="0"/>
        <v>0</v>
      </c>
      <c r="DT2" s="48">
        <f t="shared" si="0"/>
        <v>0</v>
      </c>
      <c r="DU2" s="48">
        <f t="shared" si="0"/>
        <v>0</v>
      </c>
      <c r="DV2" s="48">
        <f t="shared" si="0"/>
        <v>0</v>
      </c>
      <c r="DW2" s="48">
        <f t="shared" si="0"/>
        <v>1</v>
      </c>
      <c r="DX2" s="48">
        <f t="shared" si="0"/>
        <v>0</v>
      </c>
      <c r="DY2" s="48">
        <f t="shared" si="0"/>
        <v>0</v>
      </c>
      <c r="DZ2" s="48">
        <f t="shared" si="0"/>
        <v>0</v>
      </c>
      <c r="EA2" s="48">
        <f t="shared" si="0"/>
        <v>0</v>
      </c>
      <c r="EB2" s="48">
        <f t="shared" si="0"/>
        <v>0</v>
      </c>
      <c r="EC2" s="48">
        <f t="shared" si="0"/>
        <v>0</v>
      </c>
      <c r="ED2" s="48">
        <f t="shared" si="0"/>
        <v>1</v>
      </c>
      <c r="EE2" s="48">
        <f t="shared" si="0"/>
        <v>0</v>
      </c>
      <c r="EF2" s="48">
        <f t="shared" si="0"/>
        <v>0</v>
      </c>
      <c r="EG2" s="48">
        <f t="shared" si="0"/>
        <v>0</v>
      </c>
      <c r="EH2" s="48">
        <f t="shared" si="0"/>
        <v>0</v>
      </c>
      <c r="EI2" s="48">
        <f t="shared" si="0"/>
        <v>0</v>
      </c>
      <c r="EJ2" s="48">
        <f t="shared" si="0"/>
        <v>0</v>
      </c>
    </row>
    <row r="3" spans="1:143" ht="15.75" customHeight="1" thickBot="1" x14ac:dyDescent="0.25">
      <c r="A3" s="51" t="s">
        <v>1</v>
      </c>
      <c r="B3" s="52" t="s">
        <v>2</v>
      </c>
      <c r="C3" s="53" t="s">
        <v>35</v>
      </c>
      <c r="D3" s="53" t="s">
        <v>36</v>
      </c>
      <c r="E3" s="53" t="s">
        <v>37</v>
      </c>
      <c r="F3" s="53" t="s">
        <v>38</v>
      </c>
      <c r="G3" s="53" t="s">
        <v>39</v>
      </c>
      <c r="H3" s="53" t="s">
        <v>40</v>
      </c>
      <c r="I3" s="53" t="s">
        <v>41</v>
      </c>
      <c r="J3" s="53" t="s">
        <v>42</v>
      </c>
      <c r="K3" s="53" t="s">
        <v>43</v>
      </c>
      <c r="L3" s="53" t="s">
        <v>44</v>
      </c>
      <c r="M3" s="53" t="s">
        <v>45</v>
      </c>
      <c r="N3" s="53" t="s">
        <v>46</v>
      </c>
      <c r="O3" s="53" t="s">
        <v>47</v>
      </c>
      <c r="P3" s="53" t="s">
        <v>48</v>
      </c>
      <c r="Q3" s="53" t="s">
        <v>49</v>
      </c>
      <c r="R3" s="53" t="s">
        <v>50</v>
      </c>
      <c r="S3" s="53" t="s">
        <v>51</v>
      </c>
      <c r="T3" s="53" t="s">
        <v>52</v>
      </c>
      <c r="U3" s="53" t="s">
        <v>53</v>
      </c>
      <c r="V3" s="53" t="s">
        <v>54</v>
      </c>
      <c r="W3" s="53" t="s">
        <v>55</v>
      </c>
      <c r="X3" s="54" t="s">
        <v>240</v>
      </c>
      <c r="Y3" s="55" t="s">
        <v>3</v>
      </c>
      <c r="Z3" s="56" t="s">
        <v>4</v>
      </c>
      <c r="AA3" s="56" t="s">
        <v>5</v>
      </c>
      <c r="AB3" s="56" t="s">
        <v>6</v>
      </c>
      <c r="AC3" s="56" t="s">
        <v>7</v>
      </c>
      <c r="AD3" s="56" t="s">
        <v>8</v>
      </c>
      <c r="AE3" s="56" t="s">
        <v>9</v>
      </c>
      <c r="AF3" s="56" t="s">
        <v>10</v>
      </c>
      <c r="AG3" s="56" t="s">
        <v>11</v>
      </c>
      <c r="AH3" s="56" t="s">
        <v>12</v>
      </c>
      <c r="AI3" s="56" t="s">
        <v>13</v>
      </c>
      <c r="AJ3" s="56" t="s">
        <v>14</v>
      </c>
      <c r="AK3" s="56" t="s">
        <v>15</v>
      </c>
      <c r="AL3" s="56" t="s">
        <v>16</v>
      </c>
      <c r="AM3" s="56" t="s">
        <v>17</v>
      </c>
      <c r="AN3" s="56" t="s">
        <v>241</v>
      </c>
      <c r="AO3" s="56" t="s">
        <v>242</v>
      </c>
      <c r="AP3" s="57" t="s">
        <v>243</v>
      </c>
      <c r="AQ3" s="57" t="s">
        <v>244</v>
      </c>
      <c r="AR3" s="58" t="s">
        <v>18</v>
      </c>
      <c r="AS3" s="58" t="s">
        <v>19</v>
      </c>
      <c r="AT3" s="58" t="s">
        <v>20</v>
      </c>
      <c r="AU3" s="58" t="s">
        <v>21</v>
      </c>
      <c r="AV3" s="58" t="s">
        <v>22</v>
      </c>
      <c r="AW3" s="58" t="s">
        <v>23</v>
      </c>
      <c r="AX3" s="58" t="s">
        <v>24</v>
      </c>
      <c r="AY3" s="58" t="s">
        <v>25</v>
      </c>
      <c r="AZ3" s="58" t="s">
        <v>26</v>
      </c>
      <c r="BA3" s="58" t="s">
        <v>27</v>
      </c>
      <c r="BB3" s="58" t="s">
        <v>28</v>
      </c>
      <c r="BC3" s="58" t="s">
        <v>29</v>
      </c>
      <c r="BD3" s="58" t="s">
        <v>30</v>
      </c>
      <c r="BE3" s="58" t="s">
        <v>31</v>
      </c>
      <c r="BF3" s="58" t="s">
        <v>32</v>
      </c>
      <c r="BG3" s="56" t="s">
        <v>33</v>
      </c>
      <c r="BH3" s="56" t="s">
        <v>34</v>
      </c>
      <c r="BI3" s="56" t="s">
        <v>56</v>
      </c>
      <c r="BJ3" s="56" t="s">
        <v>57</v>
      </c>
      <c r="BK3" s="56" t="s">
        <v>245</v>
      </c>
      <c r="BL3" s="56" t="s">
        <v>246</v>
      </c>
      <c r="BM3" s="56" t="s">
        <v>247</v>
      </c>
      <c r="BN3" s="56" t="s">
        <v>248</v>
      </c>
      <c r="BO3" s="56" t="s">
        <v>249</v>
      </c>
      <c r="BP3" s="56" t="s">
        <v>250</v>
      </c>
      <c r="BQ3" s="56" t="s">
        <v>251</v>
      </c>
      <c r="BR3" s="56" t="s">
        <v>252</v>
      </c>
      <c r="BS3" s="56" t="s">
        <v>253</v>
      </c>
      <c r="BT3" s="56" t="s">
        <v>254</v>
      </c>
      <c r="BU3" s="56" t="s">
        <v>255</v>
      </c>
      <c r="BV3" s="56" t="s">
        <v>256</v>
      </c>
      <c r="BW3" s="56" t="s">
        <v>257</v>
      </c>
      <c r="BX3" s="56" t="s">
        <v>33</v>
      </c>
      <c r="BY3" s="56" t="s">
        <v>34</v>
      </c>
      <c r="BZ3" s="56" t="s">
        <v>56</v>
      </c>
      <c r="CA3" s="56" t="s">
        <v>57</v>
      </c>
      <c r="CB3" s="59" t="s">
        <v>58</v>
      </c>
      <c r="CE3" s="60" t="str">
        <f t="shared" ref="CE3:CY3" si="1">C3</f>
        <v>10A1</v>
      </c>
      <c r="CF3" s="60" t="str">
        <f t="shared" si="1"/>
        <v>10A2</v>
      </c>
      <c r="CG3" s="60" t="str">
        <f t="shared" si="1"/>
        <v>10A3</v>
      </c>
      <c r="CH3" s="60" t="str">
        <f t="shared" si="1"/>
        <v>10A4</v>
      </c>
      <c r="CI3" s="60" t="str">
        <f t="shared" si="1"/>
        <v>10A5</v>
      </c>
      <c r="CJ3" s="60" t="str">
        <f t="shared" si="1"/>
        <v>10A6</v>
      </c>
      <c r="CK3" s="60" t="str">
        <f t="shared" si="1"/>
        <v>10A7</v>
      </c>
      <c r="CL3" s="60" t="str">
        <f t="shared" si="1"/>
        <v>10A8</v>
      </c>
      <c r="CM3" s="60" t="str">
        <f t="shared" si="1"/>
        <v>10A9</v>
      </c>
      <c r="CN3" s="60" t="str">
        <f t="shared" si="1"/>
        <v>10A10</v>
      </c>
      <c r="CO3" s="60" t="str">
        <f t="shared" si="1"/>
        <v>10A11</v>
      </c>
      <c r="CP3" s="60" t="str">
        <f t="shared" si="1"/>
        <v>10A12</v>
      </c>
      <c r="CQ3" s="60" t="str">
        <f t="shared" si="1"/>
        <v>10A13</v>
      </c>
      <c r="CR3" s="60" t="str">
        <f t="shared" si="1"/>
        <v>10A14</v>
      </c>
      <c r="CS3" s="60" t="str">
        <f t="shared" si="1"/>
        <v>10A15</v>
      </c>
      <c r="CT3" s="60" t="str">
        <f t="shared" si="1"/>
        <v>10A16</v>
      </c>
      <c r="CU3" s="60" t="str">
        <f t="shared" si="1"/>
        <v>10A17</v>
      </c>
      <c r="CV3" s="60" t="str">
        <f t="shared" si="1"/>
        <v>10A18</v>
      </c>
      <c r="CW3" s="60" t="str">
        <f t="shared" si="1"/>
        <v>10A19</v>
      </c>
      <c r="CX3" s="60" t="str">
        <f t="shared" si="1"/>
        <v>10A20</v>
      </c>
      <c r="CY3" s="60" t="str">
        <f t="shared" si="1"/>
        <v>10A21</v>
      </c>
      <c r="CZ3" s="60" t="str">
        <f t="shared" ref="CZ3:DK3" si="2">Y3</f>
        <v>12A1</v>
      </c>
      <c r="DA3" s="60" t="str">
        <f t="shared" si="2"/>
        <v>12A2</v>
      </c>
      <c r="DB3" s="60" t="str">
        <f t="shared" si="2"/>
        <v>12A3</v>
      </c>
      <c r="DC3" s="60" t="str">
        <f t="shared" si="2"/>
        <v>12A4</v>
      </c>
      <c r="DD3" s="60" t="str">
        <f t="shared" si="2"/>
        <v>12A5</v>
      </c>
      <c r="DE3" s="60" t="str">
        <f t="shared" si="2"/>
        <v>12A6</v>
      </c>
      <c r="DF3" s="60" t="str">
        <f t="shared" si="2"/>
        <v>12A7</v>
      </c>
      <c r="DG3" s="60" t="str">
        <f t="shared" si="2"/>
        <v>12A8</v>
      </c>
      <c r="DH3" s="60" t="str">
        <f t="shared" si="2"/>
        <v>12A9</v>
      </c>
      <c r="DI3" s="60" t="str">
        <f t="shared" si="2"/>
        <v>12A10</v>
      </c>
      <c r="DJ3" s="60" t="str">
        <f t="shared" si="2"/>
        <v>12A11</v>
      </c>
      <c r="DK3" s="60" t="str">
        <f t="shared" si="2"/>
        <v>12A12</v>
      </c>
      <c r="DL3" s="60" t="e">
        <f>#REF!</f>
        <v>#REF!</v>
      </c>
      <c r="DM3" s="60" t="e">
        <f>#REF!</f>
        <v>#REF!</v>
      </c>
      <c r="DN3" s="60" t="e">
        <f>#REF!</f>
        <v>#REF!</v>
      </c>
      <c r="DO3" s="60" t="e">
        <f>#REF!</f>
        <v>#REF!</v>
      </c>
      <c r="DP3" s="60" t="e">
        <f>#REF!</f>
        <v>#REF!</v>
      </c>
      <c r="DQ3" s="60" t="e">
        <f>#REF!</f>
        <v>#REF!</v>
      </c>
      <c r="DR3" s="60" t="e">
        <f>#REF!</f>
        <v>#REF!</v>
      </c>
      <c r="DS3" s="60" t="e">
        <f>#REF!</f>
        <v>#REF!</v>
      </c>
      <c r="DT3" s="60" t="str">
        <f t="shared" ref="DT3:EM3" si="3">BI3</f>
        <v>11A18</v>
      </c>
      <c r="DU3" s="60" t="str">
        <f t="shared" si="3"/>
        <v>11A19</v>
      </c>
      <c r="DV3" s="60" t="str">
        <f t="shared" si="3"/>
        <v>7B</v>
      </c>
      <c r="DW3" s="60" t="str">
        <f t="shared" si="3"/>
        <v>8B</v>
      </c>
      <c r="DX3" s="60" t="str">
        <f t="shared" si="3"/>
        <v>5B</v>
      </c>
      <c r="DY3" s="60" t="str">
        <f t="shared" si="3"/>
        <v>6B</v>
      </c>
      <c r="DZ3" s="60" t="str">
        <f t="shared" si="3"/>
        <v>10B</v>
      </c>
      <c r="EA3" s="60" t="str">
        <f t="shared" si="3"/>
        <v>1B</v>
      </c>
      <c r="EB3" s="60" t="str">
        <f t="shared" si="3"/>
        <v>2B</v>
      </c>
      <c r="EC3" s="60" t="str">
        <f t="shared" si="3"/>
        <v>9B</v>
      </c>
      <c r="ED3" s="60" t="str">
        <f t="shared" si="3"/>
        <v>13B</v>
      </c>
      <c r="EE3" s="60" t="str">
        <f t="shared" si="3"/>
        <v>11B</v>
      </c>
      <c r="EF3" s="60" t="str">
        <f t="shared" si="3"/>
        <v>12B</v>
      </c>
      <c r="EG3" s="60" t="str">
        <f t="shared" si="3"/>
        <v>14B</v>
      </c>
      <c r="EH3" s="60" t="str">
        <f t="shared" si="3"/>
        <v>15B</v>
      </c>
      <c r="EI3" s="60" t="str">
        <f t="shared" si="3"/>
        <v>11A16</v>
      </c>
      <c r="EJ3" s="60" t="str">
        <f t="shared" si="3"/>
        <v>11A17</v>
      </c>
      <c r="EK3" s="60" t="str">
        <f t="shared" si="3"/>
        <v>11A18</v>
      </c>
      <c r="EL3" s="60" t="str">
        <f t="shared" si="3"/>
        <v>11A19</v>
      </c>
      <c r="EM3" s="60" t="str">
        <f t="shared" si="3"/>
        <v>11A20</v>
      </c>
    </row>
    <row r="4" spans="1:143" ht="15.75" customHeight="1" x14ac:dyDescent="0.2">
      <c r="A4" s="61" t="s">
        <v>59</v>
      </c>
      <c r="B4" s="62">
        <f>IF(CD4&gt;0,0,1)</f>
        <v>0</v>
      </c>
      <c r="C4" s="63" t="s">
        <v>258</v>
      </c>
      <c r="D4" s="63" t="s">
        <v>259</v>
      </c>
      <c r="E4" s="63"/>
      <c r="F4" s="63"/>
      <c r="G4" s="63" t="s">
        <v>142</v>
      </c>
      <c r="H4" s="63"/>
      <c r="I4" s="63" t="s">
        <v>260</v>
      </c>
      <c r="J4" s="63" t="s">
        <v>147</v>
      </c>
      <c r="K4" s="63" t="s">
        <v>113</v>
      </c>
      <c r="L4" s="63"/>
      <c r="M4" s="63" t="s">
        <v>260</v>
      </c>
      <c r="N4" s="63" t="s">
        <v>260</v>
      </c>
      <c r="O4" s="63" t="s">
        <v>132</v>
      </c>
      <c r="P4" s="63"/>
      <c r="Q4" s="63" t="s">
        <v>180</v>
      </c>
      <c r="R4" s="63" t="s">
        <v>261</v>
      </c>
      <c r="S4" s="63" t="s">
        <v>134</v>
      </c>
      <c r="T4" s="63" t="s">
        <v>262</v>
      </c>
      <c r="U4" s="63" t="s">
        <v>133</v>
      </c>
      <c r="V4" s="63" t="s">
        <v>263</v>
      </c>
      <c r="W4" s="63" t="s">
        <v>168</v>
      </c>
      <c r="X4" s="63"/>
      <c r="Y4" s="63" t="s">
        <v>110</v>
      </c>
      <c r="Z4" s="63" t="s">
        <v>175</v>
      </c>
      <c r="AA4" s="63" t="s">
        <v>178</v>
      </c>
      <c r="AB4" s="63" t="s">
        <v>136</v>
      </c>
      <c r="AC4" s="63" t="s">
        <v>117</v>
      </c>
      <c r="AD4" s="63" t="s">
        <v>169</v>
      </c>
      <c r="AE4" s="63" t="s">
        <v>138</v>
      </c>
      <c r="AF4" s="63" t="s">
        <v>116</v>
      </c>
      <c r="AG4" s="63" t="s">
        <v>122</v>
      </c>
      <c r="AH4" s="63" t="s">
        <v>118</v>
      </c>
      <c r="AI4" s="63" t="s">
        <v>167</v>
      </c>
      <c r="AJ4" s="63" t="s">
        <v>120</v>
      </c>
      <c r="AK4" s="63" t="s">
        <v>125</v>
      </c>
      <c r="AL4" s="63"/>
      <c r="AM4" s="63" t="s">
        <v>111</v>
      </c>
      <c r="AN4" s="63"/>
      <c r="AO4" s="63"/>
      <c r="AP4" s="63"/>
      <c r="AQ4" s="63"/>
      <c r="AR4" s="63" t="s">
        <v>124</v>
      </c>
      <c r="AS4" s="63" t="s">
        <v>264</v>
      </c>
      <c r="AT4" s="63" t="s">
        <v>126</v>
      </c>
      <c r="AU4" s="63" t="s">
        <v>261</v>
      </c>
      <c r="AV4" s="63" t="s">
        <v>153</v>
      </c>
      <c r="AW4" s="63"/>
      <c r="AX4" s="63" t="s">
        <v>152</v>
      </c>
      <c r="AY4" s="63" t="s">
        <v>261</v>
      </c>
      <c r="AZ4" s="63" t="s">
        <v>265</v>
      </c>
      <c r="BA4" s="63" t="s">
        <v>145</v>
      </c>
      <c r="BB4" s="63" t="s">
        <v>262</v>
      </c>
      <c r="BC4" s="63" t="s">
        <v>137</v>
      </c>
      <c r="BD4" s="63" t="s">
        <v>172</v>
      </c>
      <c r="BE4" s="63" t="s">
        <v>261</v>
      </c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4"/>
      <c r="BY4" s="64"/>
      <c r="BZ4" s="64"/>
      <c r="CA4" s="64"/>
      <c r="CB4" s="64"/>
      <c r="CD4" s="48">
        <f t="shared" ref="CD4:CD33" si="4">COUNTIF(CE4:EM4,"X")</f>
        <v>5</v>
      </c>
      <c r="CE4" s="48">
        <f t="shared" ref="CE4:CT33" si="5">IF(COUNTIF($C4:$CB4,C4)&gt;1,"X",0)</f>
        <v>0</v>
      </c>
      <c r="CF4" s="48">
        <f t="shared" si="5"/>
        <v>0</v>
      </c>
      <c r="CG4" s="48">
        <f t="shared" si="5"/>
        <v>0</v>
      </c>
      <c r="CH4" s="48">
        <f t="shared" si="5"/>
        <v>0</v>
      </c>
      <c r="CI4" s="48">
        <f t="shared" si="5"/>
        <v>0</v>
      </c>
      <c r="CJ4" s="48">
        <f t="shared" si="5"/>
        <v>0</v>
      </c>
      <c r="CK4" s="48" t="str">
        <f t="shared" si="5"/>
        <v>X</v>
      </c>
      <c r="CL4" s="48">
        <f t="shared" si="5"/>
        <v>0</v>
      </c>
      <c r="CM4" s="48">
        <f t="shared" si="5"/>
        <v>0</v>
      </c>
      <c r="CN4" s="48">
        <f t="shared" si="5"/>
        <v>0</v>
      </c>
      <c r="CO4" s="48" t="str">
        <f t="shared" si="5"/>
        <v>X</v>
      </c>
      <c r="CP4" s="48" t="str">
        <f t="shared" si="5"/>
        <v>X</v>
      </c>
      <c r="CQ4" s="48">
        <f t="shared" si="5"/>
        <v>0</v>
      </c>
      <c r="CR4" s="48">
        <f t="shared" si="5"/>
        <v>0</v>
      </c>
      <c r="CS4" s="48">
        <f t="shared" si="5"/>
        <v>0</v>
      </c>
      <c r="CT4" s="48" t="str">
        <f t="shared" si="5"/>
        <v>X</v>
      </c>
      <c r="CU4" s="48">
        <f t="shared" ref="CU4:CY33" si="6">IF(COUNTIF($C4:$CB4,S4)&gt;1,"X",0)</f>
        <v>0</v>
      </c>
      <c r="CV4" s="48" t="str">
        <f t="shared" si="6"/>
        <v>X</v>
      </c>
      <c r="CW4" s="48">
        <f t="shared" si="6"/>
        <v>0</v>
      </c>
      <c r="CX4" s="48">
        <f t="shared" si="6"/>
        <v>0</v>
      </c>
      <c r="CY4" s="48">
        <f t="shared" si="6"/>
        <v>0</v>
      </c>
      <c r="CZ4" s="48">
        <f>IF(COUNTIF($C$4:$CB$4,Y4)&gt;1,"X",0)</f>
        <v>0</v>
      </c>
      <c r="DA4" s="48">
        <f t="shared" ref="DA4:DK33" si="7">IF(COUNTIF($C4:$CB4,Z4)&gt;1,"X",0)</f>
        <v>0</v>
      </c>
      <c r="DB4" s="48">
        <f t="shared" si="7"/>
        <v>0</v>
      </c>
      <c r="DC4" s="48">
        <f t="shared" si="7"/>
        <v>0</v>
      </c>
      <c r="DD4" s="48">
        <f t="shared" si="7"/>
        <v>0</v>
      </c>
      <c r="DE4" s="48">
        <f t="shared" si="7"/>
        <v>0</v>
      </c>
      <c r="DF4" s="48">
        <f t="shared" si="7"/>
        <v>0</v>
      </c>
      <c r="DG4" s="48">
        <f t="shared" si="7"/>
        <v>0</v>
      </c>
      <c r="DH4" s="48">
        <f t="shared" si="7"/>
        <v>0</v>
      </c>
      <c r="DI4" s="48">
        <f t="shared" si="7"/>
        <v>0</v>
      </c>
      <c r="DJ4" s="48">
        <f t="shared" si="7"/>
        <v>0</v>
      </c>
      <c r="DK4" s="48">
        <f t="shared" si="7"/>
        <v>0</v>
      </c>
      <c r="DL4" s="48">
        <f>IF(COUNTIF($C4:$CB4,#REF!)&gt;1,"X",0)</f>
        <v>0</v>
      </c>
      <c r="DM4" s="48">
        <f>IF(COUNTIF($C4:$CB4,#REF!)&gt;1,"X",0)</f>
        <v>0</v>
      </c>
      <c r="DN4" s="48">
        <f>IF(COUNTIF($C4:$CB4,#REF!)&gt;1,"X",0)</f>
        <v>0</v>
      </c>
      <c r="DO4" s="48">
        <f>IF(COUNTIF($C4:$CB4,#REF!)&gt;1,"X",0)</f>
        <v>0</v>
      </c>
      <c r="DP4" s="48">
        <f>IF(COUNTIF($C4:$CB4,#REF!)&gt;1,"X",0)</f>
        <v>0</v>
      </c>
      <c r="DQ4" s="48">
        <f>IF(COUNTIF($C4:$CB4,#REF!)&gt;1,"X",0)</f>
        <v>0</v>
      </c>
      <c r="DR4" s="48">
        <f>IF(COUNTIF($C4:$CB4,#REF!)&gt;1,"X",0)</f>
        <v>0</v>
      </c>
      <c r="DS4" s="48">
        <f>IF(COUNTIF($C4:$CB4,#REF!)&gt;1,"X",0)</f>
        <v>0</v>
      </c>
      <c r="DT4" s="48">
        <f t="shared" ref="DT4:EI33" si="8">IF(COUNTIF($C4:$CB4,BI4)&gt;1,"X",0)</f>
        <v>0</v>
      </c>
      <c r="DU4" s="48">
        <f t="shared" si="8"/>
        <v>0</v>
      </c>
      <c r="DV4" s="48">
        <f t="shared" si="8"/>
        <v>0</v>
      </c>
      <c r="DW4" s="48">
        <f t="shared" si="8"/>
        <v>0</v>
      </c>
      <c r="DX4" s="48">
        <f t="shared" si="8"/>
        <v>0</v>
      </c>
      <c r="DY4" s="48">
        <f t="shared" si="8"/>
        <v>0</v>
      </c>
      <c r="DZ4" s="48">
        <f t="shared" si="8"/>
        <v>0</v>
      </c>
      <c r="EA4" s="48">
        <f t="shared" si="8"/>
        <v>0</v>
      </c>
      <c r="EB4" s="48">
        <f t="shared" si="8"/>
        <v>0</v>
      </c>
      <c r="EC4" s="48">
        <f t="shared" si="8"/>
        <v>0</v>
      </c>
      <c r="ED4" s="48">
        <f t="shared" si="8"/>
        <v>0</v>
      </c>
      <c r="EE4" s="48">
        <f t="shared" si="8"/>
        <v>0</v>
      </c>
      <c r="EF4" s="48">
        <f t="shared" si="8"/>
        <v>0</v>
      </c>
      <c r="EG4" s="48">
        <f t="shared" si="8"/>
        <v>0</v>
      </c>
      <c r="EH4" s="48">
        <f t="shared" si="8"/>
        <v>0</v>
      </c>
      <c r="EI4" s="48">
        <f t="shared" si="8"/>
        <v>0</v>
      </c>
      <c r="EJ4" s="48">
        <f t="shared" ref="EJ4:EM33" si="9">IF(COUNTIF($C4:$CB4,BY4)&gt;1,"X",0)</f>
        <v>0</v>
      </c>
      <c r="EK4" s="48">
        <f t="shared" si="9"/>
        <v>0</v>
      </c>
      <c r="EL4" s="48">
        <f t="shared" si="9"/>
        <v>0</v>
      </c>
      <c r="EM4" s="48">
        <f t="shared" si="9"/>
        <v>0</v>
      </c>
    </row>
    <row r="5" spans="1:143" ht="15.75" customHeight="1" x14ac:dyDescent="0.2">
      <c r="A5" s="61"/>
      <c r="B5" s="65">
        <f>IF(CD5&gt;0,0,2)</f>
        <v>0</v>
      </c>
      <c r="C5" s="66" t="s">
        <v>258</v>
      </c>
      <c r="D5" s="66" t="s">
        <v>259</v>
      </c>
      <c r="E5" s="66"/>
      <c r="F5" s="66"/>
      <c r="G5" s="66" t="s">
        <v>142</v>
      </c>
      <c r="H5" s="66"/>
      <c r="I5" s="66" t="s">
        <v>260</v>
      </c>
      <c r="J5" s="66" t="s">
        <v>147</v>
      </c>
      <c r="K5" s="66" t="s">
        <v>113</v>
      </c>
      <c r="L5" s="66"/>
      <c r="M5" s="66" t="s">
        <v>260</v>
      </c>
      <c r="N5" s="66" t="s">
        <v>260</v>
      </c>
      <c r="O5" s="66" t="s">
        <v>133</v>
      </c>
      <c r="P5" s="66"/>
      <c r="Q5" s="66" t="s">
        <v>132</v>
      </c>
      <c r="R5" s="66" t="s">
        <v>261</v>
      </c>
      <c r="S5" s="66" t="s">
        <v>134</v>
      </c>
      <c r="T5" s="66" t="s">
        <v>262</v>
      </c>
      <c r="U5" s="66" t="s">
        <v>168</v>
      </c>
      <c r="V5" s="66" t="s">
        <v>263</v>
      </c>
      <c r="W5" s="66" t="s">
        <v>180</v>
      </c>
      <c r="X5" s="66"/>
      <c r="Y5" s="66" t="s">
        <v>60</v>
      </c>
      <c r="Z5" s="66" t="s">
        <v>126</v>
      </c>
      <c r="AA5" s="66" t="s">
        <v>111</v>
      </c>
      <c r="AB5" s="66" t="s">
        <v>136</v>
      </c>
      <c r="AC5" s="66" t="s">
        <v>117</v>
      </c>
      <c r="AD5" s="66" t="s">
        <v>169</v>
      </c>
      <c r="AE5" s="66" t="s">
        <v>199</v>
      </c>
      <c r="AF5" s="66" t="s">
        <v>138</v>
      </c>
      <c r="AG5" s="66" t="s">
        <v>122</v>
      </c>
      <c r="AH5" s="66" t="s">
        <v>181</v>
      </c>
      <c r="AI5" s="66" t="s">
        <v>167</v>
      </c>
      <c r="AJ5" s="66" t="s">
        <v>125</v>
      </c>
      <c r="AK5" s="66" t="s">
        <v>178</v>
      </c>
      <c r="AL5" s="66" t="s">
        <v>131</v>
      </c>
      <c r="AM5" s="66" t="s">
        <v>118</v>
      </c>
      <c r="AN5" s="66"/>
      <c r="AO5" s="66"/>
      <c r="AP5" s="66"/>
      <c r="AQ5" s="66"/>
      <c r="AR5" s="66" t="s">
        <v>124</v>
      </c>
      <c r="AS5" s="66" t="s">
        <v>264</v>
      </c>
      <c r="AT5" s="66" t="s">
        <v>120</v>
      </c>
      <c r="AU5" s="66" t="s">
        <v>261</v>
      </c>
      <c r="AV5" s="66" t="s">
        <v>153</v>
      </c>
      <c r="AW5" s="66"/>
      <c r="AX5" s="66" t="s">
        <v>152</v>
      </c>
      <c r="AY5" s="66" t="s">
        <v>261</v>
      </c>
      <c r="AZ5" s="66" t="s">
        <v>265</v>
      </c>
      <c r="BA5" s="66" t="s">
        <v>145</v>
      </c>
      <c r="BB5" s="66" t="s">
        <v>262</v>
      </c>
      <c r="BC5" s="66" t="s">
        <v>137</v>
      </c>
      <c r="BD5" s="66" t="s">
        <v>172</v>
      </c>
      <c r="BE5" s="66" t="s">
        <v>261</v>
      </c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D5" s="48">
        <f t="shared" si="4"/>
        <v>5</v>
      </c>
      <c r="CE5" s="48">
        <f t="shared" si="5"/>
        <v>0</v>
      </c>
      <c r="CF5" s="48">
        <f t="shared" si="5"/>
        <v>0</v>
      </c>
      <c r="CG5" s="48">
        <f t="shared" si="5"/>
        <v>0</v>
      </c>
      <c r="CH5" s="48">
        <f t="shared" si="5"/>
        <v>0</v>
      </c>
      <c r="CI5" s="48">
        <f t="shared" si="5"/>
        <v>0</v>
      </c>
      <c r="CJ5" s="48">
        <f t="shared" si="5"/>
        <v>0</v>
      </c>
      <c r="CK5" s="48" t="str">
        <f t="shared" si="5"/>
        <v>X</v>
      </c>
      <c r="CL5" s="48">
        <f t="shared" si="5"/>
        <v>0</v>
      </c>
      <c r="CM5" s="48">
        <f t="shared" si="5"/>
        <v>0</v>
      </c>
      <c r="CN5" s="48">
        <f t="shared" si="5"/>
        <v>0</v>
      </c>
      <c r="CO5" s="48" t="str">
        <f t="shared" si="5"/>
        <v>X</v>
      </c>
      <c r="CP5" s="48" t="str">
        <f t="shared" si="5"/>
        <v>X</v>
      </c>
      <c r="CQ5" s="48">
        <f t="shared" si="5"/>
        <v>0</v>
      </c>
      <c r="CR5" s="48">
        <f t="shared" si="5"/>
        <v>0</v>
      </c>
      <c r="CS5" s="48">
        <f t="shared" si="5"/>
        <v>0</v>
      </c>
      <c r="CT5" s="48" t="str">
        <f t="shared" si="5"/>
        <v>X</v>
      </c>
      <c r="CU5" s="48">
        <f t="shared" si="6"/>
        <v>0</v>
      </c>
      <c r="CV5" s="48" t="str">
        <f t="shared" si="6"/>
        <v>X</v>
      </c>
      <c r="CW5" s="48">
        <f t="shared" si="6"/>
        <v>0</v>
      </c>
      <c r="CX5" s="48">
        <f t="shared" si="6"/>
        <v>0</v>
      </c>
      <c r="CY5" s="48">
        <f t="shared" si="6"/>
        <v>0</v>
      </c>
      <c r="CZ5" s="48">
        <f t="shared" ref="CZ5:DB33" si="10">IF(COUNTIF($C5:$CB5,Y5)&gt;1,"X",0)</f>
        <v>0</v>
      </c>
      <c r="DA5" s="48">
        <f t="shared" si="7"/>
        <v>0</v>
      </c>
      <c r="DB5" s="48">
        <f t="shared" si="7"/>
        <v>0</v>
      </c>
      <c r="DC5" s="48">
        <f t="shared" si="7"/>
        <v>0</v>
      </c>
      <c r="DD5" s="48">
        <f t="shared" si="7"/>
        <v>0</v>
      </c>
      <c r="DE5" s="48">
        <f t="shared" si="7"/>
        <v>0</v>
      </c>
      <c r="DF5" s="48">
        <f t="shared" si="7"/>
        <v>0</v>
      </c>
      <c r="DG5" s="48">
        <f t="shared" si="7"/>
        <v>0</v>
      </c>
      <c r="DH5" s="48">
        <f t="shared" si="7"/>
        <v>0</v>
      </c>
      <c r="DI5" s="48">
        <f t="shared" si="7"/>
        <v>0</v>
      </c>
      <c r="DJ5" s="48">
        <f t="shared" si="7"/>
        <v>0</v>
      </c>
      <c r="DK5" s="48">
        <f t="shared" si="7"/>
        <v>0</v>
      </c>
      <c r="DL5" s="48">
        <f>IF(COUNTIF($C5:$CB5,#REF!)&gt;1,"X",0)</f>
        <v>0</v>
      </c>
      <c r="DM5" s="48">
        <f>IF(COUNTIF($C5:$CB5,#REF!)&gt;1,"X",0)</f>
        <v>0</v>
      </c>
      <c r="DN5" s="48">
        <f>IF(COUNTIF($C5:$CB5,#REF!)&gt;1,"X",0)</f>
        <v>0</v>
      </c>
      <c r="DO5" s="48">
        <f>IF(COUNTIF($C5:$CB5,#REF!)&gt;1,"X",0)</f>
        <v>0</v>
      </c>
      <c r="DP5" s="48">
        <f>IF(COUNTIF($C5:$CB5,#REF!)&gt;1,"X",0)</f>
        <v>0</v>
      </c>
      <c r="DQ5" s="48">
        <f>IF(COUNTIF($C5:$CB5,#REF!)&gt;1,"X",0)</f>
        <v>0</v>
      </c>
      <c r="DR5" s="48">
        <f>IF(COUNTIF($C5:$CB5,#REF!)&gt;1,"X",0)</f>
        <v>0</v>
      </c>
      <c r="DS5" s="48">
        <f>IF(COUNTIF($C5:$CB5,#REF!)&gt;1,"X",0)</f>
        <v>0</v>
      </c>
      <c r="DT5" s="48">
        <f t="shared" si="8"/>
        <v>0</v>
      </c>
      <c r="DU5" s="48">
        <f t="shared" si="8"/>
        <v>0</v>
      </c>
      <c r="DV5" s="48">
        <f t="shared" si="8"/>
        <v>0</v>
      </c>
      <c r="DW5" s="48">
        <f t="shared" si="8"/>
        <v>0</v>
      </c>
      <c r="DX5" s="48">
        <f t="shared" si="8"/>
        <v>0</v>
      </c>
      <c r="DY5" s="48">
        <f t="shared" si="8"/>
        <v>0</v>
      </c>
      <c r="DZ5" s="48">
        <f t="shared" si="8"/>
        <v>0</v>
      </c>
      <c r="EA5" s="48">
        <f t="shared" si="8"/>
        <v>0</v>
      </c>
      <c r="EB5" s="48">
        <f t="shared" si="8"/>
        <v>0</v>
      </c>
      <c r="EC5" s="48">
        <f t="shared" si="8"/>
        <v>0</v>
      </c>
      <c r="ED5" s="48">
        <f t="shared" si="8"/>
        <v>0</v>
      </c>
      <c r="EE5" s="48">
        <f t="shared" si="8"/>
        <v>0</v>
      </c>
      <c r="EF5" s="48">
        <f t="shared" si="8"/>
        <v>0</v>
      </c>
      <c r="EG5" s="48">
        <f t="shared" si="8"/>
        <v>0</v>
      </c>
      <c r="EH5" s="48">
        <f t="shared" si="8"/>
        <v>0</v>
      </c>
      <c r="EI5" s="48">
        <f t="shared" si="8"/>
        <v>0</v>
      </c>
      <c r="EJ5" s="48">
        <f t="shared" si="9"/>
        <v>0</v>
      </c>
      <c r="EK5" s="48">
        <f t="shared" si="9"/>
        <v>0</v>
      </c>
      <c r="EL5" s="48">
        <f t="shared" si="9"/>
        <v>0</v>
      </c>
      <c r="EM5" s="48">
        <f t="shared" si="9"/>
        <v>0</v>
      </c>
    </row>
    <row r="6" spans="1:143" ht="15.75" customHeight="1" x14ac:dyDescent="0.2">
      <c r="A6" s="61"/>
      <c r="B6" s="65">
        <f>IF(CD6&gt;0,0,3)</f>
        <v>0</v>
      </c>
      <c r="C6" s="66" t="s">
        <v>266</v>
      </c>
      <c r="D6" s="66" t="s">
        <v>180</v>
      </c>
      <c r="E6" s="66"/>
      <c r="F6" s="66"/>
      <c r="G6" s="66" t="s">
        <v>261</v>
      </c>
      <c r="H6" s="66"/>
      <c r="I6" s="66"/>
      <c r="J6" s="66" t="s">
        <v>267</v>
      </c>
      <c r="K6" s="66" t="s">
        <v>260</v>
      </c>
      <c r="L6" s="66"/>
      <c r="M6" s="66"/>
      <c r="N6" s="66" t="s">
        <v>168</v>
      </c>
      <c r="O6" s="66" t="s">
        <v>111</v>
      </c>
      <c r="P6" s="66"/>
      <c r="Q6" s="66" t="s">
        <v>132</v>
      </c>
      <c r="R6" s="66" t="s">
        <v>152</v>
      </c>
      <c r="S6" s="66" t="s">
        <v>258</v>
      </c>
      <c r="T6" s="66" t="s">
        <v>113</v>
      </c>
      <c r="U6" s="66" t="s">
        <v>260</v>
      </c>
      <c r="V6" s="66" t="s">
        <v>206</v>
      </c>
      <c r="W6" s="66"/>
      <c r="X6" s="66"/>
      <c r="Y6" s="66" t="s">
        <v>169</v>
      </c>
      <c r="Z6" s="66" t="s">
        <v>156</v>
      </c>
      <c r="AA6" s="66" t="s">
        <v>62</v>
      </c>
      <c r="AB6" s="66" t="s">
        <v>158</v>
      </c>
      <c r="AC6" s="66" t="s">
        <v>116</v>
      </c>
      <c r="AD6" s="66" t="s">
        <v>112</v>
      </c>
      <c r="AE6" s="66" t="s">
        <v>268</v>
      </c>
      <c r="AF6" s="66" t="s">
        <v>138</v>
      </c>
      <c r="AG6" s="66" t="s">
        <v>125</v>
      </c>
      <c r="AH6" s="66" t="s">
        <v>135</v>
      </c>
      <c r="AI6" s="66"/>
      <c r="AJ6" s="66" t="s">
        <v>170</v>
      </c>
      <c r="AK6" s="66" t="s">
        <v>114</v>
      </c>
      <c r="AL6" s="66" t="s">
        <v>136</v>
      </c>
      <c r="AM6" s="66" t="s">
        <v>118</v>
      </c>
      <c r="AN6" s="66"/>
      <c r="AO6" s="66"/>
      <c r="AP6" s="66"/>
      <c r="AQ6" s="66"/>
      <c r="AR6" s="66"/>
      <c r="AS6" s="66"/>
      <c r="AT6" s="66" t="s">
        <v>110</v>
      </c>
      <c r="AU6" s="66" t="s">
        <v>126</v>
      </c>
      <c r="AV6" s="66" t="s">
        <v>261</v>
      </c>
      <c r="AW6" s="66"/>
      <c r="AX6" s="66" t="s">
        <v>269</v>
      </c>
      <c r="AY6" s="66" t="s">
        <v>172</v>
      </c>
      <c r="AZ6" s="66"/>
      <c r="BA6" s="66"/>
      <c r="BB6" s="66"/>
      <c r="BC6" s="66"/>
      <c r="BD6" s="66" t="s">
        <v>148</v>
      </c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D6" s="48">
        <f t="shared" si="4"/>
        <v>3</v>
      </c>
      <c r="CE6" s="48">
        <f t="shared" si="5"/>
        <v>0</v>
      </c>
      <c r="CF6" s="48">
        <f t="shared" si="5"/>
        <v>0</v>
      </c>
      <c r="CG6" s="48">
        <f t="shared" si="5"/>
        <v>0</v>
      </c>
      <c r="CH6" s="48">
        <f t="shared" si="5"/>
        <v>0</v>
      </c>
      <c r="CI6" s="48" t="str">
        <f t="shared" si="5"/>
        <v>X</v>
      </c>
      <c r="CJ6" s="48">
        <f t="shared" si="5"/>
        <v>0</v>
      </c>
      <c r="CK6" s="48">
        <f t="shared" si="5"/>
        <v>0</v>
      </c>
      <c r="CL6" s="48">
        <f t="shared" si="5"/>
        <v>0</v>
      </c>
      <c r="CM6" s="48" t="str">
        <f t="shared" si="5"/>
        <v>X</v>
      </c>
      <c r="CN6" s="48">
        <f t="shared" si="5"/>
        <v>0</v>
      </c>
      <c r="CO6" s="48">
        <f t="shared" si="5"/>
        <v>0</v>
      </c>
      <c r="CP6" s="48">
        <f t="shared" si="5"/>
        <v>0</v>
      </c>
      <c r="CQ6" s="48">
        <f t="shared" si="5"/>
        <v>0</v>
      </c>
      <c r="CR6" s="48">
        <f t="shared" si="5"/>
        <v>0</v>
      </c>
      <c r="CS6" s="48">
        <f t="shared" si="5"/>
        <v>0</v>
      </c>
      <c r="CT6" s="48">
        <f t="shared" si="5"/>
        <v>0</v>
      </c>
      <c r="CU6" s="48">
        <f t="shared" si="6"/>
        <v>0</v>
      </c>
      <c r="CV6" s="48">
        <f t="shared" si="6"/>
        <v>0</v>
      </c>
      <c r="CW6" s="48" t="str">
        <f t="shared" si="6"/>
        <v>X</v>
      </c>
      <c r="CX6" s="48">
        <f t="shared" si="6"/>
        <v>0</v>
      </c>
      <c r="CY6" s="48">
        <f t="shared" si="6"/>
        <v>0</v>
      </c>
      <c r="CZ6" s="48">
        <f t="shared" si="10"/>
        <v>0</v>
      </c>
      <c r="DA6" s="48">
        <f t="shared" si="7"/>
        <v>0</v>
      </c>
      <c r="DB6" s="48">
        <f t="shared" si="7"/>
        <v>0</v>
      </c>
      <c r="DC6" s="48">
        <f t="shared" si="7"/>
        <v>0</v>
      </c>
      <c r="DD6" s="48">
        <f t="shared" si="7"/>
        <v>0</v>
      </c>
      <c r="DE6" s="48">
        <f t="shared" si="7"/>
        <v>0</v>
      </c>
      <c r="DF6" s="48">
        <f t="shared" si="7"/>
        <v>0</v>
      </c>
      <c r="DG6" s="48">
        <f t="shared" si="7"/>
        <v>0</v>
      </c>
      <c r="DH6" s="48">
        <f t="shared" si="7"/>
        <v>0</v>
      </c>
      <c r="DI6" s="48">
        <f t="shared" si="7"/>
        <v>0</v>
      </c>
      <c r="DJ6" s="48">
        <f t="shared" si="7"/>
        <v>0</v>
      </c>
      <c r="DK6" s="48">
        <f t="shared" si="7"/>
        <v>0</v>
      </c>
      <c r="DL6" s="48">
        <f>IF(COUNTIF($C6:$CB6,#REF!)&gt;1,"X",0)</f>
        <v>0</v>
      </c>
      <c r="DM6" s="48">
        <f>IF(COUNTIF($C6:$CB6,#REF!)&gt;1,"X",0)</f>
        <v>0</v>
      </c>
      <c r="DN6" s="48">
        <f>IF(COUNTIF($C6:$CB6,#REF!)&gt;1,"X",0)</f>
        <v>0</v>
      </c>
      <c r="DO6" s="48">
        <f>IF(COUNTIF($C6:$CB6,#REF!)&gt;1,"X",0)</f>
        <v>0</v>
      </c>
      <c r="DP6" s="48">
        <f>IF(COUNTIF($C6:$CB6,#REF!)&gt;1,"X",0)</f>
        <v>0</v>
      </c>
      <c r="DQ6" s="48">
        <f>IF(COUNTIF($C6:$CB6,#REF!)&gt;1,"X",0)</f>
        <v>0</v>
      </c>
      <c r="DR6" s="48">
        <f>IF(COUNTIF($C6:$CB6,#REF!)&gt;1,"X",0)</f>
        <v>0</v>
      </c>
      <c r="DS6" s="48">
        <f>IF(COUNTIF($C6:$CB6,#REF!)&gt;1,"X",0)</f>
        <v>0</v>
      </c>
      <c r="DT6" s="48">
        <f t="shared" si="8"/>
        <v>0</v>
      </c>
      <c r="DU6" s="48">
        <f t="shared" si="8"/>
        <v>0</v>
      </c>
      <c r="DV6" s="48">
        <f t="shared" si="8"/>
        <v>0</v>
      </c>
      <c r="DW6" s="48">
        <f t="shared" si="8"/>
        <v>0</v>
      </c>
      <c r="DX6" s="48">
        <f t="shared" si="8"/>
        <v>0</v>
      </c>
      <c r="DY6" s="48">
        <f t="shared" si="8"/>
        <v>0</v>
      </c>
      <c r="DZ6" s="48">
        <f t="shared" si="8"/>
        <v>0</v>
      </c>
      <c r="EA6" s="48">
        <f t="shared" si="8"/>
        <v>0</v>
      </c>
      <c r="EB6" s="48">
        <f t="shared" si="8"/>
        <v>0</v>
      </c>
      <c r="EC6" s="48">
        <f t="shared" si="8"/>
        <v>0</v>
      </c>
      <c r="ED6" s="48">
        <f t="shared" si="8"/>
        <v>0</v>
      </c>
      <c r="EE6" s="48">
        <f t="shared" si="8"/>
        <v>0</v>
      </c>
      <c r="EF6" s="48">
        <f t="shared" si="8"/>
        <v>0</v>
      </c>
      <c r="EG6" s="48">
        <f t="shared" si="8"/>
        <v>0</v>
      </c>
      <c r="EH6" s="48">
        <f t="shared" si="8"/>
        <v>0</v>
      </c>
      <c r="EI6" s="48">
        <f t="shared" si="8"/>
        <v>0</v>
      </c>
      <c r="EJ6" s="48">
        <f t="shared" si="9"/>
        <v>0</v>
      </c>
      <c r="EK6" s="48">
        <f t="shared" si="9"/>
        <v>0</v>
      </c>
      <c r="EL6" s="48">
        <f t="shared" si="9"/>
        <v>0</v>
      </c>
      <c r="EM6" s="48">
        <f t="shared" si="9"/>
        <v>0</v>
      </c>
    </row>
    <row r="7" spans="1:143" ht="15.75" customHeight="1" x14ac:dyDescent="0.2">
      <c r="A7" s="61"/>
      <c r="B7" s="65">
        <f>IF(CD7&gt;0,0,4)</f>
        <v>0</v>
      </c>
      <c r="C7" s="66" t="s">
        <v>266</v>
      </c>
      <c r="D7" s="66" t="s">
        <v>151</v>
      </c>
      <c r="E7" s="66"/>
      <c r="F7" s="66"/>
      <c r="G7" s="66" t="s">
        <v>261</v>
      </c>
      <c r="H7" s="66"/>
      <c r="I7" s="66"/>
      <c r="J7" s="66" t="s">
        <v>267</v>
      </c>
      <c r="K7" s="66" t="s">
        <v>260</v>
      </c>
      <c r="L7" s="66"/>
      <c r="M7" s="66"/>
      <c r="N7" s="66" t="s">
        <v>148</v>
      </c>
      <c r="O7" s="66"/>
      <c r="P7" s="66"/>
      <c r="Q7" s="66"/>
      <c r="R7" s="66" t="s">
        <v>132</v>
      </c>
      <c r="S7" s="66" t="s">
        <v>258</v>
      </c>
      <c r="T7" s="66" t="s">
        <v>113</v>
      </c>
      <c r="U7" s="66" t="s">
        <v>260</v>
      </c>
      <c r="V7" s="66" t="s">
        <v>206</v>
      </c>
      <c r="W7" s="66"/>
      <c r="X7" s="66"/>
      <c r="Y7" s="66" t="s">
        <v>169</v>
      </c>
      <c r="Z7" s="66"/>
      <c r="AA7" s="66" t="s">
        <v>120</v>
      </c>
      <c r="AB7" s="66"/>
      <c r="AC7" s="66" t="s">
        <v>116</v>
      </c>
      <c r="AD7" s="66" t="s">
        <v>112</v>
      </c>
      <c r="AE7" s="66"/>
      <c r="AF7" s="66"/>
      <c r="AG7" s="66" t="s">
        <v>125</v>
      </c>
      <c r="AH7" s="66" t="s">
        <v>135</v>
      </c>
      <c r="AI7" s="66"/>
      <c r="AJ7" s="66" t="s">
        <v>156</v>
      </c>
      <c r="AK7" s="66" t="s">
        <v>114</v>
      </c>
      <c r="AL7" s="66" t="s">
        <v>180</v>
      </c>
      <c r="AM7" s="66"/>
      <c r="AN7" s="66"/>
      <c r="AO7" s="66"/>
      <c r="AP7" s="66"/>
      <c r="AQ7" s="66"/>
      <c r="AR7" s="66"/>
      <c r="AS7" s="66"/>
      <c r="AT7" s="66"/>
      <c r="AU7" s="66" t="s">
        <v>126</v>
      </c>
      <c r="AV7" s="66" t="s">
        <v>261</v>
      </c>
      <c r="AW7" s="66"/>
      <c r="AX7" s="66" t="s">
        <v>269</v>
      </c>
      <c r="AY7" s="66" t="s">
        <v>172</v>
      </c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D7" s="48">
        <f t="shared" si="4"/>
        <v>3</v>
      </c>
      <c r="CE7" s="48">
        <f t="shared" si="5"/>
        <v>0</v>
      </c>
      <c r="CF7" s="48">
        <f t="shared" si="5"/>
        <v>0</v>
      </c>
      <c r="CG7" s="48">
        <f t="shared" si="5"/>
        <v>0</v>
      </c>
      <c r="CH7" s="48">
        <f t="shared" si="5"/>
        <v>0</v>
      </c>
      <c r="CI7" s="48" t="str">
        <f t="shared" si="5"/>
        <v>X</v>
      </c>
      <c r="CJ7" s="48">
        <f t="shared" si="5"/>
        <v>0</v>
      </c>
      <c r="CK7" s="48">
        <f t="shared" si="5"/>
        <v>0</v>
      </c>
      <c r="CL7" s="48">
        <f t="shared" si="5"/>
        <v>0</v>
      </c>
      <c r="CM7" s="48" t="str">
        <f t="shared" si="5"/>
        <v>X</v>
      </c>
      <c r="CN7" s="48">
        <f t="shared" si="5"/>
        <v>0</v>
      </c>
      <c r="CO7" s="48">
        <f t="shared" si="5"/>
        <v>0</v>
      </c>
      <c r="CP7" s="48">
        <f t="shared" si="5"/>
        <v>0</v>
      </c>
      <c r="CQ7" s="48">
        <f t="shared" si="5"/>
        <v>0</v>
      </c>
      <c r="CR7" s="48">
        <f t="shared" si="5"/>
        <v>0</v>
      </c>
      <c r="CS7" s="48">
        <f t="shared" si="5"/>
        <v>0</v>
      </c>
      <c r="CT7" s="48">
        <f t="shared" si="5"/>
        <v>0</v>
      </c>
      <c r="CU7" s="48">
        <f t="shared" si="6"/>
        <v>0</v>
      </c>
      <c r="CV7" s="48">
        <f t="shared" si="6"/>
        <v>0</v>
      </c>
      <c r="CW7" s="48" t="str">
        <f t="shared" si="6"/>
        <v>X</v>
      </c>
      <c r="CX7" s="48">
        <f t="shared" si="6"/>
        <v>0</v>
      </c>
      <c r="CY7" s="48">
        <f t="shared" si="6"/>
        <v>0</v>
      </c>
      <c r="CZ7" s="48">
        <f t="shared" si="10"/>
        <v>0</v>
      </c>
      <c r="DA7" s="48">
        <f t="shared" si="7"/>
        <v>0</v>
      </c>
      <c r="DB7" s="48">
        <f t="shared" si="7"/>
        <v>0</v>
      </c>
      <c r="DC7" s="48">
        <f t="shared" si="7"/>
        <v>0</v>
      </c>
      <c r="DD7" s="48">
        <f t="shared" si="7"/>
        <v>0</v>
      </c>
      <c r="DE7" s="48">
        <f t="shared" si="7"/>
        <v>0</v>
      </c>
      <c r="DF7" s="48">
        <f t="shared" si="7"/>
        <v>0</v>
      </c>
      <c r="DG7" s="48">
        <f t="shared" si="7"/>
        <v>0</v>
      </c>
      <c r="DH7" s="48">
        <f t="shared" si="7"/>
        <v>0</v>
      </c>
      <c r="DI7" s="48">
        <f t="shared" si="7"/>
        <v>0</v>
      </c>
      <c r="DJ7" s="48">
        <f t="shared" si="7"/>
        <v>0</v>
      </c>
      <c r="DK7" s="48">
        <f t="shared" si="7"/>
        <v>0</v>
      </c>
      <c r="DL7" s="48">
        <f>IF(COUNTIF($C7:$CB7,#REF!)&gt;1,"X",0)</f>
        <v>0</v>
      </c>
      <c r="DM7" s="48">
        <f>IF(COUNTIF($C7:$CB7,#REF!)&gt;1,"X",0)</f>
        <v>0</v>
      </c>
      <c r="DN7" s="48">
        <f>IF(COUNTIF($C7:$CB7,#REF!)&gt;1,"X",0)</f>
        <v>0</v>
      </c>
      <c r="DO7" s="48">
        <f>IF(COUNTIF($C7:$CB7,#REF!)&gt;1,"X",0)</f>
        <v>0</v>
      </c>
      <c r="DP7" s="48">
        <f>IF(COUNTIF($C7:$CB7,#REF!)&gt;1,"X",0)</f>
        <v>0</v>
      </c>
      <c r="DQ7" s="48">
        <f>IF(COUNTIF($C7:$CB7,#REF!)&gt;1,"X",0)</f>
        <v>0</v>
      </c>
      <c r="DR7" s="48">
        <f>IF(COUNTIF($C7:$CB7,#REF!)&gt;1,"X",0)</f>
        <v>0</v>
      </c>
      <c r="DS7" s="48">
        <f>IF(COUNTIF($C7:$CB7,#REF!)&gt;1,"X",0)</f>
        <v>0</v>
      </c>
      <c r="DT7" s="48">
        <f t="shared" si="8"/>
        <v>0</v>
      </c>
      <c r="DU7" s="48">
        <f t="shared" si="8"/>
        <v>0</v>
      </c>
      <c r="DV7" s="48">
        <f t="shared" si="8"/>
        <v>0</v>
      </c>
      <c r="DW7" s="48">
        <f t="shared" si="8"/>
        <v>0</v>
      </c>
      <c r="DX7" s="48">
        <f t="shared" si="8"/>
        <v>0</v>
      </c>
      <c r="DY7" s="48">
        <f t="shared" si="8"/>
        <v>0</v>
      </c>
      <c r="DZ7" s="48">
        <f t="shared" si="8"/>
        <v>0</v>
      </c>
      <c r="EA7" s="48">
        <f t="shared" si="8"/>
        <v>0</v>
      </c>
      <c r="EB7" s="48">
        <f t="shared" si="8"/>
        <v>0</v>
      </c>
      <c r="EC7" s="48">
        <f t="shared" si="8"/>
        <v>0</v>
      </c>
      <c r="ED7" s="48">
        <f t="shared" si="8"/>
        <v>0</v>
      </c>
      <c r="EE7" s="48">
        <f t="shared" si="8"/>
        <v>0</v>
      </c>
      <c r="EF7" s="48">
        <f t="shared" si="8"/>
        <v>0</v>
      </c>
      <c r="EG7" s="48">
        <f t="shared" si="8"/>
        <v>0</v>
      </c>
      <c r="EH7" s="48">
        <f t="shared" si="8"/>
        <v>0</v>
      </c>
      <c r="EI7" s="48">
        <f t="shared" si="8"/>
        <v>0</v>
      </c>
      <c r="EJ7" s="48">
        <f t="shared" si="9"/>
        <v>0</v>
      </c>
      <c r="EK7" s="48">
        <f t="shared" si="9"/>
        <v>0</v>
      </c>
      <c r="EL7" s="48">
        <f t="shared" si="9"/>
        <v>0</v>
      </c>
      <c r="EM7" s="48">
        <f t="shared" si="9"/>
        <v>0</v>
      </c>
    </row>
    <row r="8" spans="1:143" ht="15.75" customHeight="1" thickBot="1" x14ac:dyDescent="0.25">
      <c r="A8" s="67"/>
      <c r="B8" s="68">
        <f>IF(CD8&gt;0,0,5)</f>
        <v>5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70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71"/>
      <c r="BY8" s="71"/>
      <c r="BZ8" s="71"/>
      <c r="CA8" s="72"/>
      <c r="CB8" s="71"/>
      <c r="CD8" s="48">
        <f t="shared" si="4"/>
        <v>0</v>
      </c>
      <c r="CE8" s="48">
        <f t="shared" si="5"/>
        <v>0</v>
      </c>
      <c r="CF8" s="48">
        <f t="shared" si="5"/>
        <v>0</v>
      </c>
      <c r="CG8" s="48">
        <f t="shared" si="5"/>
        <v>0</v>
      </c>
      <c r="CH8" s="48">
        <f t="shared" si="5"/>
        <v>0</v>
      </c>
      <c r="CI8" s="48">
        <f t="shared" si="5"/>
        <v>0</v>
      </c>
      <c r="CJ8" s="48">
        <f t="shared" si="5"/>
        <v>0</v>
      </c>
      <c r="CK8" s="48">
        <f t="shared" si="5"/>
        <v>0</v>
      </c>
      <c r="CL8" s="48">
        <f t="shared" si="5"/>
        <v>0</v>
      </c>
      <c r="CM8" s="48">
        <f t="shared" si="5"/>
        <v>0</v>
      </c>
      <c r="CN8" s="48">
        <f t="shared" si="5"/>
        <v>0</v>
      </c>
      <c r="CO8" s="48">
        <f t="shared" si="5"/>
        <v>0</v>
      </c>
      <c r="CP8" s="48">
        <f t="shared" si="5"/>
        <v>0</v>
      </c>
      <c r="CQ8" s="48">
        <f t="shared" si="5"/>
        <v>0</v>
      </c>
      <c r="CR8" s="48">
        <f t="shared" si="5"/>
        <v>0</v>
      </c>
      <c r="CS8" s="48">
        <f t="shared" si="5"/>
        <v>0</v>
      </c>
      <c r="CT8" s="48">
        <f t="shared" si="5"/>
        <v>0</v>
      </c>
      <c r="CU8" s="48">
        <f t="shared" si="6"/>
        <v>0</v>
      </c>
      <c r="CV8" s="48">
        <f t="shared" si="6"/>
        <v>0</v>
      </c>
      <c r="CW8" s="48">
        <f t="shared" si="6"/>
        <v>0</v>
      </c>
      <c r="CX8" s="48">
        <f t="shared" si="6"/>
        <v>0</v>
      </c>
      <c r="CY8" s="48">
        <f t="shared" si="6"/>
        <v>0</v>
      </c>
      <c r="CZ8" s="48">
        <f t="shared" si="10"/>
        <v>0</v>
      </c>
      <c r="DA8" s="48">
        <f t="shared" si="7"/>
        <v>0</v>
      </c>
      <c r="DB8" s="48">
        <f t="shared" si="7"/>
        <v>0</v>
      </c>
      <c r="DC8" s="48">
        <f t="shared" si="7"/>
        <v>0</v>
      </c>
      <c r="DD8" s="48">
        <f t="shared" si="7"/>
        <v>0</v>
      </c>
      <c r="DE8" s="48">
        <f t="shared" si="7"/>
        <v>0</v>
      </c>
      <c r="DF8" s="48">
        <f t="shared" si="7"/>
        <v>0</v>
      </c>
      <c r="DG8" s="48">
        <f t="shared" si="7"/>
        <v>0</v>
      </c>
      <c r="DH8" s="48">
        <f t="shared" si="7"/>
        <v>0</v>
      </c>
      <c r="DI8" s="48">
        <f t="shared" si="7"/>
        <v>0</v>
      </c>
      <c r="DJ8" s="48">
        <f t="shared" si="7"/>
        <v>0</v>
      </c>
      <c r="DK8" s="48">
        <f t="shared" si="7"/>
        <v>0</v>
      </c>
      <c r="DL8" s="48">
        <f>IF(COUNTIF($C8:$CB8,#REF!)&gt;1,"X",0)</f>
        <v>0</v>
      </c>
      <c r="DM8" s="48">
        <f>IF(COUNTIF($C8:$CB8,#REF!)&gt;1,"X",0)</f>
        <v>0</v>
      </c>
      <c r="DN8" s="48">
        <f>IF(COUNTIF($C8:$CB8,#REF!)&gt;1,"X",0)</f>
        <v>0</v>
      </c>
      <c r="DO8" s="48">
        <f>IF(COUNTIF($C8:$CB8,#REF!)&gt;1,"X",0)</f>
        <v>0</v>
      </c>
      <c r="DP8" s="48">
        <f>IF(COUNTIF($C8:$CB8,#REF!)&gt;1,"X",0)</f>
        <v>0</v>
      </c>
      <c r="DQ8" s="48">
        <f>IF(COUNTIF($C8:$CB8,#REF!)&gt;1,"X",0)</f>
        <v>0</v>
      </c>
      <c r="DR8" s="48">
        <f>IF(COUNTIF($C8:$CB8,#REF!)&gt;1,"X",0)</f>
        <v>0</v>
      </c>
      <c r="DS8" s="48">
        <f>IF(COUNTIF($C8:$CB8,#REF!)&gt;1,"X",0)</f>
        <v>0</v>
      </c>
      <c r="DT8" s="48">
        <f t="shared" si="8"/>
        <v>0</v>
      </c>
      <c r="DU8" s="48">
        <f t="shared" si="8"/>
        <v>0</v>
      </c>
      <c r="DV8" s="48">
        <f t="shared" si="8"/>
        <v>0</v>
      </c>
      <c r="DW8" s="48">
        <f t="shared" si="8"/>
        <v>0</v>
      </c>
      <c r="DX8" s="48">
        <f t="shared" si="8"/>
        <v>0</v>
      </c>
      <c r="DY8" s="48">
        <f t="shared" si="8"/>
        <v>0</v>
      </c>
      <c r="DZ8" s="48">
        <f t="shared" si="8"/>
        <v>0</v>
      </c>
      <c r="EA8" s="48">
        <f t="shared" si="8"/>
        <v>0</v>
      </c>
      <c r="EB8" s="48">
        <f t="shared" si="8"/>
        <v>0</v>
      </c>
      <c r="EC8" s="48">
        <f t="shared" si="8"/>
        <v>0</v>
      </c>
      <c r="ED8" s="48">
        <f t="shared" si="8"/>
        <v>0</v>
      </c>
      <c r="EE8" s="48">
        <f t="shared" si="8"/>
        <v>0</v>
      </c>
      <c r="EF8" s="48">
        <f t="shared" si="8"/>
        <v>0</v>
      </c>
      <c r="EG8" s="48">
        <f t="shared" si="8"/>
        <v>0</v>
      </c>
      <c r="EH8" s="48">
        <f t="shared" si="8"/>
        <v>0</v>
      </c>
      <c r="EI8" s="48">
        <f t="shared" si="8"/>
        <v>0</v>
      </c>
      <c r="EJ8" s="48">
        <f t="shared" si="9"/>
        <v>0</v>
      </c>
      <c r="EK8" s="48">
        <f t="shared" si="9"/>
        <v>0</v>
      </c>
      <c r="EL8" s="48">
        <f t="shared" si="9"/>
        <v>0</v>
      </c>
      <c r="EM8" s="48">
        <f t="shared" si="9"/>
        <v>0</v>
      </c>
    </row>
    <row r="9" spans="1:143" ht="15.75" customHeight="1" x14ac:dyDescent="0.2">
      <c r="A9" s="73" t="s">
        <v>174</v>
      </c>
      <c r="B9" s="74">
        <f>IF(CD9&gt;0,0,1)</f>
        <v>0</v>
      </c>
      <c r="C9" s="63" t="s">
        <v>155</v>
      </c>
      <c r="D9" s="63"/>
      <c r="E9" s="63" t="s">
        <v>140</v>
      </c>
      <c r="F9" s="63" t="s">
        <v>266</v>
      </c>
      <c r="G9" s="63" t="s">
        <v>262</v>
      </c>
      <c r="H9" s="63" t="s">
        <v>164</v>
      </c>
      <c r="I9" s="63" t="s">
        <v>181</v>
      </c>
      <c r="J9" s="63"/>
      <c r="K9" s="63" t="s">
        <v>190</v>
      </c>
      <c r="L9" s="63" t="s">
        <v>165</v>
      </c>
      <c r="M9" s="63" t="s">
        <v>145</v>
      </c>
      <c r="N9" s="63" t="s">
        <v>261</v>
      </c>
      <c r="O9" s="63" t="s">
        <v>258</v>
      </c>
      <c r="P9" s="63" t="s">
        <v>150</v>
      </c>
      <c r="Q9" s="63" t="s">
        <v>260</v>
      </c>
      <c r="R9" s="63"/>
      <c r="S9" s="63" t="s">
        <v>270</v>
      </c>
      <c r="T9" s="63" t="s">
        <v>189</v>
      </c>
      <c r="U9" s="63" t="s">
        <v>228</v>
      </c>
      <c r="V9" s="63"/>
      <c r="W9" s="63" t="s">
        <v>180</v>
      </c>
      <c r="X9" s="63"/>
      <c r="Y9" s="63" t="s">
        <v>110</v>
      </c>
      <c r="Z9" s="63" t="s">
        <v>161</v>
      </c>
      <c r="AA9" s="63" t="s">
        <v>177</v>
      </c>
      <c r="AB9" s="63" t="s">
        <v>123</v>
      </c>
      <c r="AC9" s="63" t="s">
        <v>211</v>
      </c>
      <c r="AD9" s="63" t="s">
        <v>208</v>
      </c>
      <c r="AE9" s="63" t="s">
        <v>268</v>
      </c>
      <c r="AF9" s="63" t="s">
        <v>214</v>
      </c>
      <c r="AG9" s="63" t="s">
        <v>214</v>
      </c>
      <c r="AH9" s="63" t="s">
        <v>212</v>
      </c>
      <c r="AI9" s="63" t="s">
        <v>119</v>
      </c>
      <c r="AJ9" s="63" t="s">
        <v>210</v>
      </c>
      <c r="AK9" s="63" t="s">
        <v>149</v>
      </c>
      <c r="AL9" s="63" t="s">
        <v>185</v>
      </c>
      <c r="AM9" s="63" t="s">
        <v>182</v>
      </c>
      <c r="AN9" s="63"/>
      <c r="AO9" s="63"/>
      <c r="AP9" s="63"/>
      <c r="AQ9" s="63"/>
      <c r="AR9" s="63" t="s">
        <v>262</v>
      </c>
      <c r="AS9" s="63" t="s">
        <v>205</v>
      </c>
      <c r="AT9" s="63" t="s">
        <v>122</v>
      </c>
      <c r="AU9" s="63"/>
      <c r="AV9" s="63"/>
      <c r="AW9" s="63" t="s">
        <v>133</v>
      </c>
      <c r="AX9" s="63"/>
      <c r="AY9" s="63" t="s">
        <v>146</v>
      </c>
      <c r="AZ9" s="63"/>
      <c r="BA9" s="63" t="s">
        <v>262</v>
      </c>
      <c r="BB9" s="63"/>
      <c r="BC9" s="63" t="s">
        <v>264</v>
      </c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D9" s="48">
        <f t="shared" si="4"/>
        <v>3</v>
      </c>
      <c r="CE9" s="48">
        <f t="shared" si="5"/>
        <v>0</v>
      </c>
      <c r="CF9" s="48">
        <f t="shared" si="5"/>
        <v>0</v>
      </c>
      <c r="CG9" s="48">
        <f t="shared" si="5"/>
        <v>0</v>
      </c>
      <c r="CH9" s="48">
        <f t="shared" si="5"/>
        <v>0</v>
      </c>
      <c r="CI9" s="48" t="str">
        <f t="shared" si="5"/>
        <v>X</v>
      </c>
      <c r="CJ9" s="48">
        <f t="shared" si="5"/>
        <v>0</v>
      </c>
      <c r="CK9" s="48">
        <f t="shared" si="5"/>
        <v>0</v>
      </c>
      <c r="CL9" s="48">
        <f t="shared" si="5"/>
        <v>0</v>
      </c>
      <c r="CM9" s="48">
        <f t="shared" si="5"/>
        <v>0</v>
      </c>
      <c r="CN9" s="48">
        <f t="shared" si="5"/>
        <v>0</v>
      </c>
      <c r="CO9" s="48">
        <f t="shared" si="5"/>
        <v>0</v>
      </c>
      <c r="CP9" s="48">
        <f t="shared" si="5"/>
        <v>0</v>
      </c>
      <c r="CQ9" s="48">
        <f t="shared" si="5"/>
        <v>0</v>
      </c>
      <c r="CR9" s="48">
        <f t="shared" si="5"/>
        <v>0</v>
      </c>
      <c r="CS9" s="48">
        <f t="shared" si="5"/>
        <v>0</v>
      </c>
      <c r="CT9" s="48">
        <f t="shared" si="5"/>
        <v>0</v>
      </c>
      <c r="CU9" s="48">
        <f t="shared" si="6"/>
        <v>0</v>
      </c>
      <c r="CV9" s="48">
        <f t="shared" si="6"/>
        <v>0</v>
      </c>
      <c r="CW9" s="48">
        <f t="shared" si="6"/>
        <v>0</v>
      </c>
      <c r="CX9" s="48">
        <f t="shared" si="6"/>
        <v>0</v>
      </c>
      <c r="CY9" s="48">
        <f t="shared" si="6"/>
        <v>0</v>
      </c>
      <c r="CZ9" s="48">
        <f t="shared" si="10"/>
        <v>0</v>
      </c>
      <c r="DA9" s="48">
        <f t="shared" si="7"/>
        <v>0</v>
      </c>
      <c r="DB9" s="48">
        <f t="shared" si="7"/>
        <v>0</v>
      </c>
      <c r="DC9" s="48">
        <f t="shared" si="7"/>
        <v>0</v>
      </c>
      <c r="DD9" s="48">
        <f t="shared" si="7"/>
        <v>0</v>
      </c>
      <c r="DE9" s="48">
        <f t="shared" si="7"/>
        <v>0</v>
      </c>
      <c r="DF9" s="48">
        <f t="shared" si="7"/>
        <v>0</v>
      </c>
      <c r="DG9" s="48" t="str">
        <f t="shared" si="7"/>
        <v>X</v>
      </c>
      <c r="DH9" s="48" t="str">
        <f t="shared" si="7"/>
        <v>X</v>
      </c>
      <c r="DI9" s="48">
        <f t="shared" si="7"/>
        <v>0</v>
      </c>
      <c r="DJ9" s="48">
        <f t="shared" si="7"/>
        <v>0</v>
      </c>
      <c r="DK9" s="48">
        <f t="shared" si="7"/>
        <v>0</v>
      </c>
      <c r="DL9" s="48">
        <f>IF(COUNTIF($C9:$CB9,#REF!)&gt;1,"X",0)</f>
        <v>0</v>
      </c>
      <c r="DM9" s="48">
        <f>IF(COUNTIF($C9:$CB9,#REF!)&gt;1,"X",0)</f>
        <v>0</v>
      </c>
      <c r="DN9" s="48">
        <f>IF(COUNTIF($C9:$CB9,#REF!)&gt;1,"X",0)</f>
        <v>0</v>
      </c>
      <c r="DO9" s="48">
        <f>IF(COUNTIF($C9:$CB9,#REF!)&gt;1,"X",0)</f>
        <v>0</v>
      </c>
      <c r="DP9" s="48">
        <f>IF(COUNTIF($C9:$CB9,#REF!)&gt;1,"X",0)</f>
        <v>0</v>
      </c>
      <c r="DQ9" s="48">
        <f>IF(COUNTIF($C9:$CB9,#REF!)&gt;1,"X",0)</f>
        <v>0</v>
      </c>
      <c r="DR9" s="48">
        <f>IF(COUNTIF($C9:$CB9,#REF!)&gt;1,"X",0)</f>
        <v>0</v>
      </c>
      <c r="DS9" s="48">
        <f>IF(COUNTIF($C9:$CB9,#REF!)&gt;1,"X",0)</f>
        <v>0</v>
      </c>
      <c r="DT9" s="48">
        <f t="shared" si="8"/>
        <v>0</v>
      </c>
      <c r="DU9" s="48">
        <f t="shared" si="8"/>
        <v>0</v>
      </c>
      <c r="DV9" s="48">
        <f t="shared" si="8"/>
        <v>0</v>
      </c>
      <c r="DW9" s="48">
        <f t="shared" si="8"/>
        <v>0</v>
      </c>
      <c r="DX9" s="48">
        <f t="shared" si="8"/>
        <v>0</v>
      </c>
      <c r="DY9" s="48">
        <f t="shared" si="8"/>
        <v>0</v>
      </c>
      <c r="DZ9" s="48">
        <f t="shared" si="8"/>
        <v>0</v>
      </c>
      <c r="EA9" s="48">
        <f t="shared" si="8"/>
        <v>0</v>
      </c>
      <c r="EB9" s="48">
        <f t="shared" si="8"/>
        <v>0</v>
      </c>
      <c r="EC9" s="48">
        <f t="shared" si="8"/>
        <v>0</v>
      </c>
      <c r="ED9" s="48">
        <f t="shared" si="8"/>
        <v>0</v>
      </c>
      <c r="EE9" s="48">
        <f t="shared" si="8"/>
        <v>0</v>
      </c>
      <c r="EF9" s="48">
        <f t="shared" si="8"/>
        <v>0</v>
      </c>
      <c r="EG9" s="48">
        <f t="shared" si="8"/>
        <v>0</v>
      </c>
      <c r="EH9" s="48">
        <f t="shared" si="8"/>
        <v>0</v>
      </c>
      <c r="EI9" s="48">
        <f t="shared" si="8"/>
        <v>0</v>
      </c>
      <c r="EJ9" s="48">
        <f t="shared" si="9"/>
        <v>0</v>
      </c>
      <c r="EK9" s="48">
        <f t="shared" si="9"/>
        <v>0</v>
      </c>
      <c r="EL9" s="48">
        <f t="shared" si="9"/>
        <v>0</v>
      </c>
      <c r="EM9" s="48">
        <f t="shared" si="9"/>
        <v>0</v>
      </c>
    </row>
    <row r="10" spans="1:143" ht="15.75" customHeight="1" x14ac:dyDescent="0.2">
      <c r="A10" s="61" t="s">
        <v>193</v>
      </c>
      <c r="B10" s="75">
        <f>IF(CD10&gt;0,0,2)</f>
        <v>0</v>
      </c>
      <c r="C10" s="66" t="s">
        <v>155</v>
      </c>
      <c r="D10" s="66" t="s">
        <v>180</v>
      </c>
      <c r="E10" s="66" t="s">
        <v>140</v>
      </c>
      <c r="F10" s="66" t="s">
        <v>266</v>
      </c>
      <c r="G10" s="66" t="s">
        <v>262</v>
      </c>
      <c r="H10" s="66" t="s">
        <v>164</v>
      </c>
      <c r="I10" s="66" t="s">
        <v>181</v>
      </c>
      <c r="J10" s="66"/>
      <c r="K10" s="66" t="s">
        <v>133</v>
      </c>
      <c r="L10" s="66" t="s">
        <v>165</v>
      </c>
      <c r="M10" s="66" t="s">
        <v>145</v>
      </c>
      <c r="N10" s="66" t="s">
        <v>261</v>
      </c>
      <c r="O10" s="66" t="s">
        <v>258</v>
      </c>
      <c r="P10" s="66" t="s">
        <v>150</v>
      </c>
      <c r="Q10" s="66" t="s">
        <v>260</v>
      </c>
      <c r="R10" s="66"/>
      <c r="S10" s="66" t="s">
        <v>270</v>
      </c>
      <c r="T10" s="66" t="s">
        <v>189</v>
      </c>
      <c r="U10" s="66" t="s">
        <v>228</v>
      </c>
      <c r="V10" s="66"/>
      <c r="W10" s="66" t="s">
        <v>130</v>
      </c>
      <c r="X10" s="66"/>
      <c r="Y10" s="66" t="s">
        <v>190</v>
      </c>
      <c r="Z10" s="66" t="s">
        <v>161</v>
      </c>
      <c r="AA10" s="66" t="s">
        <v>177</v>
      </c>
      <c r="AB10" s="66" t="s">
        <v>158</v>
      </c>
      <c r="AC10" s="66" t="s">
        <v>211</v>
      </c>
      <c r="AD10" s="66" t="s">
        <v>199</v>
      </c>
      <c r="AE10" s="66" t="s">
        <v>205</v>
      </c>
      <c r="AF10" s="66" t="s">
        <v>214</v>
      </c>
      <c r="AG10" s="66" t="s">
        <v>214</v>
      </c>
      <c r="AH10" s="66" t="s">
        <v>212</v>
      </c>
      <c r="AI10" s="66" t="s">
        <v>149</v>
      </c>
      <c r="AJ10" s="66" t="s">
        <v>210</v>
      </c>
      <c r="AK10" s="66" t="s">
        <v>119</v>
      </c>
      <c r="AL10" s="66" t="s">
        <v>208</v>
      </c>
      <c r="AM10" s="66" t="s">
        <v>123</v>
      </c>
      <c r="AN10" s="66"/>
      <c r="AO10" s="66"/>
      <c r="AP10" s="66"/>
      <c r="AQ10" s="66"/>
      <c r="AR10" s="66" t="s">
        <v>262</v>
      </c>
      <c r="AS10" s="66" t="s">
        <v>122</v>
      </c>
      <c r="AT10" s="66" t="s">
        <v>110</v>
      </c>
      <c r="AU10" s="66"/>
      <c r="AV10" s="66"/>
      <c r="AW10" s="66" t="s">
        <v>163</v>
      </c>
      <c r="AX10" s="66"/>
      <c r="AY10" s="66" t="s">
        <v>179</v>
      </c>
      <c r="AZ10" s="66"/>
      <c r="BA10" s="66" t="s">
        <v>262</v>
      </c>
      <c r="BB10" s="66"/>
      <c r="BC10" s="66" t="s">
        <v>264</v>
      </c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D10" s="48">
        <f t="shared" si="4"/>
        <v>3</v>
      </c>
      <c r="CE10" s="48">
        <f t="shared" si="5"/>
        <v>0</v>
      </c>
      <c r="CF10" s="48">
        <f t="shared" si="5"/>
        <v>0</v>
      </c>
      <c r="CG10" s="48">
        <f t="shared" si="5"/>
        <v>0</v>
      </c>
      <c r="CH10" s="48">
        <f t="shared" si="5"/>
        <v>0</v>
      </c>
      <c r="CI10" s="48" t="str">
        <f t="shared" si="5"/>
        <v>X</v>
      </c>
      <c r="CJ10" s="48">
        <f t="shared" si="5"/>
        <v>0</v>
      </c>
      <c r="CK10" s="48">
        <f t="shared" si="5"/>
        <v>0</v>
      </c>
      <c r="CL10" s="48">
        <f t="shared" si="5"/>
        <v>0</v>
      </c>
      <c r="CM10" s="48">
        <f t="shared" si="5"/>
        <v>0</v>
      </c>
      <c r="CN10" s="48">
        <f t="shared" si="5"/>
        <v>0</v>
      </c>
      <c r="CO10" s="48">
        <f t="shared" si="5"/>
        <v>0</v>
      </c>
      <c r="CP10" s="48">
        <f t="shared" si="5"/>
        <v>0</v>
      </c>
      <c r="CQ10" s="48">
        <f t="shared" si="5"/>
        <v>0</v>
      </c>
      <c r="CR10" s="48">
        <f t="shared" si="5"/>
        <v>0</v>
      </c>
      <c r="CS10" s="48">
        <f t="shared" si="5"/>
        <v>0</v>
      </c>
      <c r="CT10" s="48">
        <f t="shared" si="5"/>
        <v>0</v>
      </c>
      <c r="CU10" s="48">
        <f t="shared" si="6"/>
        <v>0</v>
      </c>
      <c r="CV10" s="48">
        <f t="shared" si="6"/>
        <v>0</v>
      </c>
      <c r="CW10" s="48">
        <f t="shared" si="6"/>
        <v>0</v>
      </c>
      <c r="CX10" s="48">
        <f t="shared" si="6"/>
        <v>0</v>
      </c>
      <c r="CY10" s="48">
        <f t="shared" si="6"/>
        <v>0</v>
      </c>
      <c r="CZ10" s="48">
        <f t="shared" si="10"/>
        <v>0</v>
      </c>
      <c r="DA10" s="48">
        <f t="shared" si="7"/>
        <v>0</v>
      </c>
      <c r="DB10" s="48">
        <f t="shared" si="7"/>
        <v>0</v>
      </c>
      <c r="DC10" s="48">
        <f t="shared" si="7"/>
        <v>0</v>
      </c>
      <c r="DD10" s="48">
        <f t="shared" si="7"/>
        <v>0</v>
      </c>
      <c r="DE10" s="48">
        <f t="shared" si="7"/>
        <v>0</v>
      </c>
      <c r="DF10" s="48">
        <f t="shared" si="7"/>
        <v>0</v>
      </c>
      <c r="DG10" s="48" t="str">
        <f t="shared" si="7"/>
        <v>X</v>
      </c>
      <c r="DH10" s="48" t="str">
        <f t="shared" si="7"/>
        <v>X</v>
      </c>
      <c r="DI10" s="48">
        <f t="shared" si="7"/>
        <v>0</v>
      </c>
      <c r="DJ10" s="48">
        <f t="shared" si="7"/>
        <v>0</v>
      </c>
      <c r="DK10" s="48">
        <f t="shared" si="7"/>
        <v>0</v>
      </c>
      <c r="DL10" s="48">
        <f>IF(COUNTIF($C10:$CB10,#REF!)&gt;1,"X",0)</f>
        <v>0</v>
      </c>
      <c r="DM10" s="48">
        <f>IF(COUNTIF($C10:$CB10,#REF!)&gt;1,"X",0)</f>
        <v>0</v>
      </c>
      <c r="DN10" s="48">
        <f>IF(COUNTIF($C10:$CB10,#REF!)&gt;1,"X",0)</f>
        <v>0</v>
      </c>
      <c r="DO10" s="48">
        <f>IF(COUNTIF($C10:$CB10,#REF!)&gt;1,"X",0)</f>
        <v>0</v>
      </c>
      <c r="DP10" s="48">
        <f>IF(COUNTIF($C10:$CB10,#REF!)&gt;1,"X",0)</f>
        <v>0</v>
      </c>
      <c r="DQ10" s="48">
        <f>IF(COUNTIF($C10:$CB10,#REF!)&gt;1,"X",0)</f>
        <v>0</v>
      </c>
      <c r="DR10" s="48">
        <f>IF(COUNTIF($C10:$CB10,#REF!)&gt;1,"X",0)</f>
        <v>0</v>
      </c>
      <c r="DS10" s="48">
        <f>IF(COUNTIF($C10:$CB10,#REF!)&gt;1,"X",0)</f>
        <v>0</v>
      </c>
      <c r="DT10" s="48">
        <f t="shared" si="8"/>
        <v>0</v>
      </c>
      <c r="DU10" s="48">
        <f t="shared" si="8"/>
        <v>0</v>
      </c>
      <c r="DV10" s="48">
        <f t="shared" si="8"/>
        <v>0</v>
      </c>
      <c r="DW10" s="48">
        <f t="shared" si="8"/>
        <v>0</v>
      </c>
      <c r="DX10" s="48">
        <f t="shared" si="8"/>
        <v>0</v>
      </c>
      <c r="DY10" s="48">
        <f t="shared" si="8"/>
        <v>0</v>
      </c>
      <c r="DZ10" s="48">
        <f t="shared" si="8"/>
        <v>0</v>
      </c>
      <c r="EA10" s="48">
        <f t="shared" si="8"/>
        <v>0</v>
      </c>
      <c r="EB10" s="48">
        <f t="shared" si="8"/>
        <v>0</v>
      </c>
      <c r="EC10" s="48">
        <f t="shared" si="8"/>
        <v>0</v>
      </c>
      <c r="ED10" s="48">
        <f t="shared" si="8"/>
        <v>0</v>
      </c>
      <c r="EE10" s="48">
        <f t="shared" si="8"/>
        <v>0</v>
      </c>
      <c r="EF10" s="48">
        <f t="shared" si="8"/>
        <v>0</v>
      </c>
      <c r="EG10" s="48">
        <f t="shared" si="8"/>
        <v>0</v>
      </c>
      <c r="EH10" s="48">
        <f t="shared" si="8"/>
        <v>0</v>
      </c>
      <c r="EI10" s="48">
        <f t="shared" si="8"/>
        <v>0</v>
      </c>
      <c r="EJ10" s="48">
        <f t="shared" si="9"/>
        <v>0</v>
      </c>
      <c r="EK10" s="48">
        <f t="shared" si="9"/>
        <v>0</v>
      </c>
      <c r="EL10" s="48">
        <f t="shared" si="9"/>
        <v>0</v>
      </c>
      <c r="EM10" s="48">
        <f t="shared" si="9"/>
        <v>0</v>
      </c>
    </row>
    <row r="11" spans="1:143" ht="15.75" customHeight="1" x14ac:dyDescent="0.2">
      <c r="A11" s="61" t="s">
        <v>174</v>
      </c>
      <c r="B11" s="75">
        <f>IF(CD11&gt;0,0,3)</f>
        <v>0</v>
      </c>
      <c r="C11" s="66" t="s">
        <v>192</v>
      </c>
      <c r="D11" s="66" t="s">
        <v>146</v>
      </c>
      <c r="E11" s="66" t="s">
        <v>259</v>
      </c>
      <c r="F11" s="66" t="s">
        <v>167</v>
      </c>
      <c r="G11" s="66"/>
      <c r="H11" s="66" t="s">
        <v>262</v>
      </c>
      <c r="I11" s="66" t="s">
        <v>130</v>
      </c>
      <c r="J11" s="66"/>
      <c r="K11" s="66" t="s">
        <v>258</v>
      </c>
      <c r="L11" s="66" t="s">
        <v>208</v>
      </c>
      <c r="M11" s="66" t="s">
        <v>267</v>
      </c>
      <c r="N11" s="66"/>
      <c r="O11" s="66" t="s">
        <v>262</v>
      </c>
      <c r="P11" s="66" t="s">
        <v>165</v>
      </c>
      <c r="Q11" s="66" t="s">
        <v>261</v>
      </c>
      <c r="R11" s="66" t="s">
        <v>270</v>
      </c>
      <c r="S11" s="66"/>
      <c r="T11" s="66" t="s">
        <v>163</v>
      </c>
      <c r="U11" s="66"/>
      <c r="V11" s="66" t="s">
        <v>123</v>
      </c>
      <c r="W11" s="66" t="s">
        <v>140</v>
      </c>
      <c r="X11" s="66"/>
      <c r="Y11" s="66" t="s">
        <v>190</v>
      </c>
      <c r="Z11" s="66" t="s">
        <v>212</v>
      </c>
      <c r="AA11" s="66" t="s">
        <v>111</v>
      </c>
      <c r="AB11" s="66" t="s">
        <v>112</v>
      </c>
      <c r="AC11" s="66" t="s">
        <v>129</v>
      </c>
      <c r="AD11" s="66" t="s">
        <v>209</v>
      </c>
      <c r="AE11" s="66" t="s">
        <v>177</v>
      </c>
      <c r="AF11" s="66" t="s">
        <v>150</v>
      </c>
      <c r="AG11" s="66" t="s">
        <v>135</v>
      </c>
      <c r="AH11" s="66" t="s">
        <v>158</v>
      </c>
      <c r="AI11" s="66" t="s">
        <v>212</v>
      </c>
      <c r="AJ11" s="66" t="s">
        <v>185</v>
      </c>
      <c r="AK11" s="66" t="s">
        <v>119</v>
      </c>
      <c r="AL11" s="66" t="s">
        <v>211</v>
      </c>
      <c r="AM11" s="66" t="s">
        <v>211</v>
      </c>
      <c r="AN11" s="66"/>
      <c r="AO11" s="66"/>
      <c r="AP11" s="66"/>
      <c r="AQ11" s="66"/>
      <c r="AR11" s="66" t="s">
        <v>263</v>
      </c>
      <c r="AS11" s="66" t="s">
        <v>122</v>
      </c>
      <c r="AT11" s="66" t="s">
        <v>260</v>
      </c>
      <c r="AU11" s="66"/>
      <c r="AV11" s="66" t="s">
        <v>260</v>
      </c>
      <c r="AW11" s="66" t="s">
        <v>260</v>
      </c>
      <c r="AX11" s="66" t="s">
        <v>260</v>
      </c>
      <c r="AY11" s="66" t="s">
        <v>133</v>
      </c>
      <c r="AZ11" s="66" t="s">
        <v>260</v>
      </c>
      <c r="BA11" s="66" t="s">
        <v>260</v>
      </c>
      <c r="BB11" s="66" t="s">
        <v>260</v>
      </c>
      <c r="BC11" s="66"/>
      <c r="BD11" s="66" t="s">
        <v>260</v>
      </c>
      <c r="BE11" s="66" t="s">
        <v>260</v>
      </c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D11" s="48">
        <f t="shared" si="4"/>
        <v>4</v>
      </c>
      <c r="CE11" s="48">
        <f t="shared" si="5"/>
        <v>0</v>
      </c>
      <c r="CF11" s="48">
        <f t="shared" si="5"/>
        <v>0</v>
      </c>
      <c r="CG11" s="48">
        <f t="shared" si="5"/>
        <v>0</v>
      </c>
      <c r="CH11" s="48">
        <f t="shared" si="5"/>
        <v>0</v>
      </c>
      <c r="CI11" s="48">
        <f t="shared" si="5"/>
        <v>0</v>
      </c>
      <c r="CJ11" s="48" t="str">
        <f t="shared" si="5"/>
        <v>X</v>
      </c>
      <c r="CK11" s="48">
        <f t="shared" si="5"/>
        <v>0</v>
      </c>
      <c r="CL11" s="48">
        <f t="shared" si="5"/>
        <v>0</v>
      </c>
      <c r="CM11" s="48">
        <f t="shared" si="5"/>
        <v>0</v>
      </c>
      <c r="CN11" s="48">
        <f t="shared" si="5"/>
        <v>0</v>
      </c>
      <c r="CO11" s="48">
        <f t="shared" si="5"/>
        <v>0</v>
      </c>
      <c r="CP11" s="48">
        <f t="shared" si="5"/>
        <v>0</v>
      </c>
      <c r="CQ11" s="48" t="str">
        <f t="shared" si="5"/>
        <v>X</v>
      </c>
      <c r="CR11" s="48">
        <f t="shared" si="5"/>
        <v>0</v>
      </c>
      <c r="CS11" s="48">
        <f t="shared" si="5"/>
        <v>0</v>
      </c>
      <c r="CT11" s="48">
        <f t="shared" si="5"/>
        <v>0</v>
      </c>
      <c r="CU11" s="48">
        <f t="shared" si="6"/>
        <v>0</v>
      </c>
      <c r="CV11" s="48">
        <f t="shared" si="6"/>
        <v>0</v>
      </c>
      <c r="CW11" s="48">
        <f t="shared" si="6"/>
        <v>0</v>
      </c>
      <c r="CX11" s="48">
        <f t="shared" si="6"/>
        <v>0</v>
      </c>
      <c r="CY11" s="48">
        <f t="shared" si="6"/>
        <v>0</v>
      </c>
      <c r="CZ11" s="48">
        <f t="shared" si="10"/>
        <v>0</v>
      </c>
      <c r="DA11" s="48" t="str">
        <f t="shared" si="7"/>
        <v>X</v>
      </c>
      <c r="DB11" s="48">
        <f t="shared" si="7"/>
        <v>0</v>
      </c>
      <c r="DC11" s="48">
        <f t="shared" si="7"/>
        <v>0</v>
      </c>
      <c r="DD11" s="48">
        <f t="shared" si="7"/>
        <v>0</v>
      </c>
      <c r="DE11" s="48">
        <f t="shared" si="7"/>
        <v>0</v>
      </c>
      <c r="DF11" s="48">
        <f t="shared" si="7"/>
        <v>0</v>
      </c>
      <c r="DG11" s="48">
        <f t="shared" si="7"/>
        <v>0</v>
      </c>
      <c r="DH11" s="48">
        <f t="shared" si="7"/>
        <v>0</v>
      </c>
      <c r="DI11" s="48">
        <f t="shared" si="7"/>
        <v>0</v>
      </c>
      <c r="DJ11" s="48" t="str">
        <f t="shared" si="7"/>
        <v>X</v>
      </c>
      <c r="DK11" s="48">
        <f t="shared" si="7"/>
        <v>0</v>
      </c>
      <c r="DL11" s="48">
        <f>IF(COUNTIF($C11:$CB11,#REF!)&gt;1,"X",0)</f>
        <v>0</v>
      </c>
      <c r="DM11" s="48">
        <f>IF(COUNTIF($C11:$CB11,#REF!)&gt;1,"X",0)</f>
        <v>0</v>
      </c>
      <c r="DN11" s="48">
        <f>IF(COUNTIF($C11:$CB11,#REF!)&gt;1,"X",0)</f>
        <v>0</v>
      </c>
      <c r="DO11" s="48">
        <f>IF(COUNTIF($C11:$CB11,#REF!)&gt;1,"X",0)</f>
        <v>0</v>
      </c>
      <c r="DP11" s="48">
        <f>IF(COUNTIF($C11:$CB11,#REF!)&gt;1,"X",0)</f>
        <v>0</v>
      </c>
      <c r="DQ11" s="48">
        <f>IF(COUNTIF($C11:$CB11,#REF!)&gt;1,"X",0)</f>
        <v>0</v>
      </c>
      <c r="DR11" s="48">
        <f>IF(COUNTIF($C11:$CB11,#REF!)&gt;1,"X",0)</f>
        <v>0</v>
      </c>
      <c r="DS11" s="48">
        <f>IF(COUNTIF($C11:$CB11,#REF!)&gt;1,"X",0)</f>
        <v>0</v>
      </c>
      <c r="DT11" s="48">
        <f t="shared" si="8"/>
        <v>0</v>
      </c>
      <c r="DU11" s="48">
        <f t="shared" si="8"/>
        <v>0</v>
      </c>
      <c r="DV11" s="48">
        <f t="shared" si="8"/>
        <v>0</v>
      </c>
      <c r="DW11" s="48">
        <f t="shared" si="8"/>
        <v>0</v>
      </c>
      <c r="DX11" s="48">
        <f t="shared" si="8"/>
        <v>0</v>
      </c>
      <c r="DY11" s="48">
        <f t="shared" si="8"/>
        <v>0</v>
      </c>
      <c r="DZ11" s="48">
        <f t="shared" si="8"/>
        <v>0</v>
      </c>
      <c r="EA11" s="48">
        <f t="shared" si="8"/>
        <v>0</v>
      </c>
      <c r="EB11" s="48">
        <f t="shared" si="8"/>
        <v>0</v>
      </c>
      <c r="EC11" s="48">
        <f t="shared" si="8"/>
        <v>0</v>
      </c>
      <c r="ED11" s="48">
        <f t="shared" si="8"/>
        <v>0</v>
      </c>
      <c r="EE11" s="48">
        <f t="shared" si="8"/>
        <v>0</v>
      </c>
      <c r="EF11" s="48">
        <f t="shared" si="8"/>
        <v>0</v>
      </c>
      <c r="EG11" s="48">
        <f t="shared" si="8"/>
        <v>0</v>
      </c>
      <c r="EH11" s="48">
        <f t="shared" si="8"/>
        <v>0</v>
      </c>
      <c r="EI11" s="48">
        <f t="shared" si="8"/>
        <v>0</v>
      </c>
      <c r="EJ11" s="48">
        <f t="shared" si="9"/>
        <v>0</v>
      </c>
      <c r="EK11" s="48">
        <f t="shared" si="9"/>
        <v>0</v>
      </c>
      <c r="EL11" s="48">
        <f t="shared" si="9"/>
        <v>0</v>
      </c>
      <c r="EM11" s="48">
        <f t="shared" si="9"/>
        <v>0</v>
      </c>
    </row>
    <row r="12" spans="1:143" ht="15.75" customHeight="1" x14ac:dyDescent="0.2">
      <c r="A12" s="61"/>
      <c r="B12" s="75">
        <f>IF(CD12&gt;0,0,4)</f>
        <v>0</v>
      </c>
      <c r="C12" s="66" t="s">
        <v>192</v>
      </c>
      <c r="D12" s="66"/>
      <c r="E12" s="66" t="s">
        <v>259</v>
      </c>
      <c r="F12" s="66" t="s">
        <v>167</v>
      </c>
      <c r="G12" s="66"/>
      <c r="H12" s="66" t="s">
        <v>262</v>
      </c>
      <c r="I12" s="66" t="s">
        <v>130</v>
      </c>
      <c r="J12" s="66"/>
      <c r="K12" s="66" t="s">
        <v>258</v>
      </c>
      <c r="L12" s="66" t="s">
        <v>208</v>
      </c>
      <c r="M12" s="66" t="s">
        <v>267</v>
      </c>
      <c r="N12" s="66"/>
      <c r="O12" s="66" t="s">
        <v>262</v>
      </c>
      <c r="P12" s="66" t="s">
        <v>176</v>
      </c>
      <c r="Q12" s="66" t="s">
        <v>261</v>
      </c>
      <c r="R12" s="66" t="s">
        <v>270</v>
      </c>
      <c r="S12" s="66"/>
      <c r="T12" s="66" t="s">
        <v>146</v>
      </c>
      <c r="U12" s="66"/>
      <c r="V12" s="66" t="s">
        <v>123</v>
      </c>
      <c r="W12" s="66" t="s">
        <v>140</v>
      </c>
      <c r="X12" s="66"/>
      <c r="Y12" s="66"/>
      <c r="Z12" s="66" t="s">
        <v>212</v>
      </c>
      <c r="AA12" s="66" t="s">
        <v>111</v>
      </c>
      <c r="AB12" s="66" t="s">
        <v>112</v>
      </c>
      <c r="AC12" s="66" t="s">
        <v>179</v>
      </c>
      <c r="AD12" s="66" t="s">
        <v>209</v>
      </c>
      <c r="AE12" s="66" t="s">
        <v>177</v>
      </c>
      <c r="AF12" s="66" t="s">
        <v>220</v>
      </c>
      <c r="AG12" s="66" t="s">
        <v>135</v>
      </c>
      <c r="AH12" s="66" t="s">
        <v>93</v>
      </c>
      <c r="AI12" s="66" t="s">
        <v>212</v>
      </c>
      <c r="AJ12" s="66" t="s">
        <v>181</v>
      </c>
      <c r="AK12" s="66"/>
      <c r="AL12" s="66" t="s">
        <v>211</v>
      </c>
      <c r="AM12" s="66" t="s">
        <v>211</v>
      </c>
      <c r="AN12" s="66"/>
      <c r="AO12" s="66"/>
      <c r="AP12" s="66"/>
      <c r="AQ12" s="66"/>
      <c r="AR12" s="66" t="s">
        <v>263</v>
      </c>
      <c r="AS12" s="66"/>
      <c r="AT12" s="66" t="s">
        <v>260</v>
      </c>
      <c r="AU12" s="66"/>
      <c r="AV12" s="66" t="s">
        <v>260</v>
      </c>
      <c r="AW12" s="66" t="s">
        <v>260</v>
      </c>
      <c r="AX12" s="66" t="s">
        <v>260</v>
      </c>
      <c r="AY12" s="66"/>
      <c r="AZ12" s="66" t="s">
        <v>260</v>
      </c>
      <c r="BA12" s="66" t="s">
        <v>260</v>
      </c>
      <c r="BB12" s="66" t="s">
        <v>260</v>
      </c>
      <c r="BC12" s="66"/>
      <c r="BD12" s="66" t="s">
        <v>260</v>
      </c>
      <c r="BE12" s="66" t="s">
        <v>260</v>
      </c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D12" s="48">
        <f t="shared" si="4"/>
        <v>4</v>
      </c>
      <c r="CE12" s="48">
        <f t="shared" si="5"/>
        <v>0</v>
      </c>
      <c r="CF12" s="48">
        <f t="shared" si="5"/>
        <v>0</v>
      </c>
      <c r="CG12" s="48">
        <f t="shared" si="5"/>
        <v>0</v>
      </c>
      <c r="CH12" s="48">
        <f t="shared" si="5"/>
        <v>0</v>
      </c>
      <c r="CI12" s="48">
        <f t="shared" si="5"/>
        <v>0</v>
      </c>
      <c r="CJ12" s="48" t="str">
        <f t="shared" si="5"/>
        <v>X</v>
      </c>
      <c r="CK12" s="48">
        <f t="shared" si="5"/>
        <v>0</v>
      </c>
      <c r="CL12" s="48">
        <f t="shared" si="5"/>
        <v>0</v>
      </c>
      <c r="CM12" s="48">
        <f t="shared" si="5"/>
        <v>0</v>
      </c>
      <c r="CN12" s="48">
        <f t="shared" si="5"/>
        <v>0</v>
      </c>
      <c r="CO12" s="48">
        <f t="shared" si="5"/>
        <v>0</v>
      </c>
      <c r="CP12" s="48">
        <f t="shared" si="5"/>
        <v>0</v>
      </c>
      <c r="CQ12" s="48" t="str">
        <f t="shared" si="5"/>
        <v>X</v>
      </c>
      <c r="CR12" s="48">
        <f t="shared" si="5"/>
        <v>0</v>
      </c>
      <c r="CS12" s="48">
        <f t="shared" si="5"/>
        <v>0</v>
      </c>
      <c r="CT12" s="48">
        <f t="shared" si="5"/>
        <v>0</v>
      </c>
      <c r="CU12" s="48">
        <f t="shared" si="6"/>
        <v>0</v>
      </c>
      <c r="CV12" s="48">
        <f t="shared" si="6"/>
        <v>0</v>
      </c>
      <c r="CW12" s="48">
        <f t="shared" si="6"/>
        <v>0</v>
      </c>
      <c r="CX12" s="48">
        <f t="shared" si="6"/>
        <v>0</v>
      </c>
      <c r="CY12" s="48">
        <f t="shared" si="6"/>
        <v>0</v>
      </c>
      <c r="CZ12" s="48">
        <f t="shared" si="10"/>
        <v>0</v>
      </c>
      <c r="DA12" s="48" t="str">
        <f t="shared" si="7"/>
        <v>X</v>
      </c>
      <c r="DB12" s="48">
        <f t="shared" si="7"/>
        <v>0</v>
      </c>
      <c r="DC12" s="48">
        <f t="shared" si="7"/>
        <v>0</v>
      </c>
      <c r="DD12" s="48">
        <f t="shared" si="7"/>
        <v>0</v>
      </c>
      <c r="DE12" s="48">
        <f t="shared" si="7"/>
        <v>0</v>
      </c>
      <c r="DF12" s="48">
        <f t="shared" si="7"/>
        <v>0</v>
      </c>
      <c r="DG12" s="48">
        <f t="shared" si="7"/>
        <v>0</v>
      </c>
      <c r="DH12" s="48">
        <f t="shared" si="7"/>
        <v>0</v>
      </c>
      <c r="DI12" s="48">
        <f t="shared" si="7"/>
        <v>0</v>
      </c>
      <c r="DJ12" s="48" t="str">
        <f t="shared" si="7"/>
        <v>X</v>
      </c>
      <c r="DK12" s="48">
        <f t="shared" si="7"/>
        <v>0</v>
      </c>
      <c r="DL12" s="48">
        <f>IF(COUNTIF($C12:$CB12,#REF!)&gt;1,"X",0)</f>
        <v>0</v>
      </c>
      <c r="DM12" s="48">
        <f>IF(COUNTIF($C12:$CB12,#REF!)&gt;1,"X",0)</f>
        <v>0</v>
      </c>
      <c r="DN12" s="48">
        <f>IF(COUNTIF($C12:$CB12,#REF!)&gt;1,"X",0)</f>
        <v>0</v>
      </c>
      <c r="DO12" s="48">
        <f>IF(COUNTIF($C12:$CB12,#REF!)&gt;1,"X",0)</f>
        <v>0</v>
      </c>
      <c r="DP12" s="48">
        <f>IF(COUNTIF($C12:$CB12,#REF!)&gt;1,"X",0)</f>
        <v>0</v>
      </c>
      <c r="DQ12" s="48">
        <f>IF(COUNTIF($C12:$CB12,#REF!)&gt;1,"X",0)</f>
        <v>0</v>
      </c>
      <c r="DR12" s="48">
        <f>IF(COUNTIF($C12:$CB12,#REF!)&gt;1,"X",0)</f>
        <v>0</v>
      </c>
      <c r="DS12" s="48">
        <f>IF(COUNTIF($C12:$CB12,#REF!)&gt;1,"X",0)</f>
        <v>0</v>
      </c>
      <c r="DT12" s="48">
        <f t="shared" si="8"/>
        <v>0</v>
      </c>
      <c r="DU12" s="48">
        <f t="shared" si="8"/>
        <v>0</v>
      </c>
      <c r="DV12" s="48">
        <f t="shared" si="8"/>
        <v>0</v>
      </c>
      <c r="DW12" s="48">
        <f t="shared" si="8"/>
        <v>0</v>
      </c>
      <c r="DX12" s="48">
        <f t="shared" si="8"/>
        <v>0</v>
      </c>
      <c r="DY12" s="48">
        <f t="shared" si="8"/>
        <v>0</v>
      </c>
      <c r="DZ12" s="48">
        <f t="shared" si="8"/>
        <v>0</v>
      </c>
      <c r="EA12" s="48">
        <f t="shared" si="8"/>
        <v>0</v>
      </c>
      <c r="EB12" s="48">
        <f t="shared" si="8"/>
        <v>0</v>
      </c>
      <c r="EC12" s="48">
        <f t="shared" si="8"/>
        <v>0</v>
      </c>
      <c r="ED12" s="48">
        <f t="shared" si="8"/>
        <v>0</v>
      </c>
      <c r="EE12" s="48">
        <f t="shared" si="8"/>
        <v>0</v>
      </c>
      <c r="EF12" s="48">
        <f t="shared" si="8"/>
        <v>0</v>
      </c>
      <c r="EG12" s="48">
        <f t="shared" si="8"/>
        <v>0</v>
      </c>
      <c r="EH12" s="48">
        <f t="shared" si="8"/>
        <v>0</v>
      </c>
      <c r="EI12" s="48">
        <f t="shared" si="8"/>
        <v>0</v>
      </c>
      <c r="EJ12" s="48">
        <f t="shared" si="9"/>
        <v>0</v>
      </c>
      <c r="EK12" s="48">
        <f t="shared" si="9"/>
        <v>0</v>
      </c>
      <c r="EL12" s="48">
        <f t="shared" si="9"/>
        <v>0</v>
      </c>
      <c r="EM12" s="48">
        <f t="shared" si="9"/>
        <v>0</v>
      </c>
    </row>
    <row r="13" spans="1:143" ht="15.75" customHeight="1" thickBot="1" x14ac:dyDescent="0.25">
      <c r="A13" s="67"/>
      <c r="B13" s="76">
        <f>IF(CD13&gt;0,0,5)</f>
        <v>5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8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6"/>
      <c r="AQ13" s="66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6"/>
      <c r="BH13" s="66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D13" s="48">
        <f t="shared" si="4"/>
        <v>0</v>
      </c>
      <c r="CE13" s="48">
        <f t="shared" si="5"/>
        <v>0</v>
      </c>
      <c r="CF13" s="48">
        <f t="shared" si="5"/>
        <v>0</v>
      </c>
      <c r="CG13" s="48">
        <f t="shared" si="5"/>
        <v>0</v>
      </c>
      <c r="CH13" s="48">
        <f t="shared" si="5"/>
        <v>0</v>
      </c>
      <c r="CI13" s="48">
        <f t="shared" si="5"/>
        <v>0</v>
      </c>
      <c r="CJ13" s="48">
        <f t="shared" si="5"/>
        <v>0</v>
      </c>
      <c r="CK13" s="48">
        <f t="shared" si="5"/>
        <v>0</v>
      </c>
      <c r="CL13" s="48">
        <f t="shared" si="5"/>
        <v>0</v>
      </c>
      <c r="CM13" s="48">
        <f t="shared" si="5"/>
        <v>0</v>
      </c>
      <c r="CN13" s="48">
        <f t="shared" si="5"/>
        <v>0</v>
      </c>
      <c r="CO13" s="48">
        <f t="shared" si="5"/>
        <v>0</v>
      </c>
      <c r="CP13" s="48">
        <f t="shared" si="5"/>
        <v>0</v>
      </c>
      <c r="CQ13" s="48">
        <f t="shared" si="5"/>
        <v>0</v>
      </c>
      <c r="CR13" s="48">
        <f t="shared" si="5"/>
        <v>0</v>
      </c>
      <c r="CS13" s="48">
        <f t="shared" si="5"/>
        <v>0</v>
      </c>
      <c r="CT13" s="48">
        <f t="shared" si="5"/>
        <v>0</v>
      </c>
      <c r="CU13" s="48">
        <f t="shared" si="6"/>
        <v>0</v>
      </c>
      <c r="CV13" s="48">
        <f t="shared" si="6"/>
        <v>0</v>
      </c>
      <c r="CW13" s="48">
        <f t="shared" si="6"/>
        <v>0</v>
      </c>
      <c r="CX13" s="48">
        <f t="shared" si="6"/>
        <v>0</v>
      </c>
      <c r="CY13" s="48">
        <f t="shared" si="6"/>
        <v>0</v>
      </c>
      <c r="CZ13" s="48">
        <f t="shared" si="10"/>
        <v>0</v>
      </c>
      <c r="DA13" s="48">
        <f t="shared" si="7"/>
        <v>0</v>
      </c>
      <c r="DB13" s="48">
        <f t="shared" si="7"/>
        <v>0</v>
      </c>
      <c r="DC13" s="48">
        <f t="shared" si="7"/>
        <v>0</v>
      </c>
      <c r="DD13" s="48">
        <f t="shared" si="7"/>
        <v>0</v>
      </c>
      <c r="DE13" s="48">
        <f t="shared" si="7"/>
        <v>0</v>
      </c>
      <c r="DF13" s="48">
        <f t="shared" si="7"/>
        <v>0</v>
      </c>
      <c r="DG13" s="48">
        <f t="shared" si="7"/>
        <v>0</v>
      </c>
      <c r="DH13" s="48">
        <f t="shared" si="7"/>
        <v>0</v>
      </c>
      <c r="DI13" s="48">
        <f t="shared" si="7"/>
        <v>0</v>
      </c>
      <c r="DJ13" s="48">
        <f t="shared" si="7"/>
        <v>0</v>
      </c>
      <c r="DK13" s="48">
        <f t="shared" si="7"/>
        <v>0</v>
      </c>
      <c r="DL13" s="48">
        <f>IF(COUNTIF($C13:$CB13,#REF!)&gt;1,"X",0)</f>
        <v>0</v>
      </c>
      <c r="DM13" s="48">
        <f>IF(COUNTIF($C13:$CB13,#REF!)&gt;1,"X",0)</f>
        <v>0</v>
      </c>
      <c r="DN13" s="48">
        <f>IF(COUNTIF($C13:$CB13,#REF!)&gt;1,"X",0)</f>
        <v>0</v>
      </c>
      <c r="DO13" s="48">
        <f>IF(COUNTIF($C13:$CB13,#REF!)&gt;1,"X",0)</f>
        <v>0</v>
      </c>
      <c r="DP13" s="48">
        <f>IF(COUNTIF($C13:$CB13,#REF!)&gt;1,"X",0)</f>
        <v>0</v>
      </c>
      <c r="DQ13" s="48">
        <f>IF(COUNTIF($C13:$CB13,#REF!)&gt;1,"X",0)</f>
        <v>0</v>
      </c>
      <c r="DR13" s="48">
        <f>IF(COUNTIF($C13:$CB13,#REF!)&gt;1,"X",0)</f>
        <v>0</v>
      </c>
      <c r="DS13" s="48">
        <f>IF(COUNTIF($C13:$CB13,#REF!)&gt;1,"X",0)</f>
        <v>0</v>
      </c>
      <c r="DT13" s="48">
        <f t="shared" si="8"/>
        <v>0</v>
      </c>
      <c r="DU13" s="48">
        <f t="shared" si="8"/>
        <v>0</v>
      </c>
      <c r="DV13" s="48">
        <f t="shared" si="8"/>
        <v>0</v>
      </c>
      <c r="DW13" s="48">
        <f t="shared" si="8"/>
        <v>0</v>
      </c>
      <c r="DX13" s="48">
        <f t="shared" si="8"/>
        <v>0</v>
      </c>
      <c r="DY13" s="48">
        <f t="shared" si="8"/>
        <v>0</v>
      </c>
      <c r="DZ13" s="48">
        <f t="shared" si="8"/>
        <v>0</v>
      </c>
      <c r="EA13" s="48">
        <f t="shared" si="8"/>
        <v>0</v>
      </c>
      <c r="EB13" s="48">
        <f t="shared" si="8"/>
        <v>0</v>
      </c>
      <c r="EC13" s="48">
        <f t="shared" si="8"/>
        <v>0</v>
      </c>
      <c r="ED13" s="48">
        <f t="shared" si="8"/>
        <v>0</v>
      </c>
      <c r="EE13" s="48">
        <f t="shared" si="8"/>
        <v>0</v>
      </c>
      <c r="EF13" s="48">
        <f t="shared" si="8"/>
        <v>0</v>
      </c>
      <c r="EG13" s="48">
        <f t="shared" si="8"/>
        <v>0</v>
      </c>
      <c r="EH13" s="48">
        <f t="shared" si="8"/>
        <v>0</v>
      </c>
      <c r="EI13" s="48">
        <f t="shared" si="8"/>
        <v>0</v>
      </c>
      <c r="EJ13" s="48">
        <f t="shared" si="9"/>
        <v>0</v>
      </c>
      <c r="EK13" s="48">
        <f t="shared" si="9"/>
        <v>0</v>
      </c>
      <c r="EL13" s="48">
        <f t="shared" si="9"/>
        <v>0</v>
      </c>
      <c r="EM13" s="48">
        <f t="shared" si="9"/>
        <v>0</v>
      </c>
    </row>
    <row r="14" spans="1:143" ht="15.75" customHeight="1" x14ac:dyDescent="0.2">
      <c r="A14" s="73" t="s">
        <v>203</v>
      </c>
      <c r="B14" s="74">
        <f>IF(CD14&gt;0,0,1)</f>
        <v>0</v>
      </c>
      <c r="C14" s="63" t="s">
        <v>259</v>
      </c>
      <c r="D14" s="63"/>
      <c r="E14" s="63" t="s">
        <v>261</v>
      </c>
      <c r="F14" s="63" t="s">
        <v>267</v>
      </c>
      <c r="G14" s="63" t="s">
        <v>260</v>
      </c>
      <c r="H14" s="63" t="s">
        <v>263</v>
      </c>
      <c r="I14" s="63" t="s">
        <v>258</v>
      </c>
      <c r="J14" s="63" t="s">
        <v>189</v>
      </c>
      <c r="K14" s="63" t="s">
        <v>262</v>
      </c>
      <c r="L14" s="63" t="s">
        <v>271</v>
      </c>
      <c r="M14" s="63" t="s">
        <v>168</v>
      </c>
      <c r="N14" s="63" t="s">
        <v>213</v>
      </c>
      <c r="O14" s="63" t="s">
        <v>208</v>
      </c>
      <c r="P14" s="63" t="s">
        <v>270</v>
      </c>
      <c r="Q14" s="63" t="s">
        <v>180</v>
      </c>
      <c r="R14" s="63" t="s">
        <v>152</v>
      </c>
      <c r="S14" s="63" t="s">
        <v>260</v>
      </c>
      <c r="T14" s="63" t="s">
        <v>260</v>
      </c>
      <c r="U14" s="63" t="s">
        <v>261</v>
      </c>
      <c r="V14" s="63" t="s">
        <v>262</v>
      </c>
      <c r="W14" s="63" t="s">
        <v>260</v>
      </c>
      <c r="X14" s="63"/>
      <c r="Y14" s="63" t="s">
        <v>151</v>
      </c>
      <c r="Z14" s="63" t="s">
        <v>61</v>
      </c>
      <c r="AA14" s="63" t="s">
        <v>272</v>
      </c>
      <c r="AB14" s="63" t="s">
        <v>136</v>
      </c>
      <c r="AC14" s="63" t="s">
        <v>113</v>
      </c>
      <c r="AD14" s="63" t="s">
        <v>262</v>
      </c>
      <c r="AE14" s="63" t="s">
        <v>138</v>
      </c>
      <c r="AF14" s="63" t="s">
        <v>185</v>
      </c>
      <c r="AG14" s="63"/>
      <c r="AH14" s="63" t="s">
        <v>191</v>
      </c>
      <c r="AI14" s="63" t="s">
        <v>198</v>
      </c>
      <c r="AJ14" s="63"/>
      <c r="AK14" s="63" t="s">
        <v>179</v>
      </c>
      <c r="AL14" s="63" t="s">
        <v>204</v>
      </c>
      <c r="AM14" s="63" t="s">
        <v>205</v>
      </c>
      <c r="AN14" s="63"/>
      <c r="AO14" s="63"/>
      <c r="AP14" s="63"/>
      <c r="AQ14" s="63"/>
      <c r="AR14" s="63"/>
      <c r="AS14" s="63"/>
      <c r="AT14" s="63"/>
      <c r="AU14" s="63"/>
      <c r="AV14" s="63"/>
      <c r="AW14" s="63" t="s">
        <v>131</v>
      </c>
      <c r="AX14" s="63"/>
      <c r="AY14" s="63"/>
      <c r="AZ14" s="63" t="s">
        <v>218</v>
      </c>
      <c r="BA14" s="63" t="s">
        <v>209</v>
      </c>
      <c r="BB14" s="63" t="s">
        <v>210</v>
      </c>
      <c r="BC14" s="63" t="s">
        <v>211</v>
      </c>
      <c r="BD14" s="63" t="s">
        <v>186</v>
      </c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D14" s="48">
        <f t="shared" si="4"/>
        <v>9</v>
      </c>
      <c r="CE14" s="48">
        <f t="shared" si="5"/>
        <v>0</v>
      </c>
      <c r="CF14" s="48">
        <f t="shared" si="5"/>
        <v>0</v>
      </c>
      <c r="CG14" s="48" t="str">
        <f t="shared" si="5"/>
        <v>X</v>
      </c>
      <c r="CH14" s="48">
        <f t="shared" si="5"/>
        <v>0</v>
      </c>
      <c r="CI14" s="48" t="str">
        <f t="shared" si="5"/>
        <v>X</v>
      </c>
      <c r="CJ14" s="48">
        <f t="shared" si="5"/>
        <v>0</v>
      </c>
      <c r="CK14" s="48">
        <f t="shared" si="5"/>
        <v>0</v>
      </c>
      <c r="CL14" s="48">
        <f t="shared" si="5"/>
        <v>0</v>
      </c>
      <c r="CM14" s="48" t="str">
        <f t="shared" si="5"/>
        <v>X</v>
      </c>
      <c r="CN14" s="48">
        <f t="shared" si="5"/>
        <v>0</v>
      </c>
      <c r="CO14" s="48">
        <f t="shared" si="5"/>
        <v>0</v>
      </c>
      <c r="CP14" s="48">
        <f t="shared" si="5"/>
        <v>0</v>
      </c>
      <c r="CQ14" s="48">
        <f t="shared" si="5"/>
        <v>0</v>
      </c>
      <c r="CR14" s="48">
        <f t="shared" si="5"/>
        <v>0</v>
      </c>
      <c r="CS14" s="48">
        <f t="shared" si="5"/>
        <v>0</v>
      </c>
      <c r="CT14" s="48">
        <f t="shared" si="5"/>
        <v>0</v>
      </c>
      <c r="CU14" s="48" t="str">
        <f t="shared" si="6"/>
        <v>X</v>
      </c>
      <c r="CV14" s="48" t="str">
        <f t="shared" si="6"/>
        <v>X</v>
      </c>
      <c r="CW14" s="48" t="str">
        <f t="shared" si="6"/>
        <v>X</v>
      </c>
      <c r="CX14" s="48" t="str">
        <f t="shared" si="6"/>
        <v>X</v>
      </c>
      <c r="CY14" s="48" t="str">
        <f t="shared" si="6"/>
        <v>X</v>
      </c>
      <c r="CZ14" s="48">
        <f t="shared" si="10"/>
        <v>0</v>
      </c>
      <c r="DA14" s="48">
        <f t="shared" si="7"/>
        <v>0</v>
      </c>
      <c r="DB14" s="48">
        <f t="shared" si="7"/>
        <v>0</v>
      </c>
      <c r="DC14" s="48">
        <f t="shared" si="7"/>
        <v>0</v>
      </c>
      <c r="DD14" s="48">
        <f t="shared" si="7"/>
        <v>0</v>
      </c>
      <c r="DE14" s="48" t="str">
        <f t="shared" si="7"/>
        <v>X</v>
      </c>
      <c r="DF14" s="48">
        <f t="shared" si="7"/>
        <v>0</v>
      </c>
      <c r="DG14" s="48">
        <f t="shared" si="7"/>
        <v>0</v>
      </c>
      <c r="DH14" s="48">
        <f t="shared" si="7"/>
        <v>0</v>
      </c>
      <c r="DI14" s="48">
        <f t="shared" si="7"/>
        <v>0</v>
      </c>
      <c r="DJ14" s="48">
        <f t="shared" si="7"/>
        <v>0</v>
      </c>
      <c r="DK14" s="48">
        <f t="shared" si="7"/>
        <v>0</v>
      </c>
      <c r="DL14" s="48">
        <f>IF(COUNTIF($C14:$CB14,#REF!)&gt;1,"X",0)</f>
        <v>0</v>
      </c>
      <c r="DM14" s="48">
        <f>IF(COUNTIF($C14:$CB14,#REF!)&gt;1,"X",0)</f>
        <v>0</v>
      </c>
      <c r="DN14" s="48">
        <f>IF(COUNTIF($C14:$CB14,#REF!)&gt;1,"X",0)</f>
        <v>0</v>
      </c>
      <c r="DO14" s="48">
        <f>IF(COUNTIF($C14:$CB14,#REF!)&gt;1,"X",0)</f>
        <v>0</v>
      </c>
      <c r="DP14" s="48">
        <f>IF(COUNTIF($C14:$CB14,#REF!)&gt;1,"X",0)</f>
        <v>0</v>
      </c>
      <c r="DQ14" s="48">
        <f>IF(COUNTIF($C14:$CB14,#REF!)&gt;1,"X",0)</f>
        <v>0</v>
      </c>
      <c r="DR14" s="48">
        <f>IF(COUNTIF($C14:$CB14,#REF!)&gt;1,"X",0)</f>
        <v>0</v>
      </c>
      <c r="DS14" s="48">
        <f>IF(COUNTIF($C14:$CB14,#REF!)&gt;1,"X",0)</f>
        <v>0</v>
      </c>
      <c r="DT14" s="48">
        <f t="shared" si="8"/>
        <v>0</v>
      </c>
      <c r="DU14" s="48">
        <f t="shared" si="8"/>
        <v>0</v>
      </c>
      <c r="DV14" s="48">
        <f t="shared" si="8"/>
        <v>0</v>
      </c>
      <c r="DW14" s="48">
        <f t="shared" si="8"/>
        <v>0</v>
      </c>
      <c r="DX14" s="48">
        <f t="shared" si="8"/>
        <v>0</v>
      </c>
      <c r="DY14" s="48">
        <f t="shared" si="8"/>
        <v>0</v>
      </c>
      <c r="DZ14" s="48">
        <f t="shared" si="8"/>
        <v>0</v>
      </c>
      <c r="EA14" s="48">
        <f t="shared" si="8"/>
        <v>0</v>
      </c>
      <c r="EB14" s="48">
        <f t="shared" si="8"/>
        <v>0</v>
      </c>
      <c r="EC14" s="48">
        <f t="shared" si="8"/>
        <v>0</v>
      </c>
      <c r="ED14" s="48">
        <f t="shared" si="8"/>
        <v>0</v>
      </c>
      <c r="EE14" s="48">
        <f t="shared" si="8"/>
        <v>0</v>
      </c>
      <c r="EF14" s="48">
        <f t="shared" si="8"/>
        <v>0</v>
      </c>
      <c r="EG14" s="48">
        <f t="shared" si="8"/>
        <v>0</v>
      </c>
      <c r="EH14" s="48">
        <f t="shared" si="8"/>
        <v>0</v>
      </c>
      <c r="EI14" s="48">
        <f t="shared" si="8"/>
        <v>0</v>
      </c>
      <c r="EJ14" s="48">
        <f t="shared" si="9"/>
        <v>0</v>
      </c>
      <c r="EK14" s="48">
        <f t="shared" si="9"/>
        <v>0</v>
      </c>
      <c r="EL14" s="48">
        <f t="shared" si="9"/>
        <v>0</v>
      </c>
      <c r="EM14" s="48">
        <f t="shared" si="9"/>
        <v>0</v>
      </c>
    </row>
    <row r="15" spans="1:143" ht="15.75" customHeight="1" x14ac:dyDescent="0.2">
      <c r="A15" s="61" t="s">
        <v>193</v>
      </c>
      <c r="B15" s="75">
        <f>IF(CD15&gt;0,0,2)</f>
        <v>0</v>
      </c>
      <c r="C15" s="66" t="s">
        <v>259</v>
      </c>
      <c r="D15" s="66"/>
      <c r="E15" s="66" t="s">
        <v>261</v>
      </c>
      <c r="F15" s="66" t="s">
        <v>267</v>
      </c>
      <c r="G15" s="66" t="s">
        <v>260</v>
      </c>
      <c r="H15" s="66" t="s">
        <v>263</v>
      </c>
      <c r="I15" s="66" t="s">
        <v>258</v>
      </c>
      <c r="J15" s="66" t="s">
        <v>128</v>
      </c>
      <c r="K15" s="66" t="s">
        <v>262</v>
      </c>
      <c r="L15" s="66" t="s">
        <v>271</v>
      </c>
      <c r="M15" s="66" t="s">
        <v>148</v>
      </c>
      <c r="N15" s="66" t="s">
        <v>168</v>
      </c>
      <c r="O15" s="66" t="s">
        <v>186</v>
      </c>
      <c r="P15" s="66" t="s">
        <v>270</v>
      </c>
      <c r="Q15" s="66" t="s">
        <v>90</v>
      </c>
      <c r="R15" s="66" t="s">
        <v>152</v>
      </c>
      <c r="S15" s="66" t="s">
        <v>260</v>
      </c>
      <c r="T15" s="66" t="s">
        <v>260</v>
      </c>
      <c r="U15" s="66" t="s">
        <v>261</v>
      </c>
      <c r="V15" s="66" t="s">
        <v>262</v>
      </c>
      <c r="W15" s="66" t="s">
        <v>260</v>
      </c>
      <c r="X15" s="66"/>
      <c r="Y15" s="66" t="s">
        <v>151</v>
      </c>
      <c r="Z15" s="66" t="s">
        <v>161</v>
      </c>
      <c r="AA15" s="66" t="s">
        <v>272</v>
      </c>
      <c r="AB15" s="66" t="s">
        <v>136</v>
      </c>
      <c r="AC15" s="66" t="s">
        <v>208</v>
      </c>
      <c r="AD15" s="66" t="s">
        <v>262</v>
      </c>
      <c r="AE15" s="66" t="s">
        <v>138</v>
      </c>
      <c r="AF15" s="66" t="s">
        <v>185</v>
      </c>
      <c r="AG15" s="66" t="s">
        <v>191</v>
      </c>
      <c r="AH15" s="66" t="s">
        <v>118</v>
      </c>
      <c r="AI15" s="66" t="s">
        <v>198</v>
      </c>
      <c r="AJ15" s="66" t="s">
        <v>77</v>
      </c>
      <c r="AK15" s="66" t="s">
        <v>179</v>
      </c>
      <c r="AL15" s="66" t="s">
        <v>182</v>
      </c>
      <c r="AM15" s="66" t="s">
        <v>205</v>
      </c>
      <c r="AN15" s="66"/>
      <c r="AO15" s="66"/>
      <c r="AP15" s="66"/>
      <c r="AQ15" s="66"/>
      <c r="AR15" s="66"/>
      <c r="AS15" s="66"/>
      <c r="AT15" s="66"/>
      <c r="AU15" s="66"/>
      <c r="AV15" s="66"/>
      <c r="AW15" s="66" t="s">
        <v>131</v>
      </c>
      <c r="AX15" s="66"/>
      <c r="AY15" s="66"/>
      <c r="AZ15" s="66" t="s">
        <v>218</v>
      </c>
      <c r="BA15" s="66" t="s">
        <v>209</v>
      </c>
      <c r="BB15" s="66" t="s">
        <v>210</v>
      </c>
      <c r="BC15" s="66" t="s">
        <v>211</v>
      </c>
      <c r="BD15" s="66" t="s">
        <v>189</v>
      </c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D15" s="48">
        <f t="shared" si="4"/>
        <v>9</v>
      </c>
      <c r="CE15" s="48">
        <f t="shared" si="5"/>
        <v>0</v>
      </c>
      <c r="CF15" s="48">
        <f t="shared" si="5"/>
        <v>0</v>
      </c>
      <c r="CG15" s="48" t="str">
        <f t="shared" si="5"/>
        <v>X</v>
      </c>
      <c r="CH15" s="48">
        <f t="shared" si="5"/>
        <v>0</v>
      </c>
      <c r="CI15" s="48" t="str">
        <f t="shared" si="5"/>
        <v>X</v>
      </c>
      <c r="CJ15" s="48">
        <f t="shared" si="5"/>
        <v>0</v>
      </c>
      <c r="CK15" s="48">
        <f t="shared" si="5"/>
        <v>0</v>
      </c>
      <c r="CL15" s="48">
        <f t="shared" si="5"/>
        <v>0</v>
      </c>
      <c r="CM15" s="48" t="str">
        <f t="shared" si="5"/>
        <v>X</v>
      </c>
      <c r="CN15" s="48">
        <f t="shared" si="5"/>
        <v>0</v>
      </c>
      <c r="CO15" s="48">
        <f t="shared" si="5"/>
        <v>0</v>
      </c>
      <c r="CP15" s="48">
        <f t="shared" si="5"/>
        <v>0</v>
      </c>
      <c r="CQ15" s="48">
        <f t="shared" si="5"/>
        <v>0</v>
      </c>
      <c r="CR15" s="48">
        <f t="shared" si="5"/>
        <v>0</v>
      </c>
      <c r="CS15" s="48">
        <f t="shared" si="5"/>
        <v>0</v>
      </c>
      <c r="CT15" s="48">
        <f t="shared" si="5"/>
        <v>0</v>
      </c>
      <c r="CU15" s="48" t="str">
        <f t="shared" si="6"/>
        <v>X</v>
      </c>
      <c r="CV15" s="48" t="str">
        <f t="shared" si="6"/>
        <v>X</v>
      </c>
      <c r="CW15" s="48" t="str">
        <f t="shared" si="6"/>
        <v>X</v>
      </c>
      <c r="CX15" s="48" t="str">
        <f t="shared" si="6"/>
        <v>X</v>
      </c>
      <c r="CY15" s="48" t="str">
        <f t="shared" si="6"/>
        <v>X</v>
      </c>
      <c r="CZ15" s="48">
        <f t="shared" si="10"/>
        <v>0</v>
      </c>
      <c r="DA15" s="48">
        <f t="shared" si="7"/>
        <v>0</v>
      </c>
      <c r="DB15" s="48">
        <f t="shared" si="7"/>
        <v>0</v>
      </c>
      <c r="DC15" s="48">
        <f t="shared" si="7"/>
        <v>0</v>
      </c>
      <c r="DD15" s="48">
        <f t="shared" si="7"/>
        <v>0</v>
      </c>
      <c r="DE15" s="48" t="str">
        <f t="shared" si="7"/>
        <v>X</v>
      </c>
      <c r="DF15" s="48">
        <f t="shared" si="7"/>
        <v>0</v>
      </c>
      <c r="DG15" s="48">
        <f t="shared" si="7"/>
        <v>0</v>
      </c>
      <c r="DH15" s="48">
        <f t="shared" si="7"/>
        <v>0</v>
      </c>
      <c r="DI15" s="48">
        <f t="shared" si="7"/>
        <v>0</v>
      </c>
      <c r="DJ15" s="48">
        <f t="shared" si="7"/>
        <v>0</v>
      </c>
      <c r="DK15" s="48">
        <f t="shared" si="7"/>
        <v>0</v>
      </c>
      <c r="DL15" s="48">
        <f>IF(COUNTIF($C15:$CB15,#REF!)&gt;1,"X",0)</f>
        <v>0</v>
      </c>
      <c r="DM15" s="48">
        <f>IF(COUNTIF($C15:$CB15,#REF!)&gt;1,"X",0)</f>
        <v>0</v>
      </c>
      <c r="DN15" s="48">
        <f>IF(COUNTIF($C15:$CB15,#REF!)&gt;1,"X",0)</f>
        <v>0</v>
      </c>
      <c r="DO15" s="48">
        <f>IF(COUNTIF($C15:$CB15,#REF!)&gt;1,"X",0)</f>
        <v>0</v>
      </c>
      <c r="DP15" s="48">
        <f>IF(COUNTIF($C15:$CB15,#REF!)&gt;1,"X",0)</f>
        <v>0</v>
      </c>
      <c r="DQ15" s="48">
        <f>IF(COUNTIF($C15:$CB15,#REF!)&gt;1,"X",0)</f>
        <v>0</v>
      </c>
      <c r="DR15" s="48">
        <f>IF(COUNTIF($C15:$CB15,#REF!)&gt;1,"X",0)</f>
        <v>0</v>
      </c>
      <c r="DS15" s="48">
        <f>IF(COUNTIF($C15:$CB15,#REF!)&gt;1,"X",0)</f>
        <v>0</v>
      </c>
      <c r="DT15" s="48">
        <f t="shared" si="8"/>
        <v>0</v>
      </c>
      <c r="DU15" s="48">
        <f t="shared" si="8"/>
        <v>0</v>
      </c>
      <c r="DV15" s="48">
        <f t="shared" si="8"/>
        <v>0</v>
      </c>
      <c r="DW15" s="48">
        <f t="shared" si="8"/>
        <v>0</v>
      </c>
      <c r="DX15" s="48">
        <f t="shared" si="8"/>
        <v>0</v>
      </c>
      <c r="DY15" s="48">
        <f t="shared" si="8"/>
        <v>0</v>
      </c>
      <c r="DZ15" s="48">
        <f t="shared" si="8"/>
        <v>0</v>
      </c>
      <c r="EA15" s="48">
        <f t="shared" si="8"/>
        <v>0</v>
      </c>
      <c r="EB15" s="48">
        <f t="shared" si="8"/>
        <v>0</v>
      </c>
      <c r="EC15" s="48">
        <f t="shared" si="8"/>
        <v>0</v>
      </c>
      <c r="ED15" s="48">
        <f t="shared" si="8"/>
        <v>0</v>
      </c>
      <c r="EE15" s="48">
        <f t="shared" si="8"/>
        <v>0</v>
      </c>
      <c r="EF15" s="48">
        <f t="shared" si="8"/>
        <v>0</v>
      </c>
      <c r="EG15" s="48">
        <f t="shared" si="8"/>
        <v>0</v>
      </c>
      <c r="EH15" s="48">
        <f t="shared" si="8"/>
        <v>0</v>
      </c>
      <c r="EI15" s="48">
        <f t="shared" si="8"/>
        <v>0</v>
      </c>
      <c r="EJ15" s="48">
        <f t="shared" si="9"/>
        <v>0</v>
      </c>
      <c r="EK15" s="48">
        <f t="shared" si="9"/>
        <v>0</v>
      </c>
      <c r="EL15" s="48">
        <f t="shared" si="9"/>
        <v>0</v>
      </c>
      <c r="EM15" s="48">
        <f t="shared" si="9"/>
        <v>0</v>
      </c>
    </row>
    <row r="16" spans="1:143" ht="15.75" customHeight="1" x14ac:dyDescent="0.2">
      <c r="A16" s="61" t="s">
        <v>217</v>
      </c>
      <c r="B16" s="75">
        <f>IF(CD16&gt;0,0,3)</f>
        <v>0</v>
      </c>
      <c r="C16" s="66" t="s">
        <v>216</v>
      </c>
      <c r="D16" s="66" t="s">
        <v>263</v>
      </c>
      <c r="E16" s="66" t="s">
        <v>260</v>
      </c>
      <c r="F16" s="66" t="s">
        <v>270</v>
      </c>
      <c r="G16" s="66" t="s">
        <v>128</v>
      </c>
      <c r="H16" s="66" t="s">
        <v>143</v>
      </c>
      <c r="I16" s="66" t="s">
        <v>259</v>
      </c>
      <c r="J16" s="66" t="s">
        <v>260</v>
      </c>
      <c r="K16" s="66" t="s">
        <v>155</v>
      </c>
      <c r="L16" s="66" t="s">
        <v>260</v>
      </c>
      <c r="M16" s="66" t="s">
        <v>191</v>
      </c>
      <c r="N16" s="66" t="s">
        <v>262</v>
      </c>
      <c r="O16" s="66" t="s">
        <v>260</v>
      </c>
      <c r="P16" s="66" t="s">
        <v>266</v>
      </c>
      <c r="Q16" s="66" t="s">
        <v>151</v>
      </c>
      <c r="R16" s="66" t="s">
        <v>260</v>
      </c>
      <c r="S16" s="66"/>
      <c r="T16" s="66"/>
      <c r="U16" s="66" t="s">
        <v>262</v>
      </c>
      <c r="V16" s="66"/>
      <c r="W16" s="66"/>
      <c r="X16" s="66"/>
      <c r="Y16" s="66" t="s">
        <v>131</v>
      </c>
      <c r="Z16" s="66" t="s">
        <v>262</v>
      </c>
      <c r="AA16" s="66" t="s">
        <v>179</v>
      </c>
      <c r="AB16" s="66" t="s">
        <v>112</v>
      </c>
      <c r="AC16" s="66" t="s">
        <v>186</v>
      </c>
      <c r="AD16" s="66" t="s">
        <v>114</v>
      </c>
      <c r="AE16" s="66" t="s">
        <v>272</v>
      </c>
      <c r="AF16" s="66" t="s">
        <v>138</v>
      </c>
      <c r="AG16" s="66" t="s">
        <v>273</v>
      </c>
      <c r="AH16" s="66" t="s">
        <v>262</v>
      </c>
      <c r="AI16" s="66" t="s">
        <v>180</v>
      </c>
      <c r="AJ16" s="66" t="s">
        <v>185</v>
      </c>
      <c r="AK16" s="66" t="s">
        <v>182</v>
      </c>
      <c r="AL16" s="66" t="s">
        <v>87</v>
      </c>
      <c r="AM16" s="66" t="s">
        <v>118</v>
      </c>
      <c r="AN16" s="66"/>
      <c r="AO16" s="66"/>
      <c r="AP16" s="66"/>
      <c r="AQ16" s="66"/>
      <c r="AR16" s="66" t="s">
        <v>214</v>
      </c>
      <c r="AS16" s="66" t="s">
        <v>212</v>
      </c>
      <c r="AT16" s="66" t="s">
        <v>218</v>
      </c>
      <c r="AU16" s="66"/>
      <c r="AV16" s="66"/>
      <c r="AW16" s="66"/>
      <c r="AX16" s="66" t="s">
        <v>214</v>
      </c>
      <c r="AY16" s="66"/>
      <c r="AZ16" s="66"/>
      <c r="BA16" s="66"/>
      <c r="BB16" s="66"/>
      <c r="BC16" s="66"/>
      <c r="BD16" s="66"/>
      <c r="BE16" s="66" t="s">
        <v>212</v>
      </c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D16" s="48">
        <f t="shared" si="4"/>
        <v>13</v>
      </c>
      <c r="CE16" s="48">
        <f t="shared" si="5"/>
        <v>0</v>
      </c>
      <c r="CF16" s="48">
        <f t="shared" si="5"/>
        <v>0</v>
      </c>
      <c r="CG16" s="48" t="str">
        <f t="shared" si="5"/>
        <v>X</v>
      </c>
      <c r="CH16" s="48">
        <f t="shared" si="5"/>
        <v>0</v>
      </c>
      <c r="CI16" s="48">
        <f t="shared" si="5"/>
        <v>0</v>
      </c>
      <c r="CJ16" s="48">
        <f t="shared" si="5"/>
        <v>0</v>
      </c>
      <c r="CK16" s="48">
        <f t="shared" si="5"/>
        <v>0</v>
      </c>
      <c r="CL16" s="48" t="str">
        <f t="shared" si="5"/>
        <v>X</v>
      </c>
      <c r="CM16" s="48">
        <f t="shared" si="5"/>
        <v>0</v>
      </c>
      <c r="CN16" s="48" t="str">
        <f t="shared" si="5"/>
        <v>X</v>
      </c>
      <c r="CO16" s="48">
        <f t="shared" si="5"/>
        <v>0</v>
      </c>
      <c r="CP16" s="48" t="str">
        <f t="shared" si="5"/>
        <v>X</v>
      </c>
      <c r="CQ16" s="48" t="str">
        <f t="shared" si="5"/>
        <v>X</v>
      </c>
      <c r="CR16" s="48">
        <f t="shared" si="5"/>
        <v>0</v>
      </c>
      <c r="CS16" s="48">
        <f t="shared" si="5"/>
        <v>0</v>
      </c>
      <c r="CT16" s="48" t="str">
        <f t="shared" si="5"/>
        <v>X</v>
      </c>
      <c r="CU16" s="48">
        <f t="shared" si="6"/>
        <v>0</v>
      </c>
      <c r="CV16" s="48">
        <f t="shared" si="6"/>
        <v>0</v>
      </c>
      <c r="CW16" s="48" t="str">
        <f t="shared" si="6"/>
        <v>X</v>
      </c>
      <c r="CX16" s="48">
        <f t="shared" si="6"/>
        <v>0</v>
      </c>
      <c r="CY16" s="48">
        <f t="shared" si="6"/>
        <v>0</v>
      </c>
      <c r="CZ16" s="48">
        <f t="shared" si="10"/>
        <v>0</v>
      </c>
      <c r="DA16" s="48" t="str">
        <f t="shared" si="7"/>
        <v>X</v>
      </c>
      <c r="DB16" s="48">
        <f t="shared" si="7"/>
        <v>0</v>
      </c>
      <c r="DC16" s="48">
        <f t="shared" si="7"/>
        <v>0</v>
      </c>
      <c r="DD16" s="48">
        <f t="shared" si="7"/>
        <v>0</v>
      </c>
      <c r="DE16" s="48">
        <f t="shared" si="7"/>
        <v>0</v>
      </c>
      <c r="DF16" s="48">
        <f t="shared" si="7"/>
        <v>0</v>
      </c>
      <c r="DG16" s="48">
        <f t="shared" si="7"/>
        <v>0</v>
      </c>
      <c r="DH16" s="48">
        <f t="shared" si="7"/>
        <v>0</v>
      </c>
      <c r="DI16" s="48" t="str">
        <f t="shared" si="7"/>
        <v>X</v>
      </c>
      <c r="DJ16" s="48">
        <f t="shared" si="7"/>
        <v>0</v>
      </c>
      <c r="DK16" s="48">
        <f t="shared" si="7"/>
        <v>0</v>
      </c>
      <c r="DL16" s="48">
        <f>IF(COUNTIF($C16:$CB16,AK16)&gt;1,"X",0)</f>
        <v>0</v>
      </c>
      <c r="DM16" s="48">
        <f>IF(COUNTIF($C16:$CB16,AL16)&gt;1,"X",0)</f>
        <v>0</v>
      </c>
      <c r="DN16" s="48">
        <f>IF(COUNTIF($C16:$CB16,AM16)&gt;1,"X",0)</f>
        <v>0</v>
      </c>
      <c r="DO16" s="48">
        <f t="shared" ref="DO16:EM16" si="11">IF(COUNTIF($C16:$CB16,AP16)&gt;1,"X",0)</f>
        <v>0</v>
      </c>
      <c r="DP16" s="48">
        <f t="shared" si="11"/>
        <v>0</v>
      </c>
      <c r="DQ16" s="48" t="str">
        <f t="shared" si="11"/>
        <v>X</v>
      </c>
      <c r="DR16" s="48" t="str">
        <f t="shared" si="11"/>
        <v>X</v>
      </c>
      <c r="DS16" s="48">
        <f t="shared" si="11"/>
        <v>0</v>
      </c>
      <c r="DT16" s="48">
        <f t="shared" si="11"/>
        <v>0</v>
      </c>
      <c r="DU16" s="48">
        <f t="shared" si="11"/>
        <v>0</v>
      </c>
      <c r="DV16" s="48">
        <f t="shared" si="11"/>
        <v>0</v>
      </c>
      <c r="DW16" s="48" t="str">
        <f t="shared" si="11"/>
        <v>X</v>
      </c>
      <c r="DX16" s="48">
        <f t="shared" si="11"/>
        <v>0</v>
      </c>
      <c r="DY16" s="48">
        <f t="shared" si="11"/>
        <v>0</v>
      </c>
      <c r="DZ16" s="48">
        <f t="shared" si="11"/>
        <v>0</v>
      </c>
      <c r="EA16" s="48">
        <f t="shared" si="11"/>
        <v>0</v>
      </c>
      <c r="EB16" s="48">
        <f t="shared" si="11"/>
        <v>0</v>
      </c>
      <c r="EC16" s="48">
        <f t="shared" si="11"/>
        <v>0</v>
      </c>
      <c r="ED16" s="48" t="str">
        <f t="shared" si="11"/>
        <v>X</v>
      </c>
      <c r="EE16" s="48">
        <f t="shared" si="11"/>
        <v>0</v>
      </c>
      <c r="EF16" s="48">
        <f t="shared" si="11"/>
        <v>0</v>
      </c>
      <c r="EG16" s="48">
        <f t="shared" si="11"/>
        <v>0</v>
      </c>
      <c r="EH16" s="48">
        <f t="shared" si="11"/>
        <v>0</v>
      </c>
      <c r="EI16" s="48">
        <f t="shared" si="11"/>
        <v>0</v>
      </c>
      <c r="EJ16" s="48">
        <f t="shared" si="11"/>
        <v>0</v>
      </c>
      <c r="EK16" s="48">
        <f t="shared" si="11"/>
        <v>0</v>
      </c>
      <c r="EL16" s="48">
        <f t="shared" si="11"/>
        <v>0</v>
      </c>
      <c r="EM16" s="48">
        <f t="shared" si="11"/>
        <v>0</v>
      </c>
    </row>
    <row r="17" spans="1:143" ht="15.75" customHeight="1" x14ac:dyDescent="0.2">
      <c r="A17" s="61"/>
      <c r="B17" s="75">
        <f>IF(CD17&gt;0,0,4)</f>
        <v>0</v>
      </c>
      <c r="C17" s="66" t="s">
        <v>186</v>
      </c>
      <c r="D17" s="66" t="s">
        <v>263</v>
      </c>
      <c r="E17" s="66" t="s">
        <v>260</v>
      </c>
      <c r="F17" s="66" t="s">
        <v>270</v>
      </c>
      <c r="G17" s="66" t="s">
        <v>128</v>
      </c>
      <c r="H17" s="66" t="s">
        <v>143</v>
      </c>
      <c r="I17" s="66" t="s">
        <v>259</v>
      </c>
      <c r="J17" s="66" t="s">
        <v>260</v>
      </c>
      <c r="K17" s="66" t="s">
        <v>155</v>
      </c>
      <c r="L17" s="66" t="s">
        <v>260</v>
      </c>
      <c r="M17" s="66"/>
      <c r="N17" s="66" t="s">
        <v>262</v>
      </c>
      <c r="O17" s="66" t="s">
        <v>260</v>
      </c>
      <c r="P17" s="66" t="s">
        <v>266</v>
      </c>
      <c r="Q17" s="66"/>
      <c r="R17" s="66" t="s">
        <v>260</v>
      </c>
      <c r="S17" s="66"/>
      <c r="T17" s="66"/>
      <c r="U17" s="66" t="s">
        <v>262</v>
      </c>
      <c r="V17" s="66"/>
      <c r="W17" s="66"/>
      <c r="X17" s="66"/>
      <c r="Y17" s="66" t="s">
        <v>131</v>
      </c>
      <c r="Z17" s="66" t="s">
        <v>262</v>
      </c>
      <c r="AA17" s="66" t="s">
        <v>179</v>
      </c>
      <c r="AB17" s="66" t="s">
        <v>112</v>
      </c>
      <c r="AC17" s="66"/>
      <c r="AD17" s="66" t="s">
        <v>114</v>
      </c>
      <c r="AE17" s="66" t="s">
        <v>272</v>
      </c>
      <c r="AF17" s="66" t="s">
        <v>182</v>
      </c>
      <c r="AG17" s="66" t="s">
        <v>273</v>
      </c>
      <c r="AH17" s="66" t="s">
        <v>262</v>
      </c>
      <c r="AI17" s="66"/>
      <c r="AJ17" s="66" t="s">
        <v>180</v>
      </c>
      <c r="AK17" s="66"/>
      <c r="AL17" s="66" t="s">
        <v>208</v>
      </c>
      <c r="AM17" s="66" t="s">
        <v>118</v>
      </c>
      <c r="AN17" s="66"/>
      <c r="AO17" s="66"/>
      <c r="AP17" s="66"/>
      <c r="AQ17" s="66"/>
      <c r="AR17" s="66" t="s">
        <v>214</v>
      </c>
      <c r="AS17" s="66" t="s">
        <v>212</v>
      </c>
      <c r="AT17" s="66" t="s">
        <v>218</v>
      </c>
      <c r="AU17" s="66"/>
      <c r="AV17" s="66"/>
      <c r="AW17" s="66"/>
      <c r="AX17" s="66" t="s">
        <v>214</v>
      </c>
      <c r="AY17" s="66"/>
      <c r="AZ17" s="66"/>
      <c r="BA17" s="66"/>
      <c r="BB17" s="66"/>
      <c r="BC17" s="66"/>
      <c r="BD17" s="66"/>
      <c r="BE17" s="66" t="s">
        <v>212</v>
      </c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D17" s="48">
        <f t="shared" si="4"/>
        <v>9</v>
      </c>
      <c r="CE17" s="48">
        <f t="shared" si="5"/>
        <v>0</v>
      </c>
      <c r="CF17" s="48">
        <f t="shared" si="5"/>
        <v>0</v>
      </c>
      <c r="CG17" s="48" t="str">
        <f t="shared" si="5"/>
        <v>X</v>
      </c>
      <c r="CH17" s="48">
        <f t="shared" si="5"/>
        <v>0</v>
      </c>
      <c r="CI17" s="48">
        <f t="shared" si="5"/>
        <v>0</v>
      </c>
      <c r="CJ17" s="48">
        <f t="shared" si="5"/>
        <v>0</v>
      </c>
      <c r="CK17" s="48">
        <f t="shared" si="5"/>
        <v>0</v>
      </c>
      <c r="CL17" s="48" t="str">
        <f t="shared" si="5"/>
        <v>X</v>
      </c>
      <c r="CM17" s="48">
        <f t="shared" si="5"/>
        <v>0</v>
      </c>
      <c r="CN17" s="48" t="str">
        <f t="shared" si="5"/>
        <v>X</v>
      </c>
      <c r="CO17" s="48">
        <f t="shared" si="5"/>
        <v>0</v>
      </c>
      <c r="CP17" s="48" t="str">
        <f t="shared" si="5"/>
        <v>X</v>
      </c>
      <c r="CQ17" s="48" t="str">
        <f t="shared" si="5"/>
        <v>X</v>
      </c>
      <c r="CR17" s="48">
        <f t="shared" si="5"/>
        <v>0</v>
      </c>
      <c r="CS17" s="48">
        <f t="shared" si="5"/>
        <v>0</v>
      </c>
      <c r="CT17" s="48" t="str">
        <f t="shared" si="5"/>
        <v>X</v>
      </c>
      <c r="CU17" s="48">
        <f t="shared" si="6"/>
        <v>0</v>
      </c>
      <c r="CV17" s="48">
        <f t="shared" si="6"/>
        <v>0</v>
      </c>
      <c r="CW17" s="48" t="str">
        <f t="shared" si="6"/>
        <v>X</v>
      </c>
      <c r="CX17" s="48">
        <f t="shared" si="6"/>
        <v>0</v>
      </c>
      <c r="CY17" s="48">
        <f t="shared" si="6"/>
        <v>0</v>
      </c>
      <c r="CZ17" s="48">
        <f t="shared" si="10"/>
        <v>0</v>
      </c>
      <c r="DA17" s="48" t="str">
        <f t="shared" si="7"/>
        <v>X</v>
      </c>
      <c r="DB17" s="48">
        <f t="shared" si="7"/>
        <v>0</v>
      </c>
      <c r="DC17" s="48">
        <f t="shared" si="7"/>
        <v>0</v>
      </c>
      <c r="DD17" s="48">
        <f t="shared" si="7"/>
        <v>0</v>
      </c>
      <c r="DE17" s="48">
        <f t="shared" si="7"/>
        <v>0</v>
      </c>
      <c r="DF17" s="48">
        <f t="shared" si="7"/>
        <v>0</v>
      </c>
      <c r="DG17" s="48">
        <f t="shared" si="7"/>
        <v>0</v>
      </c>
      <c r="DH17" s="48">
        <f t="shared" si="7"/>
        <v>0</v>
      </c>
      <c r="DI17" s="48" t="str">
        <f t="shared" si="7"/>
        <v>X</v>
      </c>
      <c r="DJ17" s="48">
        <f t="shared" si="7"/>
        <v>0</v>
      </c>
      <c r="DK17" s="48">
        <f t="shared" si="7"/>
        <v>0</v>
      </c>
      <c r="DL17" s="48">
        <f>IF(COUNTIF($C17:$CB17,#REF!)&gt;1,"X",0)</f>
        <v>0</v>
      </c>
      <c r="DM17" s="48">
        <f>IF(COUNTIF($C17:$CB17,#REF!)&gt;1,"X",0)</f>
        <v>0</v>
      </c>
      <c r="DN17" s="48">
        <f>IF(COUNTIF($C17:$CB17,#REF!)&gt;1,"X",0)</f>
        <v>0</v>
      </c>
      <c r="DO17" s="48">
        <f>IF(COUNTIF($C17:$CB17,#REF!)&gt;1,"X",0)</f>
        <v>0</v>
      </c>
      <c r="DP17" s="48">
        <f>IF(COUNTIF($C17:$CB17,#REF!)&gt;1,"X",0)</f>
        <v>0</v>
      </c>
      <c r="DQ17" s="48">
        <f>IF(COUNTIF($C17:$CB17,#REF!)&gt;1,"X",0)</f>
        <v>0</v>
      </c>
      <c r="DR17" s="48">
        <f>IF(COUNTIF($C17:$CB17,#REF!)&gt;1,"X",0)</f>
        <v>0</v>
      </c>
      <c r="DS17" s="48">
        <f>IF(COUNTIF($C17:$CB17,#REF!)&gt;1,"X",0)</f>
        <v>0</v>
      </c>
      <c r="DT17" s="48">
        <f t="shared" si="8"/>
        <v>0</v>
      </c>
      <c r="DU17" s="48">
        <f t="shared" si="8"/>
        <v>0</v>
      </c>
      <c r="DV17" s="48">
        <f t="shared" si="8"/>
        <v>0</v>
      </c>
      <c r="DW17" s="48">
        <f t="shared" si="8"/>
        <v>0</v>
      </c>
      <c r="DX17" s="48">
        <f t="shared" si="8"/>
        <v>0</v>
      </c>
      <c r="DY17" s="48">
        <f t="shared" si="8"/>
        <v>0</v>
      </c>
      <c r="DZ17" s="48">
        <f t="shared" si="8"/>
        <v>0</v>
      </c>
      <c r="EA17" s="48">
        <f t="shared" si="8"/>
        <v>0</v>
      </c>
      <c r="EB17" s="48">
        <f t="shared" si="8"/>
        <v>0</v>
      </c>
      <c r="EC17" s="48">
        <f t="shared" si="8"/>
        <v>0</v>
      </c>
      <c r="ED17" s="48">
        <f t="shared" si="8"/>
        <v>0</v>
      </c>
      <c r="EE17" s="48">
        <f t="shared" si="8"/>
        <v>0</v>
      </c>
      <c r="EF17" s="48">
        <f t="shared" si="8"/>
        <v>0</v>
      </c>
      <c r="EG17" s="48">
        <f t="shared" si="8"/>
        <v>0</v>
      </c>
      <c r="EH17" s="48">
        <f t="shared" si="8"/>
        <v>0</v>
      </c>
      <c r="EI17" s="48">
        <f t="shared" si="8"/>
        <v>0</v>
      </c>
      <c r="EJ17" s="48">
        <f t="shared" si="9"/>
        <v>0</v>
      </c>
      <c r="EK17" s="48">
        <f t="shared" si="9"/>
        <v>0</v>
      </c>
      <c r="EL17" s="48">
        <f t="shared" si="9"/>
        <v>0</v>
      </c>
      <c r="EM17" s="48">
        <f t="shared" si="9"/>
        <v>0</v>
      </c>
    </row>
    <row r="18" spans="1:143" ht="15.75" customHeight="1" thickBot="1" x14ac:dyDescent="0.25">
      <c r="A18" s="67"/>
      <c r="B18" s="76">
        <f>IF(CD18&gt;0,0,5)</f>
        <v>5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8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6"/>
      <c r="AQ18" s="66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6"/>
      <c r="BH18" s="66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66"/>
      <c r="CB18" s="71"/>
      <c r="CD18" s="48">
        <f t="shared" si="4"/>
        <v>0</v>
      </c>
      <c r="CE18" s="48">
        <f t="shared" si="5"/>
        <v>0</v>
      </c>
      <c r="CF18" s="48">
        <f t="shared" si="5"/>
        <v>0</v>
      </c>
      <c r="CG18" s="48">
        <f t="shared" si="5"/>
        <v>0</v>
      </c>
      <c r="CH18" s="48">
        <f t="shared" si="5"/>
        <v>0</v>
      </c>
      <c r="CI18" s="48">
        <f t="shared" si="5"/>
        <v>0</v>
      </c>
      <c r="CJ18" s="48">
        <f t="shared" si="5"/>
        <v>0</v>
      </c>
      <c r="CK18" s="48">
        <f t="shared" si="5"/>
        <v>0</v>
      </c>
      <c r="CL18" s="48">
        <f t="shared" si="5"/>
        <v>0</v>
      </c>
      <c r="CM18" s="48">
        <f t="shared" si="5"/>
        <v>0</v>
      </c>
      <c r="CN18" s="48">
        <f t="shared" si="5"/>
        <v>0</v>
      </c>
      <c r="CO18" s="48">
        <f t="shared" si="5"/>
        <v>0</v>
      </c>
      <c r="CP18" s="48">
        <f t="shared" si="5"/>
        <v>0</v>
      </c>
      <c r="CQ18" s="48">
        <f t="shared" si="5"/>
        <v>0</v>
      </c>
      <c r="CR18" s="48">
        <f t="shared" si="5"/>
        <v>0</v>
      </c>
      <c r="CS18" s="48">
        <f t="shared" si="5"/>
        <v>0</v>
      </c>
      <c r="CT18" s="48">
        <f t="shared" si="5"/>
        <v>0</v>
      </c>
      <c r="CU18" s="48">
        <f t="shared" si="6"/>
        <v>0</v>
      </c>
      <c r="CV18" s="48">
        <f t="shared" si="6"/>
        <v>0</v>
      </c>
      <c r="CW18" s="48">
        <f t="shared" si="6"/>
        <v>0</v>
      </c>
      <c r="CX18" s="48">
        <f t="shared" si="6"/>
        <v>0</v>
      </c>
      <c r="CY18" s="48">
        <f t="shared" si="6"/>
        <v>0</v>
      </c>
      <c r="CZ18" s="48">
        <f t="shared" si="10"/>
        <v>0</v>
      </c>
      <c r="DA18" s="48">
        <f t="shared" si="7"/>
        <v>0</v>
      </c>
      <c r="DB18" s="48">
        <f t="shared" si="7"/>
        <v>0</v>
      </c>
      <c r="DC18" s="48">
        <f t="shared" si="7"/>
        <v>0</v>
      </c>
      <c r="DD18" s="48">
        <f t="shared" si="7"/>
        <v>0</v>
      </c>
      <c r="DE18" s="48">
        <f t="shared" si="7"/>
        <v>0</v>
      </c>
      <c r="DF18" s="48">
        <f t="shared" si="7"/>
        <v>0</v>
      </c>
      <c r="DG18" s="48">
        <f t="shared" si="7"/>
        <v>0</v>
      </c>
      <c r="DH18" s="48">
        <f t="shared" si="7"/>
        <v>0</v>
      </c>
      <c r="DI18" s="48">
        <f t="shared" si="7"/>
        <v>0</v>
      </c>
      <c r="DJ18" s="48">
        <f t="shared" si="7"/>
        <v>0</v>
      </c>
      <c r="DK18" s="48">
        <f t="shared" si="7"/>
        <v>0</v>
      </c>
      <c r="DL18" s="48">
        <f>IF(COUNTIF($C18:$CB18,#REF!)&gt;1,"X",0)</f>
        <v>0</v>
      </c>
      <c r="DM18" s="48">
        <f>IF(COUNTIF($C18:$CB18,#REF!)&gt;1,"X",0)</f>
        <v>0</v>
      </c>
      <c r="DN18" s="48">
        <f>IF(COUNTIF($C18:$CB18,#REF!)&gt;1,"X",0)</f>
        <v>0</v>
      </c>
      <c r="DO18" s="48">
        <f>IF(COUNTIF($C18:$CB18,#REF!)&gt;1,"X",0)</f>
        <v>0</v>
      </c>
      <c r="DP18" s="48">
        <f>IF(COUNTIF($C18:$CB18,#REF!)&gt;1,"X",0)</f>
        <v>0</v>
      </c>
      <c r="DQ18" s="48">
        <f>IF(COUNTIF($C18:$CB18,#REF!)&gt;1,"X",0)</f>
        <v>0</v>
      </c>
      <c r="DR18" s="48">
        <f>IF(COUNTIF($C18:$CB18,#REF!)&gt;1,"X",0)</f>
        <v>0</v>
      </c>
      <c r="DS18" s="48">
        <f>IF(COUNTIF($C18:$CB18,#REF!)&gt;1,"X",0)</f>
        <v>0</v>
      </c>
      <c r="DT18" s="48">
        <f t="shared" si="8"/>
        <v>0</v>
      </c>
      <c r="DU18" s="48">
        <f t="shared" si="8"/>
        <v>0</v>
      </c>
      <c r="DV18" s="48">
        <f t="shared" si="8"/>
        <v>0</v>
      </c>
      <c r="DW18" s="48">
        <f t="shared" si="8"/>
        <v>0</v>
      </c>
      <c r="DX18" s="48">
        <f t="shared" si="8"/>
        <v>0</v>
      </c>
      <c r="DY18" s="48">
        <f t="shared" si="8"/>
        <v>0</v>
      </c>
      <c r="DZ18" s="48">
        <f t="shared" si="8"/>
        <v>0</v>
      </c>
      <c r="EA18" s="48">
        <f t="shared" si="8"/>
        <v>0</v>
      </c>
      <c r="EB18" s="48">
        <f t="shared" si="8"/>
        <v>0</v>
      </c>
      <c r="EC18" s="48">
        <f t="shared" si="8"/>
        <v>0</v>
      </c>
      <c r="ED18" s="48">
        <f t="shared" si="8"/>
        <v>0</v>
      </c>
      <c r="EE18" s="48">
        <f t="shared" si="8"/>
        <v>0</v>
      </c>
      <c r="EF18" s="48">
        <f t="shared" si="8"/>
        <v>0</v>
      </c>
      <c r="EG18" s="48">
        <f t="shared" si="8"/>
        <v>0</v>
      </c>
      <c r="EH18" s="48">
        <f t="shared" si="8"/>
        <v>0</v>
      </c>
      <c r="EI18" s="48">
        <f t="shared" si="8"/>
        <v>0</v>
      </c>
      <c r="EJ18" s="48">
        <f t="shared" si="9"/>
        <v>0</v>
      </c>
      <c r="EK18" s="48">
        <f t="shared" si="9"/>
        <v>0</v>
      </c>
      <c r="EL18" s="48">
        <f t="shared" si="9"/>
        <v>0</v>
      </c>
      <c r="EM18" s="48">
        <f t="shared" si="9"/>
        <v>0</v>
      </c>
    </row>
    <row r="19" spans="1:143" ht="15.75" customHeight="1" x14ac:dyDescent="0.2">
      <c r="A19" s="73" t="s">
        <v>219</v>
      </c>
      <c r="B19" s="74">
        <f>IF(CD19&gt;0,0,1)</f>
        <v>0</v>
      </c>
      <c r="C19" s="63"/>
      <c r="D19" s="63" t="s">
        <v>151</v>
      </c>
      <c r="E19" s="63" t="s">
        <v>165</v>
      </c>
      <c r="F19" s="63" t="s">
        <v>209</v>
      </c>
      <c r="G19" s="63" t="s">
        <v>142</v>
      </c>
      <c r="H19" s="63" t="s">
        <v>206</v>
      </c>
      <c r="I19" s="63" t="s">
        <v>144</v>
      </c>
      <c r="J19" s="63" t="s">
        <v>192</v>
      </c>
      <c r="K19" s="63"/>
      <c r="L19" s="63"/>
      <c r="M19" s="63" t="s">
        <v>187</v>
      </c>
      <c r="N19" s="63"/>
      <c r="O19" s="63" t="s">
        <v>111</v>
      </c>
      <c r="P19" s="63"/>
      <c r="Q19" s="63"/>
      <c r="R19" s="63" t="s">
        <v>218</v>
      </c>
      <c r="S19" s="63" t="s">
        <v>162</v>
      </c>
      <c r="T19" s="63" t="s">
        <v>211</v>
      </c>
      <c r="U19" s="63" t="s">
        <v>212</v>
      </c>
      <c r="V19" s="63"/>
      <c r="W19" s="63" t="s">
        <v>209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 t="s">
        <v>261</v>
      </c>
      <c r="AS19" s="63" t="s">
        <v>265</v>
      </c>
      <c r="AT19" s="63"/>
      <c r="AU19" s="63" t="s">
        <v>148</v>
      </c>
      <c r="AV19" s="63" t="s">
        <v>176</v>
      </c>
      <c r="AW19" s="63" t="s">
        <v>143</v>
      </c>
      <c r="AX19" s="63" t="s">
        <v>172</v>
      </c>
      <c r="AY19" s="63" t="s">
        <v>124</v>
      </c>
      <c r="AZ19" s="63" t="s">
        <v>179</v>
      </c>
      <c r="BA19" s="63" t="s">
        <v>137</v>
      </c>
      <c r="BB19" s="63" t="s">
        <v>152</v>
      </c>
      <c r="BC19" s="63" t="s">
        <v>140</v>
      </c>
      <c r="BD19" s="63" t="s">
        <v>189</v>
      </c>
      <c r="BE19" s="63" t="s">
        <v>119</v>
      </c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D19" s="48">
        <f t="shared" si="4"/>
        <v>2</v>
      </c>
      <c r="CE19" s="48">
        <f t="shared" si="5"/>
        <v>0</v>
      </c>
      <c r="CF19" s="48">
        <f t="shared" si="5"/>
        <v>0</v>
      </c>
      <c r="CG19" s="48">
        <f t="shared" si="5"/>
        <v>0</v>
      </c>
      <c r="CH19" s="48" t="str">
        <f t="shared" si="5"/>
        <v>X</v>
      </c>
      <c r="CI19" s="48">
        <f t="shared" si="5"/>
        <v>0</v>
      </c>
      <c r="CJ19" s="48">
        <f t="shared" si="5"/>
        <v>0</v>
      </c>
      <c r="CK19" s="48">
        <f t="shared" si="5"/>
        <v>0</v>
      </c>
      <c r="CL19" s="48">
        <f t="shared" si="5"/>
        <v>0</v>
      </c>
      <c r="CM19" s="48">
        <f t="shared" si="5"/>
        <v>0</v>
      </c>
      <c r="CN19" s="48">
        <f t="shared" si="5"/>
        <v>0</v>
      </c>
      <c r="CO19" s="48">
        <f t="shared" si="5"/>
        <v>0</v>
      </c>
      <c r="CP19" s="48">
        <f t="shared" si="5"/>
        <v>0</v>
      </c>
      <c r="CQ19" s="48">
        <f t="shared" si="5"/>
        <v>0</v>
      </c>
      <c r="CR19" s="48">
        <f t="shared" si="5"/>
        <v>0</v>
      </c>
      <c r="CS19" s="48">
        <f t="shared" si="5"/>
        <v>0</v>
      </c>
      <c r="CT19" s="48">
        <f t="shared" ref="CT19:CT48" si="12">IF(COUNTIF($C19:$CB19,R19)&gt;1,"X",0)</f>
        <v>0</v>
      </c>
      <c r="CU19" s="48">
        <f t="shared" si="6"/>
        <v>0</v>
      </c>
      <c r="CV19" s="48">
        <f t="shared" si="6"/>
        <v>0</v>
      </c>
      <c r="CW19" s="48">
        <f t="shared" si="6"/>
        <v>0</v>
      </c>
      <c r="CX19" s="48">
        <f t="shared" si="6"/>
        <v>0</v>
      </c>
      <c r="CY19" s="48" t="str">
        <f t="shared" si="6"/>
        <v>X</v>
      </c>
      <c r="CZ19" s="48">
        <f t="shared" si="10"/>
        <v>0</v>
      </c>
      <c r="DA19" s="48">
        <f t="shared" si="7"/>
        <v>0</v>
      </c>
      <c r="DB19" s="48">
        <f t="shared" si="7"/>
        <v>0</v>
      </c>
      <c r="DC19" s="48">
        <f t="shared" si="7"/>
        <v>0</v>
      </c>
      <c r="DD19" s="48">
        <f t="shared" si="7"/>
        <v>0</v>
      </c>
      <c r="DE19" s="48">
        <f t="shared" si="7"/>
        <v>0</v>
      </c>
      <c r="DF19" s="48">
        <f t="shared" si="7"/>
        <v>0</v>
      </c>
      <c r="DG19" s="48">
        <f t="shared" si="7"/>
        <v>0</v>
      </c>
      <c r="DH19" s="48">
        <f t="shared" si="7"/>
        <v>0</v>
      </c>
      <c r="DI19" s="48">
        <f t="shared" si="7"/>
        <v>0</v>
      </c>
      <c r="DJ19" s="48">
        <f t="shared" si="7"/>
        <v>0</v>
      </c>
      <c r="DK19" s="48">
        <f t="shared" si="7"/>
        <v>0</v>
      </c>
      <c r="DL19" s="48">
        <f>IF(COUNTIF($C19:$CB19,#REF!)&gt;1,"X",0)</f>
        <v>0</v>
      </c>
      <c r="DM19" s="48">
        <f>IF(COUNTIF($C19:$CB19,#REF!)&gt;1,"X",0)</f>
        <v>0</v>
      </c>
      <c r="DN19" s="48">
        <f>IF(COUNTIF($C19:$CB19,#REF!)&gt;1,"X",0)</f>
        <v>0</v>
      </c>
      <c r="DO19" s="48">
        <f>IF(COUNTIF($C19:$CB19,#REF!)&gt;1,"X",0)</f>
        <v>0</v>
      </c>
      <c r="DP19" s="48">
        <f>IF(COUNTIF($C19:$CB19,#REF!)&gt;1,"X",0)</f>
        <v>0</v>
      </c>
      <c r="DQ19" s="48">
        <f>IF(COUNTIF($C19:$CB19,#REF!)&gt;1,"X",0)</f>
        <v>0</v>
      </c>
      <c r="DR19" s="48">
        <f>IF(COUNTIF($C19:$CB19,#REF!)&gt;1,"X",0)</f>
        <v>0</v>
      </c>
      <c r="DS19" s="48">
        <f>IF(COUNTIF($C19:$CB19,#REF!)&gt;1,"X",0)</f>
        <v>0</v>
      </c>
      <c r="DT19" s="48">
        <f t="shared" si="8"/>
        <v>0</v>
      </c>
      <c r="DU19" s="48">
        <f t="shared" si="8"/>
        <v>0</v>
      </c>
      <c r="DV19" s="48">
        <f t="shared" si="8"/>
        <v>0</v>
      </c>
      <c r="DW19" s="48">
        <f t="shared" si="8"/>
        <v>0</v>
      </c>
      <c r="DX19" s="48">
        <f t="shared" si="8"/>
        <v>0</v>
      </c>
      <c r="DY19" s="48">
        <f t="shared" si="8"/>
        <v>0</v>
      </c>
      <c r="DZ19" s="48">
        <f t="shared" si="8"/>
        <v>0</v>
      </c>
      <c r="EA19" s="48">
        <f t="shared" si="8"/>
        <v>0</v>
      </c>
      <c r="EB19" s="48">
        <f t="shared" si="8"/>
        <v>0</v>
      </c>
      <c r="EC19" s="48">
        <f t="shared" si="8"/>
        <v>0</v>
      </c>
      <c r="ED19" s="48">
        <f t="shared" si="8"/>
        <v>0</v>
      </c>
      <c r="EE19" s="48">
        <f t="shared" si="8"/>
        <v>0</v>
      </c>
      <c r="EF19" s="48">
        <f t="shared" si="8"/>
        <v>0</v>
      </c>
      <c r="EG19" s="48">
        <f t="shared" si="8"/>
        <v>0</v>
      </c>
      <c r="EH19" s="48">
        <f t="shared" si="8"/>
        <v>0</v>
      </c>
      <c r="EI19" s="48">
        <f t="shared" si="8"/>
        <v>0</v>
      </c>
      <c r="EJ19" s="48">
        <f t="shared" si="9"/>
        <v>0</v>
      </c>
      <c r="EK19" s="48">
        <f t="shared" si="9"/>
        <v>0</v>
      </c>
      <c r="EL19" s="48">
        <f t="shared" si="9"/>
        <v>0</v>
      </c>
      <c r="EM19" s="48">
        <f t="shared" si="9"/>
        <v>0</v>
      </c>
    </row>
    <row r="20" spans="1:143" ht="15.75" customHeight="1" x14ac:dyDescent="0.2">
      <c r="A20" s="61"/>
      <c r="B20" s="75">
        <f>IF(CD20&gt;0,0,2)</f>
        <v>0</v>
      </c>
      <c r="C20" s="66"/>
      <c r="D20" s="66" t="s">
        <v>213</v>
      </c>
      <c r="E20" s="66" t="s">
        <v>165</v>
      </c>
      <c r="F20" s="66" t="s">
        <v>209</v>
      </c>
      <c r="G20" s="66" t="s">
        <v>191</v>
      </c>
      <c r="H20" s="66" t="s">
        <v>206</v>
      </c>
      <c r="I20" s="66" t="s">
        <v>144</v>
      </c>
      <c r="J20" s="66" t="s">
        <v>192</v>
      </c>
      <c r="K20" s="66"/>
      <c r="L20" s="66"/>
      <c r="M20" s="66" t="s">
        <v>187</v>
      </c>
      <c r="N20" s="66"/>
      <c r="O20" s="66" t="s">
        <v>111</v>
      </c>
      <c r="P20" s="66"/>
      <c r="Q20" s="66"/>
      <c r="R20" s="66" t="s">
        <v>218</v>
      </c>
      <c r="S20" s="66" t="s">
        <v>105</v>
      </c>
      <c r="T20" s="66" t="s">
        <v>211</v>
      </c>
      <c r="U20" s="66" t="s">
        <v>212</v>
      </c>
      <c r="V20" s="66"/>
      <c r="W20" s="66" t="s">
        <v>209</v>
      </c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 t="s">
        <v>261</v>
      </c>
      <c r="AS20" s="66" t="s">
        <v>265</v>
      </c>
      <c r="AT20" s="66"/>
      <c r="AU20" s="66" t="s">
        <v>179</v>
      </c>
      <c r="AV20" s="66" t="s">
        <v>142</v>
      </c>
      <c r="AW20" s="66" t="s">
        <v>143</v>
      </c>
      <c r="AX20" s="66" t="s">
        <v>119</v>
      </c>
      <c r="AY20" s="66" t="s">
        <v>124</v>
      </c>
      <c r="AZ20" s="66" t="s">
        <v>216</v>
      </c>
      <c r="BA20" s="66" t="s">
        <v>137</v>
      </c>
      <c r="BB20" s="66" t="s">
        <v>152</v>
      </c>
      <c r="BC20" s="66" t="s">
        <v>140</v>
      </c>
      <c r="BD20" s="66" t="s">
        <v>163</v>
      </c>
      <c r="BE20" s="66" t="s">
        <v>189</v>
      </c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D20" s="48">
        <f t="shared" si="4"/>
        <v>2</v>
      </c>
      <c r="CE20" s="48">
        <f t="shared" ref="CE20:CS49" si="13">IF(COUNTIF($C20:$CB20,C20)&gt;1,"X",0)</f>
        <v>0</v>
      </c>
      <c r="CF20" s="48">
        <f t="shared" si="13"/>
        <v>0</v>
      </c>
      <c r="CG20" s="48">
        <f t="shared" si="13"/>
        <v>0</v>
      </c>
      <c r="CH20" s="48" t="str">
        <f t="shared" si="13"/>
        <v>X</v>
      </c>
      <c r="CI20" s="48">
        <f t="shared" si="13"/>
        <v>0</v>
      </c>
      <c r="CJ20" s="48">
        <f t="shared" si="13"/>
        <v>0</v>
      </c>
      <c r="CK20" s="48">
        <f t="shared" si="13"/>
        <v>0</v>
      </c>
      <c r="CL20" s="48">
        <f t="shared" si="13"/>
        <v>0</v>
      </c>
      <c r="CM20" s="48">
        <f t="shared" si="13"/>
        <v>0</v>
      </c>
      <c r="CN20" s="48">
        <f t="shared" si="13"/>
        <v>0</v>
      </c>
      <c r="CO20" s="48">
        <f t="shared" si="13"/>
        <v>0</v>
      </c>
      <c r="CP20" s="48">
        <f t="shared" si="13"/>
        <v>0</v>
      </c>
      <c r="CQ20" s="48">
        <f t="shared" si="13"/>
        <v>0</v>
      </c>
      <c r="CR20" s="48">
        <f t="shared" si="13"/>
        <v>0</v>
      </c>
      <c r="CS20" s="48">
        <f t="shared" si="13"/>
        <v>0</v>
      </c>
      <c r="CT20" s="48">
        <f t="shared" si="12"/>
        <v>0</v>
      </c>
      <c r="CU20" s="48">
        <f t="shared" si="6"/>
        <v>0</v>
      </c>
      <c r="CV20" s="48">
        <f t="shared" si="6"/>
        <v>0</v>
      </c>
      <c r="CW20" s="48">
        <f t="shared" si="6"/>
        <v>0</v>
      </c>
      <c r="CX20" s="48">
        <f t="shared" si="6"/>
        <v>0</v>
      </c>
      <c r="CY20" s="48" t="str">
        <f t="shared" si="6"/>
        <v>X</v>
      </c>
      <c r="CZ20" s="48">
        <f t="shared" si="10"/>
        <v>0</v>
      </c>
      <c r="DA20" s="48">
        <f t="shared" si="7"/>
        <v>0</v>
      </c>
      <c r="DB20" s="48">
        <f t="shared" si="7"/>
        <v>0</v>
      </c>
      <c r="DC20" s="48">
        <f t="shared" si="7"/>
        <v>0</v>
      </c>
      <c r="DD20" s="48">
        <f t="shared" si="7"/>
        <v>0</v>
      </c>
      <c r="DE20" s="48">
        <f t="shared" si="7"/>
        <v>0</v>
      </c>
      <c r="DF20" s="48">
        <f t="shared" si="7"/>
        <v>0</v>
      </c>
      <c r="DG20" s="48">
        <f t="shared" si="7"/>
        <v>0</v>
      </c>
      <c r="DH20" s="48">
        <f t="shared" si="7"/>
        <v>0</v>
      </c>
      <c r="DI20" s="48">
        <f t="shared" si="7"/>
        <v>0</v>
      </c>
      <c r="DJ20" s="48">
        <f t="shared" si="7"/>
        <v>0</v>
      </c>
      <c r="DK20" s="48">
        <f t="shared" si="7"/>
        <v>0</v>
      </c>
      <c r="DL20" s="48">
        <f>IF(COUNTIF($C20:$CB20,#REF!)&gt;1,"X",0)</f>
        <v>0</v>
      </c>
      <c r="DM20" s="48">
        <f>IF(COUNTIF($C20:$CB20,#REF!)&gt;1,"X",0)</f>
        <v>0</v>
      </c>
      <c r="DN20" s="48">
        <f>IF(COUNTIF($C20:$CB20,#REF!)&gt;1,"X",0)</f>
        <v>0</v>
      </c>
      <c r="DO20" s="48">
        <f>IF(COUNTIF($C20:$CB20,#REF!)&gt;1,"X",0)</f>
        <v>0</v>
      </c>
      <c r="DP20" s="48">
        <f>IF(COUNTIF($C20:$CB20,#REF!)&gt;1,"X",0)</f>
        <v>0</v>
      </c>
      <c r="DQ20" s="48">
        <f>IF(COUNTIF($C20:$CB20,#REF!)&gt;1,"X",0)</f>
        <v>0</v>
      </c>
      <c r="DR20" s="48">
        <f>IF(COUNTIF($C20:$CB20,#REF!)&gt;1,"X",0)</f>
        <v>0</v>
      </c>
      <c r="DS20" s="48">
        <f>IF(COUNTIF($C20:$CB20,#REF!)&gt;1,"X",0)</f>
        <v>0</v>
      </c>
      <c r="DT20" s="48">
        <f t="shared" si="8"/>
        <v>0</v>
      </c>
      <c r="DU20" s="48">
        <f t="shared" si="8"/>
        <v>0</v>
      </c>
      <c r="DV20" s="48">
        <f t="shared" si="8"/>
        <v>0</v>
      </c>
      <c r="DW20" s="48">
        <f t="shared" si="8"/>
        <v>0</v>
      </c>
      <c r="DX20" s="48">
        <f t="shared" si="8"/>
        <v>0</v>
      </c>
      <c r="DY20" s="48">
        <f t="shared" si="8"/>
        <v>0</v>
      </c>
      <c r="DZ20" s="48">
        <f t="shared" si="8"/>
        <v>0</v>
      </c>
      <c r="EA20" s="48">
        <f t="shared" si="8"/>
        <v>0</v>
      </c>
      <c r="EB20" s="48">
        <f t="shared" si="8"/>
        <v>0</v>
      </c>
      <c r="EC20" s="48">
        <f t="shared" si="8"/>
        <v>0</v>
      </c>
      <c r="ED20" s="48">
        <f t="shared" si="8"/>
        <v>0</v>
      </c>
      <c r="EE20" s="48">
        <f t="shared" si="8"/>
        <v>0</v>
      </c>
      <c r="EF20" s="48">
        <f t="shared" si="8"/>
        <v>0</v>
      </c>
      <c r="EG20" s="48">
        <f t="shared" si="8"/>
        <v>0</v>
      </c>
      <c r="EH20" s="48">
        <f t="shared" si="8"/>
        <v>0</v>
      </c>
      <c r="EI20" s="48">
        <f t="shared" ref="EI20:EI49" si="14">IF(COUNTIF($C20:$CB20,BX20)&gt;1,"X",0)</f>
        <v>0</v>
      </c>
      <c r="EJ20" s="48">
        <f t="shared" si="9"/>
        <v>0</v>
      </c>
      <c r="EK20" s="48">
        <f t="shared" si="9"/>
        <v>0</v>
      </c>
      <c r="EL20" s="48">
        <f t="shared" si="9"/>
        <v>0</v>
      </c>
      <c r="EM20" s="48">
        <f t="shared" si="9"/>
        <v>0</v>
      </c>
    </row>
    <row r="21" spans="1:143" ht="15.75" customHeight="1" x14ac:dyDescent="0.2">
      <c r="A21" s="61" t="s">
        <v>223</v>
      </c>
      <c r="B21" s="75">
        <f>IF(CD21&gt;0,0,3)</f>
        <v>0</v>
      </c>
      <c r="C21" s="66"/>
      <c r="D21" s="66" t="s">
        <v>267</v>
      </c>
      <c r="E21" s="66" t="s">
        <v>192</v>
      </c>
      <c r="F21" s="66"/>
      <c r="G21" s="66"/>
      <c r="H21" s="66" t="s">
        <v>261</v>
      </c>
      <c r="I21" s="66"/>
      <c r="J21" s="66" t="s">
        <v>273</v>
      </c>
      <c r="K21" s="66"/>
      <c r="L21" s="66" t="s">
        <v>209</v>
      </c>
      <c r="M21" s="66" t="s">
        <v>262</v>
      </c>
      <c r="N21" s="66" t="s">
        <v>211</v>
      </c>
      <c r="O21" s="66"/>
      <c r="P21" s="66" t="s">
        <v>212</v>
      </c>
      <c r="Q21" s="66" t="s">
        <v>274</v>
      </c>
      <c r="R21" s="66"/>
      <c r="S21" s="66" t="s">
        <v>142</v>
      </c>
      <c r="T21" s="66"/>
      <c r="U21" s="66"/>
      <c r="V21" s="66" t="s">
        <v>209</v>
      </c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 t="s">
        <v>262</v>
      </c>
      <c r="AU21" s="66" t="s">
        <v>262</v>
      </c>
      <c r="AV21" s="66" t="s">
        <v>271</v>
      </c>
      <c r="AW21" s="66" t="s">
        <v>163</v>
      </c>
      <c r="AX21" s="66" t="s">
        <v>119</v>
      </c>
      <c r="AY21" s="66" t="s">
        <v>262</v>
      </c>
      <c r="AZ21" s="66" t="s">
        <v>216</v>
      </c>
      <c r="BA21" s="66" t="s">
        <v>148</v>
      </c>
      <c r="BB21" s="66" t="s">
        <v>213</v>
      </c>
      <c r="BC21" s="66" t="s">
        <v>205</v>
      </c>
      <c r="BD21" s="66" t="s">
        <v>262</v>
      </c>
      <c r="BE21" s="66" t="s">
        <v>172</v>
      </c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D21" s="48">
        <f t="shared" si="4"/>
        <v>3</v>
      </c>
      <c r="CE21" s="48">
        <f t="shared" si="13"/>
        <v>0</v>
      </c>
      <c r="CF21" s="48">
        <f t="shared" si="13"/>
        <v>0</v>
      </c>
      <c r="CG21" s="48">
        <f t="shared" si="13"/>
        <v>0</v>
      </c>
      <c r="CH21" s="48">
        <f t="shared" si="13"/>
        <v>0</v>
      </c>
      <c r="CI21" s="48">
        <f t="shared" si="13"/>
        <v>0</v>
      </c>
      <c r="CJ21" s="48">
        <f t="shared" si="13"/>
        <v>0</v>
      </c>
      <c r="CK21" s="48">
        <f t="shared" si="13"/>
        <v>0</v>
      </c>
      <c r="CL21" s="48">
        <f t="shared" si="13"/>
        <v>0</v>
      </c>
      <c r="CM21" s="48">
        <f t="shared" si="13"/>
        <v>0</v>
      </c>
      <c r="CN21" s="48" t="str">
        <f t="shared" si="13"/>
        <v>X</v>
      </c>
      <c r="CO21" s="48" t="str">
        <f t="shared" si="13"/>
        <v>X</v>
      </c>
      <c r="CP21" s="48">
        <f t="shared" si="13"/>
        <v>0</v>
      </c>
      <c r="CQ21" s="48">
        <f t="shared" si="13"/>
        <v>0</v>
      </c>
      <c r="CR21" s="48">
        <f t="shared" si="13"/>
        <v>0</v>
      </c>
      <c r="CS21" s="48">
        <f t="shared" si="13"/>
        <v>0</v>
      </c>
      <c r="CT21" s="48">
        <f t="shared" si="12"/>
        <v>0</v>
      </c>
      <c r="CU21" s="48">
        <f t="shared" si="6"/>
        <v>0</v>
      </c>
      <c r="CV21" s="48">
        <f t="shared" si="6"/>
        <v>0</v>
      </c>
      <c r="CW21" s="48">
        <f t="shared" si="6"/>
        <v>0</v>
      </c>
      <c r="CX21" s="48" t="str">
        <f t="shared" si="6"/>
        <v>X</v>
      </c>
      <c r="CY21" s="48">
        <f t="shared" si="6"/>
        <v>0</v>
      </c>
      <c r="CZ21" s="48">
        <f t="shared" si="10"/>
        <v>0</v>
      </c>
      <c r="DA21" s="48">
        <f t="shared" si="7"/>
        <v>0</v>
      </c>
      <c r="DB21" s="48">
        <f t="shared" si="7"/>
        <v>0</v>
      </c>
      <c r="DC21" s="48">
        <f t="shared" si="7"/>
        <v>0</v>
      </c>
      <c r="DD21" s="48">
        <f t="shared" si="7"/>
        <v>0</v>
      </c>
      <c r="DE21" s="48">
        <f t="shared" si="7"/>
        <v>0</v>
      </c>
      <c r="DF21" s="48">
        <f t="shared" si="7"/>
        <v>0</v>
      </c>
      <c r="DG21" s="48">
        <f t="shared" si="7"/>
        <v>0</v>
      </c>
      <c r="DH21" s="48">
        <f t="shared" si="7"/>
        <v>0</v>
      </c>
      <c r="DI21" s="48">
        <f t="shared" si="7"/>
        <v>0</v>
      </c>
      <c r="DJ21" s="48">
        <f t="shared" si="7"/>
        <v>0</v>
      </c>
      <c r="DK21" s="48">
        <f t="shared" si="7"/>
        <v>0</v>
      </c>
      <c r="DL21" s="48">
        <f>IF(COUNTIF($C21:$CB21,#REF!)&gt;1,"X",0)</f>
        <v>0</v>
      </c>
      <c r="DM21" s="48">
        <f>IF(COUNTIF($C21:$CB21,#REF!)&gt;1,"X",0)</f>
        <v>0</v>
      </c>
      <c r="DN21" s="48">
        <f>IF(COUNTIF($C21:$CB21,#REF!)&gt;1,"X",0)</f>
        <v>0</v>
      </c>
      <c r="DO21" s="48">
        <f>IF(COUNTIF($C21:$CB21,#REF!)&gt;1,"X",0)</f>
        <v>0</v>
      </c>
      <c r="DP21" s="48">
        <f>IF(COUNTIF($C21:$CB21,#REF!)&gt;1,"X",0)</f>
        <v>0</v>
      </c>
      <c r="DQ21" s="48">
        <f>IF(COUNTIF($C21:$CB21,#REF!)&gt;1,"X",0)</f>
        <v>0</v>
      </c>
      <c r="DR21" s="48">
        <f>IF(COUNTIF($C21:$CB21,#REF!)&gt;1,"X",0)</f>
        <v>0</v>
      </c>
      <c r="DS21" s="48">
        <f>IF(COUNTIF($C21:$CB21,#REF!)&gt;1,"X",0)</f>
        <v>0</v>
      </c>
      <c r="DT21" s="48">
        <f t="shared" ref="DT21:EH50" si="15">IF(COUNTIF($C21:$CB21,BI21)&gt;1,"X",0)</f>
        <v>0</v>
      </c>
      <c r="DU21" s="48">
        <f t="shared" si="15"/>
        <v>0</v>
      </c>
      <c r="DV21" s="48">
        <f t="shared" si="15"/>
        <v>0</v>
      </c>
      <c r="DW21" s="48">
        <f t="shared" si="15"/>
        <v>0</v>
      </c>
      <c r="DX21" s="48">
        <f t="shared" si="15"/>
        <v>0</v>
      </c>
      <c r="DY21" s="48">
        <f t="shared" si="15"/>
        <v>0</v>
      </c>
      <c r="DZ21" s="48">
        <f t="shared" si="15"/>
        <v>0</v>
      </c>
      <c r="EA21" s="48">
        <f t="shared" si="15"/>
        <v>0</v>
      </c>
      <c r="EB21" s="48">
        <f t="shared" si="15"/>
        <v>0</v>
      </c>
      <c r="EC21" s="48">
        <f t="shared" si="15"/>
        <v>0</v>
      </c>
      <c r="ED21" s="48">
        <f t="shared" si="15"/>
        <v>0</v>
      </c>
      <c r="EE21" s="48">
        <f t="shared" si="15"/>
        <v>0</v>
      </c>
      <c r="EF21" s="48">
        <f t="shared" si="15"/>
        <v>0</v>
      </c>
      <c r="EG21" s="48">
        <f t="shared" si="15"/>
        <v>0</v>
      </c>
      <c r="EH21" s="48">
        <f t="shared" si="15"/>
        <v>0</v>
      </c>
      <c r="EI21" s="48">
        <f t="shared" si="14"/>
        <v>0</v>
      </c>
      <c r="EJ21" s="48">
        <f t="shared" si="9"/>
        <v>0</v>
      </c>
      <c r="EK21" s="48">
        <f t="shared" si="9"/>
        <v>0</v>
      </c>
      <c r="EL21" s="48">
        <f t="shared" si="9"/>
        <v>0</v>
      </c>
      <c r="EM21" s="48">
        <f t="shared" si="9"/>
        <v>0</v>
      </c>
    </row>
    <row r="22" spans="1:143" ht="15.75" customHeight="1" x14ac:dyDescent="0.2">
      <c r="A22" s="61"/>
      <c r="B22" s="75">
        <f>IF(CD22&gt;0,0,4)</f>
        <v>0</v>
      </c>
      <c r="C22" s="66"/>
      <c r="D22" s="66" t="s">
        <v>267</v>
      </c>
      <c r="E22" s="66" t="s">
        <v>192</v>
      </c>
      <c r="F22" s="66"/>
      <c r="G22" s="66"/>
      <c r="H22" s="66" t="s">
        <v>261</v>
      </c>
      <c r="I22" s="66"/>
      <c r="J22" s="66" t="s">
        <v>273</v>
      </c>
      <c r="K22" s="66"/>
      <c r="L22" s="66" t="s">
        <v>209</v>
      </c>
      <c r="M22" s="66" t="s">
        <v>262</v>
      </c>
      <c r="N22" s="66" t="s">
        <v>211</v>
      </c>
      <c r="O22" s="66"/>
      <c r="P22" s="66" t="s">
        <v>212</v>
      </c>
      <c r="Q22" s="66" t="s">
        <v>274</v>
      </c>
      <c r="R22" s="66"/>
      <c r="S22" s="66" t="s">
        <v>142</v>
      </c>
      <c r="T22" s="66"/>
      <c r="U22" s="66"/>
      <c r="V22" s="66" t="s">
        <v>209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 t="s">
        <v>262</v>
      </c>
      <c r="AU22" s="66" t="s">
        <v>262</v>
      </c>
      <c r="AV22" s="66" t="s">
        <v>271</v>
      </c>
      <c r="AW22" s="66"/>
      <c r="AX22" s="66"/>
      <c r="AY22" s="66" t="s">
        <v>262</v>
      </c>
      <c r="AZ22" s="66"/>
      <c r="BA22" s="66"/>
      <c r="BB22" s="66"/>
      <c r="BC22" s="66"/>
      <c r="BD22" s="66" t="s">
        <v>262</v>
      </c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D22" s="48">
        <f t="shared" si="4"/>
        <v>3</v>
      </c>
      <c r="CE22" s="48">
        <f t="shared" si="13"/>
        <v>0</v>
      </c>
      <c r="CF22" s="48">
        <f t="shared" si="13"/>
        <v>0</v>
      </c>
      <c r="CG22" s="48">
        <f t="shared" si="13"/>
        <v>0</v>
      </c>
      <c r="CH22" s="48">
        <f t="shared" si="13"/>
        <v>0</v>
      </c>
      <c r="CI22" s="48">
        <f t="shared" si="13"/>
        <v>0</v>
      </c>
      <c r="CJ22" s="48">
        <f t="shared" si="13"/>
        <v>0</v>
      </c>
      <c r="CK22" s="48">
        <f t="shared" si="13"/>
        <v>0</v>
      </c>
      <c r="CL22" s="48">
        <f t="shared" si="13"/>
        <v>0</v>
      </c>
      <c r="CM22" s="48">
        <f t="shared" si="13"/>
        <v>0</v>
      </c>
      <c r="CN22" s="48" t="str">
        <f t="shared" si="13"/>
        <v>X</v>
      </c>
      <c r="CO22" s="48" t="str">
        <f t="shared" si="13"/>
        <v>X</v>
      </c>
      <c r="CP22" s="48">
        <f t="shared" si="13"/>
        <v>0</v>
      </c>
      <c r="CQ22" s="48">
        <f t="shared" si="13"/>
        <v>0</v>
      </c>
      <c r="CR22" s="48">
        <f t="shared" si="13"/>
        <v>0</v>
      </c>
      <c r="CS22" s="48">
        <f t="shared" si="13"/>
        <v>0</v>
      </c>
      <c r="CT22" s="48">
        <f t="shared" si="12"/>
        <v>0</v>
      </c>
      <c r="CU22" s="48">
        <f t="shared" si="6"/>
        <v>0</v>
      </c>
      <c r="CV22" s="48">
        <f t="shared" si="6"/>
        <v>0</v>
      </c>
      <c r="CW22" s="48">
        <f t="shared" si="6"/>
        <v>0</v>
      </c>
      <c r="CX22" s="48" t="str">
        <f t="shared" si="6"/>
        <v>X</v>
      </c>
      <c r="CY22" s="48">
        <f t="shared" si="6"/>
        <v>0</v>
      </c>
      <c r="CZ22" s="48">
        <f t="shared" si="10"/>
        <v>0</v>
      </c>
      <c r="DA22" s="48">
        <f t="shared" si="7"/>
        <v>0</v>
      </c>
      <c r="DB22" s="48">
        <f t="shared" si="7"/>
        <v>0</v>
      </c>
      <c r="DC22" s="48">
        <f t="shared" si="7"/>
        <v>0</v>
      </c>
      <c r="DD22" s="48">
        <f t="shared" si="7"/>
        <v>0</v>
      </c>
      <c r="DE22" s="48">
        <f t="shared" si="7"/>
        <v>0</v>
      </c>
      <c r="DF22" s="48">
        <f t="shared" si="7"/>
        <v>0</v>
      </c>
      <c r="DG22" s="48">
        <f t="shared" si="7"/>
        <v>0</v>
      </c>
      <c r="DH22" s="48">
        <f t="shared" si="7"/>
        <v>0</v>
      </c>
      <c r="DI22" s="48">
        <f t="shared" si="7"/>
        <v>0</v>
      </c>
      <c r="DJ22" s="48">
        <f t="shared" si="7"/>
        <v>0</v>
      </c>
      <c r="DK22" s="48">
        <f t="shared" si="7"/>
        <v>0</v>
      </c>
      <c r="DL22" s="48">
        <f>IF(COUNTIF($C22:$CB22,#REF!)&gt;1,"X",0)</f>
        <v>0</v>
      </c>
      <c r="DM22" s="48">
        <f>IF(COUNTIF($C22:$CB22,#REF!)&gt;1,"X",0)</f>
        <v>0</v>
      </c>
      <c r="DN22" s="48">
        <f>IF(COUNTIF($C22:$CB22,#REF!)&gt;1,"X",0)</f>
        <v>0</v>
      </c>
      <c r="DO22" s="48">
        <f>IF(COUNTIF($C22:$CB22,#REF!)&gt;1,"X",0)</f>
        <v>0</v>
      </c>
      <c r="DP22" s="48">
        <f>IF(COUNTIF($C22:$CB22,#REF!)&gt;1,"X",0)</f>
        <v>0</v>
      </c>
      <c r="DQ22" s="48">
        <f>IF(COUNTIF($C22:$CB22,#REF!)&gt;1,"X",0)</f>
        <v>0</v>
      </c>
      <c r="DR22" s="48">
        <f>IF(COUNTIF($C22:$CB22,#REF!)&gt;1,"X",0)</f>
        <v>0</v>
      </c>
      <c r="DS22" s="48">
        <f>IF(COUNTIF($C22:$CB22,#REF!)&gt;1,"X",0)</f>
        <v>0</v>
      </c>
      <c r="DT22" s="48">
        <f t="shared" si="15"/>
        <v>0</v>
      </c>
      <c r="DU22" s="48">
        <f t="shared" si="15"/>
        <v>0</v>
      </c>
      <c r="DV22" s="48">
        <f t="shared" si="15"/>
        <v>0</v>
      </c>
      <c r="DW22" s="48">
        <f t="shared" si="15"/>
        <v>0</v>
      </c>
      <c r="DX22" s="48">
        <f t="shared" si="15"/>
        <v>0</v>
      </c>
      <c r="DY22" s="48">
        <f t="shared" si="15"/>
        <v>0</v>
      </c>
      <c r="DZ22" s="48">
        <f t="shared" si="15"/>
        <v>0</v>
      </c>
      <c r="EA22" s="48">
        <f t="shared" si="15"/>
        <v>0</v>
      </c>
      <c r="EB22" s="48">
        <f t="shared" si="15"/>
        <v>0</v>
      </c>
      <c r="EC22" s="48">
        <f t="shared" si="15"/>
        <v>0</v>
      </c>
      <c r="ED22" s="48">
        <f t="shared" si="15"/>
        <v>0</v>
      </c>
      <c r="EE22" s="48">
        <f t="shared" si="15"/>
        <v>0</v>
      </c>
      <c r="EF22" s="48">
        <f t="shared" si="15"/>
        <v>0</v>
      </c>
      <c r="EG22" s="48">
        <f t="shared" si="15"/>
        <v>0</v>
      </c>
      <c r="EH22" s="48">
        <f t="shared" si="15"/>
        <v>0</v>
      </c>
      <c r="EI22" s="48">
        <f t="shared" si="14"/>
        <v>0</v>
      </c>
      <c r="EJ22" s="48">
        <f t="shared" si="9"/>
        <v>0</v>
      </c>
      <c r="EK22" s="48">
        <f t="shared" si="9"/>
        <v>0</v>
      </c>
      <c r="EL22" s="48">
        <f t="shared" si="9"/>
        <v>0</v>
      </c>
      <c r="EM22" s="48">
        <f t="shared" si="9"/>
        <v>0</v>
      </c>
    </row>
    <row r="23" spans="1:143" ht="15.75" customHeight="1" thickBot="1" x14ac:dyDescent="0.25">
      <c r="A23" s="67"/>
      <c r="B23" s="76">
        <f>IF(CD23&gt;0,0,5)</f>
        <v>5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8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6"/>
      <c r="AQ23" s="66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6"/>
      <c r="BH23" s="66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D23" s="48">
        <f t="shared" si="4"/>
        <v>0</v>
      </c>
      <c r="CE23" s="48">
        <f t="shared" si="13"/>
        <v>0</v>
      </c>
      <c r="CF23" s="48">
        <f t="shared" si="13"/>
        <v>0</v>
      </c>
      <c r="CG23" s="48">
        <f t="shared" si="13"/>
        <v>0</v>
      </c>
      <c r="CH23" s="48">
        <f t="shared" si="13"/>
        <v>0</v>
      </c>
      <c r="CI23" s="48">
        <f t="shared" si="13"/>
        <v>0</v>
      </c>
      <c r="CJ23" s="48">
        <f t="shared" si="13"/>
        <v>0</v>
      </c>
      <c r="CK23" s="48">
        <f t="shared" si="13"/>
        <v>0</v>
      </c>
      <c r="CL23" s="48">
        <f t="shared" si="13"/>
        <v>0</v>
      </c>
      <c r="CM23" s="48">
        <f t="shared" si="13"/>
        <v>0</v>
      </c>
      <c r="CN23" s="48">
        <f t="shared" si="13"/>
        <v>0</v>
      </c>
      <c r="CO23" s="48">
        <f t="shared" si="13"/>
        <v>0</v>
      </c>
      <c r="CP23" s="48">
        <f t="shared" si="13"/>
        <v>0</v>
      </c>
      <c r="CQ23" s="48">
        <f t="shared" si="13"/>
        <v>0</v>
      </c>
      <c r="CR23" s="48">
        <f t="shared" si="13"/>
        <v>0</v>
      </c>
      <c r="CS23" s="48">
        <f t="shared" si="13"/>
        <v>0</v>
      </c>
      <c r="CT23" s="48">
        <f t="shared" si="12"/>
        <v>0</v>
      </c>
      <c r="CU23" s="48">
        <f t="shared" si="6"/>
        <v>0</v>
      </c>
      <c r="CV23" s="48">
        <f t="shared" si="6"/>
        <v>0</v>
      </c>
      <c r="CW23" s="48">
        <f t="shared" si="6"/>
        <v>0</v>
      </c>
      <c r="CX23" s="48">
        <f t="shared" si="6"/>
        <v>0</v>
      </c>
      <c r="CY23" s="48">
        <f t="shared" si="6"/>
        <v>0</v>
      </c>
      <c r="CZ23" s="48">
        <f t="shared" si="10"/>
        <v>0</v>
      </c>
      <c r="DA23" s="48">
        <f t="shared" si="7"/>
        <v>0</v>
      </c>
      <c r="DB23" s="48">
        <f t="shared" si="7"/>
        <v>0</v>
      </c>
      <c r="DC23" s="48">
        <f t="shared" si="7"/>
        <v>0</v>
      </c>
      <c r="DD23" s="48">
        <f t="shared" si="7"/>
        <v>0</v>
      </c>
      <c r="DE23" s="48">
        <f t="shared" si="7"/>
        <v>0</v>
      </c>
      <c r="DF23" s="48">
        <f t="shared" si="7"/>
        <v>0</v>
      </c>
      <c r="DG23" s="48">
        <f t="shared" si="7"/>
        <v>0</v>
      </c>
      <c r="DH23" s="48">
        <f t="shared" si="7"/>
        <v>0</v>
      </c>
      <c r="DI23" s="48">
        <f t="shared" si="7"/>
        <v>0</v>
      </c>
      <c r="DJ23" s="48">
        <f t="shared" si="7"/>
        <v>0</v>
      </c>
      <c r="DK23" s="48">
        <f t="shared" si="7"/>
        <v>0</v>
      </c>
      <c r="DL23" s="48">
        <f>IF(COUNTIF($C23:$CB23,#REF!)&gt;1,"X",0)</f>
        <v>0</v>
      </c>
      <c r="DM23" s="48">
        <f>IF(COUNTIF($C23:$CB23,#REF!)&gt;1,"X",0)</f>
        <v>0</v>
      </c>
      <c r="DN23" s="48">
        <f>IF(COUNTIF($C23:$CB23,#REF!)&gt;1,"X",0)</f>
        <v>0</v>
      </c>
      <c r="DO23" s="48">
        <f>IF(COUNTIF($C23:$CB23,#REF!)&gt;1,"X",0)</f>
        <v>0</v>
      </c>
      <c r="DP23" s="48">
        <f>IF(COUNTIF($C23:$CB23,#REF!)&gt;1,"X",0)</f>
        <v>0</v>
      </c>
      <c r="DQ23" s="48">
        <f>IF(COUNTIF($C23:$CB23,#REF!)&gt;1,"X",0)</f>
        <v>0</v>
      </c>
      <c r="DR23" s="48">
        <f>IF(COUNTIF($C23:$CB23,#REF!)&gt;1,"X",0)</f>
        <v>0</v>
      </c>
      <c r="DS23" s="48">
        <f>IF(COUNTIF($C23:$CB23,#REF!)&gt;1,"X",0)</f>
        <v>0</v>
      </c>
      <c r="DT23" s="48">
        <f t="shared" si="15"/>
        <v>0</v>
      </c>
      <c r="DU23" s="48">
        <f t="shared" si="15"/>
        <v>0</v>
      </c>
      <c r="DV23" s="48">
        <f t="shared" si="15"/>
        <v>0</v>
      </c>
      <c r="DW23" s="48">
        <f t="shared" si="15"/>
        <v>0</v>
      </c>
      <c r="DX23" s="48">
        <f t="shared" si="15"/>
        <v>0</v>
      </c>
      <c r="DY23" s="48">
        <f t="shared" si="15"/>
        <v>0</v>
      </c>
      <c r="DZ23" s="48">
        <f t="shared" si="15"/>
        <v>0</v>
      </c>
      <c r="EA23" s="48">
        <f t="shared" si="15"/>
        <v>0</v>
      </c>
      <c r="EB23" s="48">
        <f t="shared" si="15"/>
        <v>0</v>
      </c>
      <c r="EC23" s="48">
        <f t="shared" si="15"/>
        <v>0</v>
      </c>
      <c r="ED23" s="48">
        <f t="shared" si="15"/>
        <v>0</v>
      </c>
      <c r="EE23" s="48">
        <f t="shared" si="15"/>
        <v>0</v>
      </c>
      <c r="EF23" s="48">
        <f t="shared" si="15"/>
        <v>0</v>
      </c>
      <c r="EG23" s="48">
        <f t="shared" si="15"/>
        <v>0</v>
      </c>
      <c r="EH23" s="48">
        <f t="shared" si="15"/>
        <v>0</v>
      </c>
      <c r="EI23" s="48">
        <f t="shared" si="14"/>
        <v>0</v>
      </c>
      <c r="EJ23" s="48">
        <f t="shared" si="9"/>
        <v>0</v>
      </c>
      <c r="EK23" s="48">
        <f t="shared" si="9"/>
        <v>0</v>
      </c>
      <c r="EL23" s="48">
        <f t="shared" si="9"/>
        <v>0</v>
      </c>
      <c r="EM23" s="48">
        <f t="shared" si="9"/>
        <v>0</v>
      </c>
    </row>
    <row r="24" spans="1:143" ht="15.75" customHeight="1" x14ac:dyDescent="0.2">
      <c r="A24" s="73" t="s">
        <v>226</v>
      </c>
      <c r="B24" s="74">
        <f>IF(CD24&gt;0,0,1)</f>
        <v>0</v>
      </c>
      <c r="C24" s="63"/>
      <c r="D24" s="63"/>
      <c r="E24" s="63"/>
      <c r="F24" s="63" t="s">
        <v>176</v>
      </c>
      <c r="G24" s="63"/>
      <c r="H24" s="63" t="s">
        <v>211</v>
      </c>
      <c r="I24" s="63" t="s">
        <v>214</v>
      </c>
      <c r="J24" s="63" t="s">
        <v>212</v>
      </c>
      <c r="K24" s="63" t="s">
        <v>218</v>
      </c>
      <c r="L24" s="63" t="s">
        <v>116</v>
      </c>
      <c r="M24" s="63"/>
      <c r="N24" s="63" t="s">
        <v>164</v>
      </c>
      <c r="O24" s="63" t="s">
        <v>214</v>
      </c>
      <c r="P24" s="63" t="s">
        <v>258</v>
      </c>
      <c r="Q24" s="63" t="s">
        <v>273</v>
      </c>
      <c r="R24" s="63" t="s">
        <v>275</v>
      </c>
      <c r="S24" s="63" t="s">
        <v>209</v>
      </c>
      <c r="T24" s="63" t="s">
        <v>261</v>
      </c>
      <c r="U24" s="63" t="s">
        <v>168</v>
      </c>
      <c r="V24" s="63" t="s">
        <v>121</v>
      </c>
      <c r="W24" s="63" t="s">
        <v>262</v>
      </c>
      <c r="X24" s="63"/>
      <c r="Y24" s="63"/>
      <c r="Z24" s="63" t="s">
        <v>165</v>
      </c>
      <c r="AA24" s="63"/>
      <c r="AB24" s="63" t="s">
        <v>262</v>
      </c>
      <c r="AC24" s="63" t="s">
        <v>117</v>
      </c>
      <c r="AD24" s="63" t="s">
        <v>208</v>
      </c>
      <c r="AE24" s="63" t="s">
        <v>115</v>
      </c>
      <c r="AF24" s="63" t="s">
        <v>272</v>
      </c>
      <c r="AG24" s="63" t="s">
        <v>206</v>
      </c>
      <c r="AH24" s="63" t="s">
        <v>191</v>
      </c>
      <c r="AI24" s="63" t="s">
        <v>176</v>
      </c>
      <c r="AJ24" s="63" t="s">
        <v>120</v>
      </c>
      <c r="AK24" s="63" t="s">
        <v>182</v>
      </c>
      <c r="AL24" s="63" t="s">
        <v>122</v>
      </c>
      <c r="AM24" s="63" t="s">
        <v>171</v>
      </c>
      <c r="AN24" s="63"/>
      <c r="AO24" s="63"/>
      <c r="AP24" s="63"/>
      <c r="AQ24" s="63"/>
      <c r="AR24" s="63" t="s">
        <v>132</v>
      </c>
      <c r="AS24" s="63" t="s">
        <v>266</v>
      </c>
      <c r="AT24" s="63" t="s">
        <v>261</v>
      </c>
      <c r="AU24" s="63" t="s">
        <v>134</v>
      </c>
      <c r="AV24" s="63" t="s">
        <v>141</v>
      </c>
      <c r="AW24" s="63" t="s">
        <v>269</v>
      </c>
      <c r="AX24" s="63" t="s">
        <v>271</v>
      </c>
      <c r="AY24" s="63" t="s">
        <v>260</v>
      </c>
      <c r="AZ24" s="63" t="s">
        <v>262</v>
      </c>
      <c r="BA24" s="63" t="s">
        <v>261</v>
      </c>
      <c r="BB24" s="63" t="s">
        <v>205</v>
      </c>
      <c r="BC24" s="63" t="s">
        <v>260</v>
      </c>
      <c r="BD24" s="63"/>
      <c r="BE24" s="63" t="s">
        <v>119</v>
      </c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D24" s="48">
        <f t="shared" si="4"/>
        <v>7</v>
      </c>
      <c r="CE24" s="48">
        <f t="shared" si="13"/>
        <v>0</v>
      </c>
      <c r="CF24" s="48">
        <f t="shared" si="13"/>
        <v>0</v>
      </c>
      <c r="CG24" s="48">
        <f t="shared" si="13"/>
        <v>0</v>
      </c>
      <c r="CH24" s="48" t="str">
        <f t="shared" si="13"/>
        <v>X</v>
      </c>
      <c r="CI24" s="48">
        <f t="shared" si="13"/>
        <v>0</v>
      </c>
      <c r="CJ24" s="48">
        <f t="shared" si="13"/>
        <v>0</v>
      </c>
      <c r="CK24" s="48" t="str">
        <f t="shared" si="13"/>
        <v>X</v>
      </c>
      <c r="CL24" s="48">
        <f t="shared" si="13"/>
        <v>0</v>
      </c>
      <c r="CM24" s="48">
        <f t="shared" si="13"/>
        <v>0</v>
      </c>
      <c r="CN24" s="48">
        <f t="shared" si="13"/>
        <v>0</v>
      </c>
      <c r="CO24" s="48">
        <f t="shared" si="13"/>
        <v>0</v>
      </c>
      <c r="CP24" s="48">
        <f t="shared" si="13"/>
        <v>0</v>
      </c>
      <c r="CQ24" s="48" t="str">
        <f t="shared" si="13"/>
        <v>X</v>
      </c>
      <c r="CR24" s="48">
        <f t="shared" si="13"/>
        <v>0</v>
      </c>
      <c r="CS24" s="48">
        <f t="shared" si="13"/>
        <v>0</v>
      </c>
      <c r="CT24" s="48">
        <f t="shared" si="12"/>
        <v>0</v>
      </c>
      <c r="CU24" s="48">
        <f t="shared" si="6"/>
        <v>0</v>
      </c>
      <c r="CV24" s="48" t="str">
        <f t="shared" si="6"/>
        <v>X</v>
      </c>
      <c r="CW24" s="48">
        <f t="shared" si="6"/>
        <v>0</v>
      </c>
      <c r="CX24" s="48">
        <f t="shared" si="6"/>
        <v>0</v>
      </c>
      <c r="CY24" s="48" t="str">
        <f t="shared" si="6"/>
        <v>X</v>
      </c>
      <c r="CZ24" s="48">
        <f t="shared" si="10"/>
        <v>0</v>
      </c>
      <c r="DA24" s="48">
        <f t="shared" si="7"/>
        <v>0</v>
      </c>
      <c r="DB24" s="48">
        <f t="shared" si="7"/>
        <v>0</v>
      </c>
      <c r="DC24" s="48" t="str">
        <f t="shared" si="7"/>
        <v>X</v>
      </c>
      <c r="DD24" s="48">
        <f t="shared" si="7"/>
        <v>0</v>
      </c>
      <c r="DE24" s="48">
        <f t="shared" si="7"/>
        <v>0</v>
      </c>
      <c r="DF24" s="48">
        <f t="shared" si="7"/>
        <v>0</v>
      </c>
      <c r="DG24" s="48">
        <f t="shared" si="7"/>
        <v>0</v>
      </c>
      <c r="DH24" s="48">
        <f t="shared" si="7"/>
        <v>0</v>
      </c>
      <c r="DI24" s="48">
        <f t="shared" si="7"/>
        <v>0</v>
      </c>
      <c r="DJ24" s="48" t="str">
        <f t="shared" si="7"/>
        <v>X</v>
      </c>
      <c r="DK24" s="48">
        <f t="shared" si="7"/>
        <v>0</v>
      </c>
      <c r="DL24" s="48">
        <f>IF(COUNTIF($C24:$CB24,#REF!)&gt;1,"X",0)</f>
        <v>0</v>
      </c>
      <c r="DM24" s="48">
        <f>IF(COUNTIF($C24:$CB24,#REF!)&gt;1,"X",0)</f>
        <v>0</v>
      </c>
      <c r="DN24" s="48">
        <f>IF(COUNTIF($C24:$CB24,#REF!)&gt;1,"X",0)</f>
        <v>0</v>
      </c>
      <c r="DO24" s="48">
        <f>IF(COUNTIF($C24:$CB24,#REF!)&gt;1,"X",0)</f>
        <v>0</v>
      </c>
      <c r="DP24" s="48">
        <f>IF(COUNTIF($C24:$CB24,#REF!)&gt;1,"X",0)</f>
        <v>0</v>
      </c>
      <c r="DQ24" s="48">
        <f>IF(COUNTIF($C24:$CB24,#REF!)&gt;1,"X",0)</f>
        <v>0</v>
      </c>
      <c r="DR24" s="48">
        <f>IF(COUNTIF($C24:$CB24,#REF!)&gt;1,"X",0)</f>
        <v>0</v>
      </c>
      <c r="DS24" s="48">
        <f>IF(COUNTIF($C24:$CB24,#REF!)&gt;1,"X",0)</f>
        <v>0</v>
      </c>
      <c r="DT24" s="48">
        <f t="shared" si="15"/>
        <v>0</v>
      </c>
      <c r="DU24" s="48">
        <f t="shared" si="15"/>
        <v>0</v>
      </c>
      <c r="DV24" s="48">
        <f t="shared" si="15"/>
        <v>0</v>
      </c>
      <c r="DW24" s="48">
        <f t="shared" si="15"/>
        <v>0</v>
      </c>
      <c r="DX24" s="48">
        <f t="shared" si="15"/>
        <v>0</v>
      </c>
      <c r="DY24" s="48">
        <f t="shared" si="15"/>
        <v>0</v>
      </c>
      <c r="DZ24" s="48">
        <f t="shared" si="15"/>
        <v>0</v>
      </c>
      <c r="EA24" s="48">
        <f t="shared" si="15"/>
        <v>0</v>
      </c>
      <c r="EB24" s="48">
        <f t="shared" si="15"/>
        <v>0</v>
      </c>
      <c r="EC24" s="48">
        <f t="shared" si="15"/>
        <v>0</v>
      </c>
      <c r="ED24" s="48">
        <f t="shared" si="15"/>
        <v>0</v>
      </c>
      <c r="EE24" s="48">
        <f t="shared" si="15"/>
        <v>0</v>
      </c>
      <c r="EF24" s="48">
        <f t="shared" si="15"/>
        <v>0</v>
      </c>
      <c r="EG24" s="48">
        <f t="shared" si="15"/>
        <v>0</v>
      </c>
      <c r="EH24" s="48">
        <f t="shared" si="15"/>
        <v>0</v>
      </c>
      <c r="EI24" s="48">
        <f t="shared" si="14"/>
        <v>0</v>
      </c>
      <c r="EJ24" s="48">
        <f t="shared" si="9"/>
        <v>0</v>
      </c>
      <c r="EK24" s="48">
        <f t="shared" si="9"/>
        <v>0</v>
      </c>
      <c r="EL24" s="48">
        <f t="shared" si="9"/>
        <v>0</v>
      </c>
      <c r="EM24" s="48">
        <f t="shared" si="9"/>
        <v>0</v>
      </c>
    </row>
    <row r="25" spans="1:143" ht="15.75" customHeight="1" x14ac:dyDescent="0.2">
      <c r="A25" s="61" t="s">
        <v>193</v>
      </c>
      <c r="B25" s="75">
        <f>IF(CD25&gt;0,0,2)</f>
        <v>0</v>
      </c>
      <c r="C25" s="66"/>
      <c r="D25" s="66"/>
      <c r="E25" s="66"/>
      <c r="F25" s="66" t="s">
        <v>92</v>
      </c>
      <c r="G25" s="66"/>
      <c r="H25" s="66" t="s">
        <v>211</v>
      </c>
      <c r="I25" s="66" t="s">
        <v>214</v>
      </c>
      <c r="J25" s="66" t="s">
        <v>212</v>
      </c>
      <c r="K25" s="66" t="s">
        <v>218</v>
      </c>
      <c r="L25" s="66" t="s">
        <v>116</v>
      </c>
      <c r="M25" s="66"/>
      <c r="N25" s="66" t="s">
        <v>164</v>
      </c>
      <c r="O25" s="66" t="s">
        <v>214</v>
      </c>
      <c r="P25" s="66" t="s">
        <v>258</v>
      </c>
      <c r="Q25" s="66" t="s">
        <v>273</v>
      </c>
      <c r="R25" s="66" t="s">
        <v>162</v>
      </c>
      <c r="S25" s="66" t="s">
        <v>209</v>
      </c>
      <c r="T25" s="66" t="s">
        <v>261</v>
      </c>
      <c r="U25" s="66" t="s">
        <v>191</v>
      </c>
      <c r="V25" s="66" t="s">
        <v>168</v>
      </c>
      <c r="W25" s="66" t="s">
        <v>262</v>
      </c>
      <c r="X25" s="66"/>
      <c r="Y25" s="66"/>
      <c r="Z25" s="66" t="s">
        <v>165</v>
      </c>
      <c r="AA25" s="66" t="s">
        <v>171</v>
      </c>
      <c r="AB25" s="66" t="s">
        <v>262</v>
      </c>
      <c r="AC25" s="66" t="s">
        <v>117</v>
      </c>
      <c r="AD25" s="66" t="s">
        <v>205</v>
      </c>
      <c r="AE25" s="66" t="s">
        <v>115</v>
      </c>
      <c r="AF25" s="66" t="s">
        <v>272</v>
      </c>
      <c r="AG25" s="66" t="s">
        <v>206</v>
      </c>
      <c r="AH25" s="66" t="s">
        <v>181</v>
      </c>
      <c r="AI25" s="66" t="s">
        <v>159</v>
      </c>
      <c r="AJ25" s="66" t="s">
        <v>120</v>
      </c>
      <c r="AK25" s="66" t="s">
        <v>149</v>
      </c>
      <c r="AL25" s="66" t="s">
        <v>122</v>
      </c>
      <c r="AM25" s="66" t="s">
        <v>121</v>
      </c>
      <c r="AN25" s="66"/>
      <c r="AO25" s="66"/>
      <c r="AP25" s="66"/>
      <c r="AQ25" s="66"/>
      <c r="AR25" s="66" t="s">
        <v>182</v>
      </c>
      <c r="AS25" s="66" t="s">
        <v>266</v>
      </c>
      <c r="AT25" s="66" t="s">
        <v>261</v>
      </c>
      <c r="AU25" s="66" t="s">
        <v>134</v>
      </c>
      <c r="AV25" s="66" t="s">
        <v>142</v>
      </c>
      <c r="AW25" s="66" t="s">
        <v>269</v>
      </c>
      <c r="AX25" s="66" t="s">
        <v>271</v>
      </c>
      <c r="AY25" s="66" t="s">
        <v>260</v>
      </c>
      <c r="AZ25" s="66" t="s">
        <v>262</v>
      </c>
      <c r="BA25" s="66" t="s">
        <v>261</v>
      </c>
      <c r="BB25" s="66" t="s">
        <v>125</v>
      </c>
      <c r="BC25" s="66" t="s">
        <v>260</v>
      </c>
      <c r="BD25" s="66"/>
      <c r="BE25" s="66" t="s">
        <v>119</v>
      </c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D25" s="48">
        <f t="shared" si="4"/>
        <v>5</v>
      </c>
      <c r="CE25" s="48">
        <f t="shared" si="13"/>
        <v>0</v>
      </c>
      <c r="CF25" s="48">
        <f t="shared" si="13"/>
        <v>0</v>
      </c>
      <c r="CG25" s="48">
        <f t="shared" si="13"/>
        <v>0</v>
      </c>
      <c r="CH25" s="48">
        <f t="shared" si="13"/>
        <v>0</v>
      </c>
      <c r="CI25" s="48">
        <f t="shared" si="13"/>
        <v>0</v>
      </c>
      <c r="CJ25" s="48">
        <f t="shared" si="13"/>
        <v>0</v>
      </c>
      <c r="CK25" s="48" t="str">
        <f t="shared" si="13"/>
        <v>X</v>
      </c>
      <c r="CL25" s="48">
        <f t="shared" si="13"/>
        <v>0</v>
      </c>
      <c r="CM25" s="48">
        <f t="shared" si="13"/>
        <v>0</v>
      </c>
      <c r="CN25" s="48">
        <f t="shared" si="13"/>
        <v>0</v>
      </c>
      <c r="CO25" s="48">
        <f t="shared" si="13"/>
        <v>0</v>
      </c>
      <c r="CP25" s="48">
        <f t="shared" si="13"/>
        <v>0</v>
      </c>
      <c r="CQ25" s="48" t="str">
        <f t="shared" si="13"/>
        <v>X</v>
      </c>
      <c r="CR25" s="48">
        <f t="shared" si="13"/>
        <v>0</v>
      </c>
      <c r="CS25" s="48">
        <f t="shared" si="13"/>
        <v>0</v>
      </c>
      <c r="CT25" s="48">
        <f t="shared" si="12"/>
        <v>0</v>
      </c>
      <c r="CU25" s="48">
        <f t="shared" si="6"/>
        <v>0</v>
      </c>
      <c r="CV25" s="48" t="str">
        <f t="shared" si="6"/>
        <v>X</v>
      </c>
      <c r="CW25" s="48">
        <f t="shared" si="6"/>
        <v>0</v>
      </c>
      <c r="CX25" s="48">
        <f t="shared" si="6"/>
        <v>0</v>
      </c>
      <c r="CY25" s="48" t="str">
        <f t="shared" si="6"/>
        <v>X</v>
      </c>
      <c r="CZ25" s="48">
        <f t="shared" si="10"/>
        <v>0</v>
      </c>
      <c r="DA25" s="48">
        <f t="shared" si="7"/>
        <v>0</v>
      </c>
      <c r="DB25" s="48">
        <f t="shared" si="7"/>
        <v>0</v>
      </c>
      <c r="DC25" s="48" t="str">
        <f t="shared" si="7"/>
        <v>X</v>
      </c>
      <c r="DD25" s="48">
        <f t="shared" si="7"/>
        <v>0</v>
      </c>
      <c r="DE25" s="48">
        <f t="shared" si="7"/>
        <v>0</v>
      </c>
      <c r="DF25" s="48">
        <f t="shared" si="7"/>
        <v>0</v>
      </c>
      <c r="DG25" s="48">
        <f t="shared" si="7"/>
        <v>0</v>
      </c>
      <c r="DH25" s="48">
        <f t="shared" si="7"/>
        <v>0</v>
      </c>
      <c r="DI25" s="48">
        <f t="shared" si="7"/>
        <v>0</v>
      </c>
      <c r="DJ25" s="48">
        <f t="shared" si="7"/>
        <v>0</v>
      </c>
      <c r="DK25" s="48">
        <f t="shared" si="7"/>
        <v>0</v>
      </c>
      <c r="DL25" s="48">
        <f>IF(COUNTIF($C25:$CB25,#REF!)&gt;1,"X",0)</f>
        <v>0</v>
      </c>
      <c r="DM25" s="48">
        <f>IF(COUNTIF($C25:$CB25,#REF!)&gt;1,"X",0)</f>
        <v>0</v>
      </c>
      <c r="DN25" s="48">
        <f>IF(COUNTIF($C25:$CB25,#REF!)&gt;1,"X",0)</f>
        <v>0</v>
      </c>
      <c r="DO25" s="48">
        <f>IF(COUNTIF($C25:$CB25,#REF!)&gt;1,"X",0)</f>
        <v>0</v>
      </c>
      <c r="DP25" s="48">
        <f>IF(COUNTIF($C25:$CB25,#REF!)&gt;1,"X",0)</f>
        <v>0</v>
      </c>
      <c r="DQ25" s="48">
        <f>IF(COUNTIF($C25:$CB25,#REF!)&gt;1,"X",0)</f>
        <v>0</v>
      </c>
      <c r="DR25" s="48">
        <f>IF(COUNTIF($C25:$CB25,#REF!)&gt;1,"X",0)</f>
        <v>0</v>
      </c>
      <c r="DS25" s="48">
        <f>IF(COUNTIF($C25:$CB25,#REF!)&gt;1,"X",0)</f>
        <v>0</v>
      </c>
      <c r="DT25" s="48">
        <f t="shared" si="15"/>
        <v>0</v>
      </c>
      <c r="DU25" s="48">
        <f t="shared" si="15"/>
        <v>0</v>
      </c>
      <c r="DV25" s="48">
        <f t="shared" si="15"/>
        <v>0</v>
      </c>
      <c r="DW25" s="48">
        <f t="shared" si="15"/>
        <v>0</v>
      </c>
      <c r="DX25" s="48">
        <f t="shared" si="15"/>
        <v>0</v>
      </c>
      <c r="DY25" s="48">
        <f t="shared" si="15"/>
        <v>0</v>
      </c>
      <c r="DZ25" s="48">
        <f t="shared" si="15"/>
        <v>0</v>
      </c>
      <c r="EA25" s="48">
        <f t="shared" si="15"/>
        <v>0</v>
      </c>
      <c r="EB25" s="48">
        <f t="shared" si="15"/>
        <v>0</v>
      </c>
      <c r="EC25" s="48">
        <f t="shared" si="15"/>
        <v>0</v>
      </c>
      <c r="ED25" s="48">
        <f t="shared" si="15"/>
        <v>0</v>
      </c>
      <c r="EE25" s="48">
        <f t="shared" si="15"/>
        <v>0</v>
      </c>
      <c r="EF25" s="48">
        <f t="shared" si="15"/>
        <v>0</v>
      </c>
      <c r="EG25" s="48">
        <f t="shared" si="15"/>
        <v>0</v>
      </c>
      <c r="EH25" s="48">
        <f t="shared" si="15"/>
        <v>0</v>
      </c>
      <c r="EI25" s="48">
        <f t="shared" si="14"/>
        <v>0</v>
      </c>
      <c r="EJ25" s="48">
        <f t="shared" si="9"/>
        <v>0</v>
      </c>
      <c r="EK25" s="48">
        <f t="shared" si="9"/>
        <v>0</v>
      </c>
      <c r="EL25" s="48">
        <f t="shared" si="9"/>
        <v>0</v>
      </c>
      <c r="EM25" s="48">
        <f t="shared" si="9"/>
        <v>0</v>
      </c>
    </row>
    <row r="26" spans="1:143" ht="15.75" customHeight="1" x14ac:dyDescent="0.2">
      <c r="A26" s="61" t="s">
        <v>230</v>
      </c>
      <c r="B26" s="75">
        <f>IF(CD26&gt;0,0,3)</f>
        <v>0</v>
      </c>
      <c r="C26" s="66" t="s">
        <v>214</v>
      </c>
      <c r="D26" s="66" t="s">
        <v>212</v>
      </c>
      <c r="E26" s="66" t="s">
        <v>218</v>
      </c>
      <c r="F26" s="66" t="s">
        <v>143</v>
      </c>
      <c r="G26" s="66" t="s">
        <v>210</v>
      </c>
      <c r="H26" s="66"/>
      <c r="I26" s="66"/>
      <c r="J26" s="66"/>
      <c r="K26" s="66"/>
      <c r="L26" s="66" t="s">
        <v>267</v>
      </c>
      <c r="M26" s="66" t="s">
        <v>210</v>
      </c>
      <c r="N26" s="66"/>
      <c r="O26" s="66"/>
      <c r="P26" s="66" t="s">
        <v>112</v>
      </c>
      <c r="Q26" s="66"/>
      <c r="R26" s="66" t="s">
        <v>182</v>
      </c>
      <c r="S26" s="66"/>
      <c r="T26" s="66"/>
      <c r="U26" s="66"/>
      <c r="V26" s="66" t="s">
        <v>276</v>
      </c>
      <c r="W26" s="66"/>
      <c r="X26" s="66"/>
      <c r="Y26" s="66" t="s">
        <v>115</v>
      </c>
      <c r="Z26" s="66" t="s">
        <v>206</v>
      </c>
      <c r="AA26" s="66" t="s">
        <v>159</v>
      </c>
      <c r="AB26" s="66" t="s">
        <v>180</v>
      </c>
      <c r="AC26" s="66" t="s">
        <v>262</v>
      </c>
      <c r="AD26" s="66" t="s">
        <v>121</v>
      </c>
      <c r="AE26" s="66" t="s">
        <v>168</v>
      </c>
      <c r="AF26" s="66" t="s">
        <v>165</v>
      </c>
      <c r="AG26" s="66" t="s">
        <v>122</v>
      </c>
      <c r="AH26" s="66" t="s">
        <v>181</v>
      </c>
      <c r="AI26" s="66" t="s">
        <v>208</v>
      </c>
      <c r="AJ26" s="66" t="s">
        <v>273</v>
      </c>
      <c r="AK26" s="66" t="s">
        <v>149</v>
      </c>
      <c r="AL26" s="66" t="s">
        <v>272</v>
      </c>
      <c r="AM26" s="66" t="s">
        <v>277</v>
      </c>
      <c r="AN26" s="66"/>
      <c r="AO26" s="66"/>
      <c r="AP26" s="66"/>
      <c r="AQ26" s="66"/>
      <c r="AR26" s="66" t="s">
        <v>144</v>
      </c>
      <c r="AS26" s="66" t="s">
        <v>125</v>
      </c>
      <c r="AT26" s="66"/>
      <c r="AU26" s="66" t="s">
        <v>148</v>
      </c>
      <c r="AV26" s="66" t="s">
        <v>142</v>
      </c>
      <c r="AW26" s="66" t="s">
        <v>271</v>
      </c>
      <c r="AX26" s="66"/>
      <c r="AY26" s="66"/>
      <c r="AZ26" s="66" t="s">
        <v>132</v>
      </c>
      <c r="BA26" s="66"/>
      <c r="BB26" s="66" t="s">
        <v>265</v>
      </c>
      <c r="BC26" s="66" t="s">
        <v>261</v>
      </c>
      <c r="BD26" s="66" t="s">
        <v>261</v>
      </c>
      <c r="BE26" s="66" t="s">
        <v>262</v>
      </c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D26" s="48">
        <f t="shared" si="4"/>
        <v>4</v>
      </c>
      <c r="CE26" s="48">
        <f t="shared" si="13"/>
        <v>0</v>
      </c>
      <c r="CF26" s="48">
        <f t="shared" si="13"/>
        <v>0</v>
      </c>
      <c r="CG26" s="48">
        <f t="shared" si="13"/>
        <v>0</v>
      </c>
      <c r="CH26" s="48">
        <f t="shared" si="13"/>
        <v>0</v>
      </c>
      <c r="CI26" s="48" t="str">
        <f t="shared" si="13"/>
        <v>X</v>
      </c>
      <c r="CJ26" s="48">
        <f t="shared" si="13"/>
        <v>0</v>
      </c>
      <c r="CK26" s="48">
        <f t="shared" si="13"/>
        <v>0</v>
      </c>
      <c r="CL26" s="48">
        <f t="shared" si="13"/>
        <v>0</v>
      </c>
      <c r="CM26" s="48">
        <f t="shared" si="13"/>
        <v>0</v>
      </c>
      <c r="CN26" s="48">
        <f t="shared" si="13"/>
        <v>0</v>
      </c>
      <c r="CO26" s="48" t="str">
        <f t="shared" si="13"/>
        <v>X</v>
      </c>
      <c r="CP26" s="48">
        <f t="shared" si="13"/>
        <v>0</v>
      </c>
      <c r="CQ26" s="48">
        <f t="shared" si="13"/>
        <v>0</v>
      </c>
      <c r="CR26" s="48">
        <f t="shared" si="13"/>
        <v>0</v>
      </c>
      <c r="CS26" s="48">
        <f t="shared" si="13"/>
        <v>0</v>
      </c>
      <c r="CT26" s="48">
        <f t="shared" si="12"/>
        <v>0</v>
      </c>
      <c r="CU26" s="48">
        <f t="shared" si="6"/>
        <v>0</v>
      </c>
      <c r="CV26" s="48">
        <f t="shared" si="6"/>
        <v>0</v>
      </c>
      <c r="CW26" s="48">
        <f t="shared" si="6"/>
        <v>0</v>
      </c>
      <c r="CX26" s="48" t="str">
        <f t="shared" si="6"/>
        <v>X</v>
      </c>
      <c r="CY26" s="48">
        <f t="shared" si="6"/>
        <v>0</v>
      </c>
      <c r="CZ26" s="48">
        <f t="shared" si="10"/>
        <v>0</v>
      </c>
      <c r="DA26" s="48">
        <f t="shared" si="7"/>
        <v>0</v>
      </c>
      <c r="DB26" s="48">
        <f t="shared" si="7"/>
        <v>0</v>
      </c>
      <c r="DC26" s="48">
        <f t="shared" si="7"/>
        <v>0</v>
      </c>
      <c r="DD26" s="48" t="str">
        <f t="shared" si="7"/>
        <v>X</v>
      </c>
      <c r="DE26" s="48">
        <f t="shared" si="7"/>
        <v>0</v>
      </c>
      <c r="DF26" s="48">
        <f t="shared" si="7"/>
        <v>0</v>
      </c>
      <c r="DG26" s="48">
        <f t="shared" si="7"/>
        <v>0</v>
      </c>
      <c r="DH26" s="48">
        <f t="shared" si="7"/>
        <v>0</v>
      </c>
      <c r="DI26" s="48">
        <f t="shared" si="7"/>
        <v>0</v>
      </c>
      <c r="DJ26" s="48">
        <f t="shared" si="7"/>
        <v>0</v>
      </c>
      <c r="DK26" s="48">
        <f t="shared" si="7"/>
        <v>0</v>
      </c>
      <c r="DL26" s="48">
        <f>IF(COUNTIF($C26:$CB26,#REF!)&gt;1,"X",0)</f>
        <v>0</v>
      </c>
      <c r="DM26" s="48">
        <f>IF(COUNTIF($C26:$CB26,#REF!)&gt;1,"X",0)</f>
        <v>0</v>
      </c>
      <c r="DN26" s="48">
        <f>IF(COUNTIF($C26:$CB26,#REF!)&gt;1,"X",0)</f>
        <v>0</v>
      </c>
      <c r="DO26" s="48">
        <f>IF(COUNTIF($C26:$CB26,#REF!)&gt;1,"X",0)</f>
        <v>0</v>
      </c>
      <c r="DP26" s="48">
        <f>IF(COUNTIF($C26:$CB26,#REF!)&gt;1,"X",0)</f>
        <v>0</v>
      </c>
      <c r="DQ26" s="48">
        <f>IF(COUNTIF($C26:$CB26,#REF!)&gt;1,"X",0)</f>
        <v>0</v>
      </c>
      <c r="DR26" s="48">
        <f>IF(COUNTIF($C26:$CB26,#REF!)&gt;1,"X",0)</f>
        <v>0</v>
      </c>
      <c r="DS26" s="48">
        <f>IF(COUNTIF($C26:$CB26,#REF!)&gt;1,"X",0)</f>
        <v>0</v>
      </c>
      <c r="DT26" s="48">
        <f t="shared" si="15"/>
        <v>0</v>
      </c>
      <c r="DU26" s="48">
        <f t="shared" si="15"/>
        <v>0</v>
      </c>
      <c r="DV26" s="48">
        <f t="shared" si="15"/>
        <v>0</v>
      </c>
      <c r="DW26" s="48">
        <f t="shared" si="15"/>
        <v>0</v>
      </c>
      <c r="DX26" s="48">
        <f t="shared" si="15"/>
        <v>0</v>
      </c>
      <c r="DY26" s="48">
        <f t="shared" si="15"/>
        <v>0</v>
      </c>
      <c r="DZ26" s="48">
        <f t="shared" si="15"/>
        <v>0</v>
      </c>
      <c r="EA26" s="48">
        <f t="shared" si="15"/>
        <v>0</v>
      </c>
      <c r="EB26" s="48">
        <f t="shared" si="15"/>
        <v>0</v>
      </c>
      <c r="EC26" s="48">
        <f t="shared" si="15"/>
        <v>0</v>
      </c>
      <c r="ED26" s="48">
        <f t="shared" si="15"/>
        <v>0</v>
      </c>
      <c r="EE26" s="48">
        <f t="shared" si="15"/>
        <v>0</v>
      </c>
      <c r="EF26" s="48">
        <f t="shared" si="15"/>
        <v>0</v>
      </c>
      <c r="EG26" s="48">
        <f t="shared" si="15"/>
        <v>0</v>
      </c>
      <c r="EH26" s="48">
        <f t="shared" si="15"/>
        <v>0</v>
      </c>
      <c r="EI26" s="48">
        <f t="shared" si="14"/>
        <v>0</v>
      </c>
      <c r="EJ26" s="48">
        <f t="shared" si="9"/>
        <v>0</v>
      </c>
      <c r="EK26" s="48">
        <f t="shared" si="9"/>
        <v>0</v>
      </c>
      <c r="EL26" s="48">
        <f t="shared" si="9"/>
        <v>0</v>
      </c>
      <c r="EM26" s="48">
        <f t="shared" si="9"/>
        <v>0</v>
      </c>
    </row>
    <row r="27" spans="1:143" ht="15.75" customHeight="1" x14ac:dyDescent="0.2">
      <c r="A27" s="61"/>
      <c r="B27" s="75">
        <f>IF(CD27&gt;0,0,4)</f>
        <v>0</v>
      </c>
      <c r="C27" s="66" t="s">
        <v>214</v>
      </c>
      <c r="D27" s="66" t="s">
        <v>212</v>
      </c>
      <c r="E27" s="66" t="s">
        <v>218</v>
      </c>
      <c r="F27" s="66" t="s">
        <v>143</v>
      </c>
      <c r="G27" s="66" t="s">
        <v>210</v>
      </c>
      <c r="H27" s="66"/>
      <c r="I27" s="66"/>
      <c r="J27" s="66"/>
      <c r="K27" s="66"/>
      <c r="L27" s="66" t="s">
        <v>267</v>
      </c>
      <c r="M27" s="66" t="s">
        <v>210</v>
      </c>
      <c r="N27" s="66"/>
      <c r="O27" s="66"/>
      <c r="P27" s="66" t="s">
        <v>112</v>
      </c>
      <c r="Q27" s="66"/>
      <c r="R27" s="66"/>
      <c r="S27" s="66"/>
      <c r="T27" s="66"/>
      <c r="U27" s="66"/>
      <c r="V27" s="66" t="s">
        <v>276</v>
      </c>
      <c r="W27" s="66"/>
      <c r="X27" s="66"/>
      <c r="Y27" s="66" t="s">
        <v>115</v>
      </c>
      <c r="Z27" s="66" t="s">
        <v>206</v>
      </c>
      <c r="AA27" s="66" t="s">
        <v>182</v>
      </c>
      <c r="AB27" s="66" t="s">
        <v>180</v>
      </c>
      <c r="AC27" s="66" t="s">
        <v>262</v>
      </c>
      <c r="AD27" s="66"/>
      <c r="AE27" s="66" t="s">
        <v>205</v>
      </c>
      <c r="AF27" s="66" t="s">
        <v>176</v>
      </c>
      <c r="AG27" s="66" t="s">
        <v>165</v>
      </c>
      <c r="AH27" s="66"/>
      <c r="AI27" s="66" t="s">
        <v>70</v>
      </c>
      <c r="AJ27" s="66" t="s">
        <v>273</v>
      </c>
      <c r="AK27" s="66"/>
      <c r="AL27" s="66" t="s">
        <v>272</v>
      </c>
      <c r="AM27" s="66" t="s">
        <v>277</v>
      </c>
      <c r="AN27" s="66"/>
      <c r="AO27" s="66"/>
      <c r="AP27" s="66"/>
      <c r="AQ27" s="66"/>
      <c r="AR27" s="66"/>
      <c r="AS27" s="66" t="s">
        <v>125</v>
      </c>
      <c r="AT27" s="66"/>
      <c r="AU27" s="66"/>
      <c r="AV27" s="66"/>
      <c r="AW27" s="66" t="s">
        <v>271</v>
      </c>
      <c r="AX27" s="66"/>
      <c r="AY27" s="66"/>
      <c r="AZ27" s="66" t="s">
        <v>144</v>
      </c>
      <c r="BA27" s="66"/>
      <c r="BB27" s="66" t="s">
        <v>265</v>
      </c>
      <c r="BC27" s="66" t="s">
        <v>261</v>
      </c>
      <c r="BD27" s="66" t="s">
        <v>261</v>
      </c>
      <c r="BE27" s="66" t="s">
        <v>262</v>
      </c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D27" s="48">
        <f t="shared" si="4"/>
        <v>4</v>
      </c>
      <c r="CE27" s="48">
        <f t="shared" si="13"/>
        <v>0</v>
      </c>
      <c r="CF27" s="48">
        <f t="shared" si="13"/>
        <v>0</v>
      </c>
      <c r="CG27" s="48">
        <f t="shared" si="13"/>
        <v>0</v>
      </c>
      <c r="CH27" s="48">
        <f t="shared" si="13"/>
        <v>0</v>
      </c>
      <c r="CI27" s="48" t="str">
        <f t="shared" si="13"/>
        <v>X</v>
      </c>
      <c r="CJ27" s="48">
        <f t="shared" si="13"/>
        <v>0</v>
      </c>
      <c r="CK27" s="48">
        <f t="shared" si="13"/>
        <v>0</v>
      </c>
      <c r="CL27" s="48">
        <f t="shared" si="13"/>
        <v>0</v>
      </c>
      <c r="CM27" s="48">
        <f t="shared" si="13"/>
        <v>0</v>
      </c>
      <c r="CN27" s="48">
        <f t="shared" si="13"/>
        <v>0</v>
      </c>
      <c r="CO27" s="48" t="str">
        <f t="shared" si="13"/>
        <v>X</v>
      </c>
      <c r="CP27" s="48">
        <f t="shared" si="13"/>
        <v>0</v>
      </c>
      <c r="CQ27" s="48">
        <f t="shared" si="13"/>
        <v>0</v>
      </c>
      <c r="CR27" s="48">
        <f t="shared" si="13"/>
        <v>0</v>
      </c>
      <c r="CS27" s="48">
        <f t="shared" si="13"/>
        <v>0</v>
      </c>
      <c r="CT27" s="48">
        <f t="shared" si="12"/>
        <v>0</v>
      </c>
      <c r="CU27" s="48">
        <f t="shared" si="6"/>
        <v>0</v>
      </c>
      <c r="CV27" s="48">
        <f t="shared" si="6"/>
        <v>0</v>
      </c>
      <c r="CW27" s="48">
        <f t="shared" si="6"/>
        <v>0</v>
      </c>
      <c r="CX27" s="48" t="str">
        <f t="shared" si="6"/>
        <v>X</v>
      </c>
      <c r="CY27" s="48">
        <f t="shared" si="6"/>
        <v>0</v>
      </c>
      <c r="CZ27" s="48">
        <f t="shared" si="10"/>
        <v>0</v>
      </c>
      <c r="DA27" s="48">
        <f t="shared" si="7"/>
        <v>0</v>
      </c>
      <c r="DB27" s="48">
        <f t="shared" si="7"/>
        <v>0</v>
      </c>
      <c r="DC27" s="48">
        <f t="shared" ref="DC27:DK56" si="16">IF(COUNTIF($C27:$CB27,AB27)&gt;1,"X",0)</f>
        <v>0</v>
      </c>
      <c r="DD27" s="48" t="str">
        <f t="shared" si="16"/>
        <v>X</v>
      </c>
      <c r="DE27" s="48">
        <f t="shared" si="16"/>
        <v>0</v>
      </c>
      <c r="DF27" s="48">
        <f t="shared" si="16"/>
        <v>0</v>
      </c>
      <c r="DG27" s="48">
        <f t="shared" si="16"/>
        <v>0</v>
      </c>
      <c r="DH27" s="48">
        <f t="shared" si="16"/>
        <v>0</v>
      </c>
      <c r="DI27" s="48">
        <f t="shared" si="16"/>
        <v>0</v>
      </c>
      <c r="DJ27" s="48">
        <f t="shared" si="16"/>
        <v>0</v>
      </c>
      <c r="DK27" s="48">
        <f t="shared" si="16"/>
        <v>0</v>
      </c>
      <c r="DL27" s="48">
        <f>IF(COUNTIF($C27:$CB27,#REF!)&gt;1,"X",0)</f>
        <v>0</v>
      </c>
      <c r="DM27" s="48">
        <f>IF(COUNTIF($C27:$CB27,#REF!)&gt;1,"X",0)</f>
        <v>0</v>
      </c>
      <c r="DN27" s="48">
        <f>IF(COUNTIF($C27:$CB27,#REF!)&gt;1,"X",0)</f>
        <v>0</v>
      </c>
      <c r="DO27" s="48">
        <f>IF(COUNTIF($C27:$CB27,#REF!)&gt;1,"X",0)</f>
        <v>0</v>
      </c>
      <c r="DP27" s="48">
        <f>IF(COUNTIF($C27:$CB27,#REF!)&gt;1,"X",0)</f>
        <v>0</v>
      </c>
      <c r="DQ27" s="48">
        <f>IF(COUNTIF($C27:$CB27,#REF!)&gt;1,"X",0)</f>
        <v>0</v>
      </c>
      <c r="DR27" s="48">
        <f>IF(COUNTIF($C27:$CB27,#REF!)&gt;1,"X",0)</f>
        <v>0</v>
      </c>
      <c r="DS27" s="48">
        <f>IF(COUNTIF($C27:$CB27,#REF!)&gt;1,"X",0)</f>
        <v>0</v>
      </c>
      <c r="DT27" s="48">
        <f t="shared" si="15"/>
        <v>0</v>
      </c>
      <c r="DU27" s="48">
        <f t="shared" si="15"/>
        <v>0</v>
      </c>
      <c r="DV27" s="48">
        <f t="shared" si="15"/>
        <v>0</v>
      </c>
      <c r="DW27" s="48">
        <f t="shared" si="15"/>
        <v>0</v>
      </c>
      <c r="DX27" s="48">
        <f t="shared" si="15"/>
        <v>0</v>
      </c>
      <c r="DY27" s="48">
        <f t="shared" si="15"/>
        <v>0</v>
      </c>
      <c r="DZ27" s="48">
        <f t="shared" si="15"/>
        <v>0</v>
      </c>
      <c r="EA27" s="48">
        <f t="shared" si="15"/>
        <v>0</v>
      </c>
      <c r="EB27" s="48">
        <f t="shared" si="15"/>
        <v>0</v>
      </c>
      <c r="EC27" s="48">
        <f t="shared" si="15"/>
        <v>0</v>
      </c>
      <c r="ED27" s="48">
        <f t="shared" si="15"/>
        <v>0</v>
      </c>
      <c r="EE27" s="48">
        <f t="shared" si="15"/>
        <v>0</v>
      </c>
      <c r="EF27" s="48">
        <f t="shared" si="15"/>
        <v>0</v>
      </c>
      <c r="EG27" s="48">
        <f t="shared" si="15"/>
        <v>0</v>
      </c>
      <c r="EH27" s="48">
        <f t="shared" si="15"/>
        <v>0</v>
      </c>
      <c r="EI27" s="48">
        <f t="shared" si="14"/>
        <v>0</v>
      </c>
      <c r="EJ27" s="48">
        <f t="shared" si="9"/>
        <v>0</v>
      </c>
      <c r="EK27" s="48">
        <f t="shared" si="9"/>
        <v>0</v>
      </c>
      <c r="EL27" s="48">
        <f t="shared" si="9"/>
        <v>0</v>
      </c>
      <c r="EM27" s="48">
        <f t="shared" si="9"/>
        <v>0</v>
      </c>
    </row>
    <row r="28" spans="1:143" ht="15.75" customHeight="1" thickBot="1" x14ac:dyDescent="0.25">
      <c r="A28" s="67"/>
      <c r="B28" s="76">
        <f>IF(CD28&gt;0,0,5)</f>
        <v>5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6"/>
      <c r="AQ28" s="66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D28" s="48">
        <f t="shared" si="4"/>
        <v>0</v>
      </c>
      <c r="CE28" s="48">
        <f t="shared" si="13"/>
        <v>0</v>
      </c>
      <c r="CF28" s="48">
        <f t="shared" si="13"/>
        <v>0</v>
      </c>
      <c r="CG28" s="48">
        <f t="shared" si="13"/>
        <v>0</v>
      </c>
      <c r="CH28" s="48">
        <f t="shared" si="13"/>
        <v>0</v>
      </c>
      <c r="CI28" s="48">
        <f t="shared" si="13"/>
        <v>0</v>
      </c>
      <c r="CJ28" s="48">
        <f t="shared" si="13"/>
        <v>0</v>
      </c>
      <c r="CK28" s="48">
        <f t="shared" si="13"/>
        <v>0</v>
      </c>
      <c r="CL28" s="48">
        <f t="shared" si="13"/>
        <v>0</v>
      </c>
      <c r="CM28" s="48">
        <f t="shared" si="13"/>
        <v>0</v>
      </c>
      <c r="CN28" s="48">
        <f t="shared" si="13"/>
        <v>0</v>
      </c>
      <c r="CO28" s="48">
        <f t="shared" si="13"/>
        <v>0</v>
      </c>
      <c r="CP28" s="48">
        <f t="shared" si="13"/>
        <v>0</v>
      </c>
      <c r="CQ28" s="48">
        <f t="shared" si="13"/>
        <v>0</v>
      </c>
      <c r="CR28" s="48">
        <f t="shared" si="13"/>
        <v>0</v>
      </c>
      <c r="CS28" s="48">
        <f t="shared" si="13"/>
        <v>0</v>
      </c>
      <c r="CT28" s="48">
        <f t="shared" si="12"/>
        <v>0</v>
      </c>
      <c r="CU28" s="48">
        <f t="shared" si="6"/>
        <v>0</v>
      </c>
      <c r="CV28" s="48">
        <f t="shared" si="6"/>
        <v>0</v>
      </c>
      <c r="CW28" s="48">
        <f t="shared" si="6"/>
        <v>0</v>
      </c>
      <c r="CX28" s="48">
        <f t="shared" si="6"/>
        <v>0</v>
      </c>
      <c r="CY28" s="48">
        <f t="shared" si="6"/>
        <v>0</v>
      </c>
      <c r="CZ28" s="48">
        <f t="shared" si="10"/>
        <v>0</v>
      </c>
      <c r="DA28" s="48">
        <f t="shared" si="10"/>
        <v>0</v>
      </c>
      <c r="DB28" s="48">
        <f t="shared" si="10"/>
        <v>0</v>
      </c>
      <c r="DC28" s="48">
        <f t="shared" si="16"/>
        <v>0</v>
      </c>
      <c r="DD28" s="48">
        <f t="shared" si="16"/>
        <v>0</v>
      </c>
      <c r="DE28" s="48">
        <f t="shared" si="16"/>
        <v>0</v>
      </c>
      <c r="DF28" s="48">
        <f t="shared" si="16"/>
        <v>0</v>
      </c>
      <c r="DG28" s="48">
        <f t="shared" si="16"/>
        <v>0</v>
      </c>
      <c r="DH28" s="48">
        <f t="shared" si="16"/>
        <v>0</v>
      </c>
      <c r="DI28" s="48">
        <f t="shared" si="16"/>
        <v>0</v>
      </c>
      <c r="DJ28" s="48">
        <f t="shared" si="16"/>
        <v>0</v>
      </c>
      <c r="DK28" s="48">
        <f t="shared" si="16"/>
        <v>0</v>
      </c>
      <c r="DL28" s="48">
        <f>IF(COUNTIF($C28:$CB28,#REF!)&gt;1,"X",0)</f>
        <v>0</v>
      </c>
      <c r="DM28" s="48">
        <f>IF(COUNTIF($C28:$CB28,#REF!)&gt;1,"X",0)</f>
        <v>0</v>
      </c>
      <c r="DN28" s="48">
        <f>IF(COUNTIF($C28:$CB28,#REF!)&gt;1,"X",0)</f>
        <v>0</v>
      </c>
      <c r="DO28" s="48">
        <f>IF(COUNTIF($C28:$CB28,#REF!)&gt;1,"X",0)</f>
        <v>0</v>
      </c>
      <c r="DP28" s="48">
        <f>IF(COUNTIF($C28:$CB28,#REF!)&gt;1,"X",0)</f>
        <v>0</v>
      </c>
      <c r="DQ28" s="48">
        <f>IF(COUNTIF($C28:$CB28,#REF!)&gt;1,"X",0)</f>
        <v>0</v>
      </c>
      <c r="DR28" s="48">
        <f>IF(COUNTIF($C28:$CB28,#REF!)&gt;1,"X",0)</f>
        <v>0</v>
      </c>
      <c r="DS28" s="48">
        <f>IF(COUNTIF($C28:$CB28,#REF!)&gt;1,"X",0)</f>
        <v>0</v>
      </c>
      <c r="DT28" s="48">
        <f t="shared" si="15"/>
        <v>0</v>
      </c>
      <c r="DU28" s="48">
        <f t="shared" si="15"/>
        <v>0</v>
      </c>
      <c r="DV28" s="48">
        <f t="shared" si="15"/>
        <v>0</v>
      </c>
      <c r="DW28" s="48">
        <f t="shared" si="15"/>
        <v>0</v>
      </c>
      <c r="DX28" s="48">
        <f t="shared" si="15"/>
        <v>0</v>
      </c>
      <c r="DY28" s="48">
        <f t="shared" si="15"/>
        <v>0</v>
      </c>
      <c r="DZ28" s="48">
        <f t="shared" si="15"/>
        <v>0</v>
      </c>
      <c r="EA28" s="48">
        <f t="shared" si="15"/>
        <v>0</v>
      </c>
      <c r="EB28" s="48">
        <f t="shared" si="15"/>
        <v>0</v>
      </c>
      <c r="EC28" s="48">
        <f t="shared" si="15"/>
        <v>0</v>
      </c>
      <c r="ED28" s="48">
        <f t="shared" si="15"/>
        <v>0</v>
      </c>
      <c r="EE28" s="48">
        <f t="shared" si="15"/>
        <v>0</v>
      </c>
      <c r="EF28" s="48">
        <f t="shared" si="15"/>
        <v>0</v>
      </c>
      <c r="EG28" s="48">
        <f t="shared" si="15"/>
        <v>0</v>
      </c>
      <c r="EH28" s="48">
        <f t="shared" si="15"/>
        <v>0</v>
      </c>
      <c r="EI28" s="48">
        <f t="shared" si="14"/>
        <v>0</v>
      </c>
      <c r="EJ28" s="48">
        <f t="shared" si="9"/>
        <v>0</v>
      </c>
      <c r="EK28" s="48">
        <f t="shared" si="9"/>
        <v>0</v>
      </c>
      <c r="EL28" s="48">
        <f t="shared" si="9"/>
        <v>0</v>
      </c>
      <c r="EM28" s="48">
        <f t="shared" si="9"/>
        <v>0</v>
      </c>
    </row>
    <row r="29" spans="1:143" ht="15.75" customHeight="1" x14ac:dyDescent="0.2">
      <c r="A29" s="73" t="s">
        <v>231</v>
      </c>
      <c r="B29" s="74">
        <f>IF(CD29&gt;0,0,1)</f>
        <v>1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1"/>
      <c r="Y29" s="82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63"/>
      <c r="BY29" s="63"/>
      <c r="BZ29" s="63"/>
      <c r="CA29" s="63"/>
      <c r="CB29" s="63"/>
      <c r="CD29" s="48">
        <f t="shared" si="4"/>
        <v>0</v>
      </c>
      <c r="CE29" s="48">
        <f t="shared" si="13"/>
        <v>0</v>
      </c>
      <c r="CF29" s="48">
        <f t="shared" si="13"/>
        <v>0</v>
      </c>
      <c r="CG29" s="48">
        <f t="shared" si="13"/>
        <v>0</v>
      </c>
      <c r="CH29" s="48">
        <f t="shared" si="13"/>
        <v>0</v>
      </c>
      <c r="CI29" s="48">
        <f t="shared" si="13"/>
        <v>0</v>
      </c>
      <c r="CJ29" s="48">
        <f t="shared" si="13"/>
        <v>0</v>
      </c>
      <c r="CK29" s="48">
        <f t="shared" si="13"/>
        <v>0</v>
      </c>
      <c r="CL29" s="48">
        <f t="shared" si="13"/>
        <v>0</v>
      </c>
      <c r="CM29" s="48">
        <f t="shared" si="13"/>
        <v>0</v>
      </c>
      <c r="CN29" s="48">
        <f t="shared" si="13"/>
        <v>0</v>
      </c>
      <c r="CO29" s="48">
        <f t="shared" si="13"/>
        <v>0</v>
      </c>
      <c r="CP29" s="48">
        <f t="shared" si="13"/>
        <v>0</v>
      </c>
      <c r="CQ29" s="48">
        <f t="shared" si="13"/>
        <v>0</v>
      </c>
      <c r="CR29" s="48">
        <f t="shared" si="13"/>
        <v>0</v>
      </c>
      <c r="CS29" s="48">
        <f t="shared" si="13"/>
        <v>0</v>
      </c>
      <c r="CT29" s="48">
        <f t="shared" si="12"/>
        <v>0</v>
      </c>
      <c r="CU29" s="48">
        <f t="shared" si="6"/>
        <v>0</v>
      </c>
      <c r="CV29" s="48">
        <f t="shared" si="6"/>
        <v>0</v>
      </c>
      <c r="CW29" s="48">
        <f t="shared" si="6"/>
        <v>0</v>
      </c>
      <c r="CX29" s="48">
        <f t="shared" si="6"/>
        <v>0</v>
      </c>
      <c r="CY29" s="48">
        <f t="shared" si="6"/>
        <v>0</v>
      </c>
      <c r="CZ29" s="48">
        <f t="shared" si="10"/>
        <v>0</v>
      </c>
      <c r="DA29" s="48">
        <f t="shared" si="10"/>
        <v>0</v>
      </c>
      <c r="DB29" s="48">
        <f t="shared" si="10"/>
        <v>0</v>
      </c>
      <c r="DC29" s="48">
        <f t="shared" si="16"/>
        <v>0</v>
      </c>
      <c r="DD29" s="48">
        <f t="shared" si="16"/>
        <v>0</v>
      </c>
      <c r="DE29" s="48">
        <f t="shared" si="16"/>
        <v>0</v>
      </c>
      <c r="DF29" s="48">
        <f t="shared" si="16"/>
        <v>0</v>
      </c>
      <c r="DG29" s="48">
        <f t="shared" si="16"/>
        <v>0</v>
      </c>
      <c r="DH29" s="48">
        <f t="shared" si="16"/>
        <v>0</v>
      </c>
      <c r="DI29" s="48">
        <f t="shared" si="16"/>
        <v>0</v>
      </c>
      <c r="DJ29" s="48">
        <f t="shared" si="16"/>
        <v>0</v>
      </c>
      <c r="DK29" s="48">
        <f t="shared" si="16"/>
        <v>0</v>
      </c>
      <c r="DL29" s="48">
        <f>IF(COUNTIF($C29:$CB29,#REF!)&gt;1,"X",0)</f>
        <v>0</v>
      </c>
      <c r="DM29" s="48">
        <f>IF(COUNTIF($C29:$CB29,#REF!)&gt;1,"X",0)</f>
        <v>0</v>
      </c>
      <c r="DN29" s="48">
        <f>IF(COUNTIF($C29:$CB29,#REF!)&gt;1,"X",0)</f>
        <v>0</v>
      </c>
      <c r="DO29" s="48">
        <f>IF(COUNTIF($C29:$CB29,#REF!)&gt;1,"X",0)</f>
        <v>0</v>
      </c>
      <c r="DP29" s="48">
        <f>IF(COUNTIF($C29:$CB29,#REF!)&gt;1,"X",0)</f>
        <v>0</v>
      </c>
      <c r="DQ29" s="48">
        <f>IF(COUNTIF($C29:$CB29,#REF!)&gt;1,"X",0)</f>
        <v>0</v>
      </c>
      <c r="DR29" s="48">
        <f>IF(COUNTIF($C29:$CB29,#REF!)&gt;1,"X",0)</f>
        <v>0</v>
      </c>
      <c r="DS29" s="48">
        <f>IF(COUNTIF($C29:$CB29,#REF!)&gt;1,"X",0)</f>
        <v>0</v>
      </c>
      <c r="DT29" s="48">
        <f t="shared" si="15"/>
        <v>0</v>
      </c>
      <c r="DU29" s="48">
        <f t="shared" si="15"/>
        <v>0</v>
      </c>
      <c r="DV29" s="48">
        <f t="shared" si="15"/>
        <v>0</v>
      </c>
      <c r="DW29" s="48">
        <f t="shared" si="15"/>
        <v>0</v>
      </c>
      <c r="DX29" s="48">
        <f t="shared" si="15"/>
        <v>0</v>
      </c>
      <c r="DY29" s="48">
        <f t="shared" si="15"/>
        <v>0</v>
      </c>
      <c r="DZ29" s="48">
        <f t="shared" si="15"/>
        <v>0</v>
      </c>
      <c r="EA29" s="48">
        <f t="shared" si="15"/>
        <v>0</v>
      </c>
      <c r="EB29" s="48">
        <f t="shared" si="15"/>
        <v>0</v>
      </c>
      <c r="EC29" s="48">
        <f t="shared" si="15"/>
        <v>0</v>
      </c>
      <c r="ED29" s="48">
        <f t="shared" si="15"/>
        <v>0</v>
      </c>
      <c r="EE29" s="48">
        <f t="shared" si="15"/>
        <v>0</v>
      </c>
      <c r="EF29" s="48">
        <f t="shared" si="15"/>
        <v>0</v>
      </c>
      <c r="EG29" s="48">
        <f t="shared" si="15"/>
        <v>0</v>
      </c>
      <c r="EH29" s="48">
        <f t="shared" si="15"/>
        <v>0</v>
      </c>
      <c r="EI29" s="48">
        <f t="shared" si="14"/>
        <v>0</v>
      </c>
      <c r="EJ29" s="48">
        <f t="shared" si="9"/>
        <v>0</v>
      </c>
      <c r="EK29" s="48">
        <f t="shared" si="9"/>
        <v>0</v>
      </c>
      <c r="EL29" s="48">
        <f t="shared" si="9"/>
        <v>0</v>
      </c>
      <c r="EM29" s="48">
        <f t="shared" si="9"/>
        <v>0</v>
      </c>
    </row>
    <row r="30" spans="1:143" ht="15.75" customHeight="1" x14ac:dyDescent="0.2">
      <c r="A30" s="61" t="s">
        <v>193</v>
      </c>
      <c r="B30" s="75">
        <f>IF(CD30&gt;0,0,2)</f>
        <v>2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85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66"/>
      <c r="BY30" s="66"/>
      <c r="BZ30" s="66"/>
      <c r="CA30" s="66"/>
      <c r="CB30" s="66"/>
      <c r="CD30" s="48">
        <f t="shared" si="4"/>
        <v>0</v>
      </c>
      <c r="CE30" s="48">
        <f t="shared" si="13"/>
        <v>0</v>
      </c>
      <c r="CF30" s="48">
        <f t="shared" si="13"/>
        <v>0</v>
      </c>
      <c r="CG30" s="48">
        <f t="shared" si="13"/>
        <v>0</v>
      </c>
      <c r="CH30" s="48">
        <f t="shared" si="13"/>
        <v>0</v>
      </c>
      <c r="CI30" s="48">
        <f t="shared" si="13"/>
        <v>0</v>
      </c>
      <c r="CJ30" s="48">
        <f t="shared" si="13"/>
        <v>0</v>
      </c>
      <c r="CK30" s="48">
        <f t="shared" si="13"/>
        <v>0</v>
      </c>
      <c r="CL30" s="48">
        <f t="shared" si="13"/>
        <v>0</v>
      </c>
      <c r="CM30" s="48">
        <f t="shared" si="13"/>
        <v>0</v>
      </c>
      <c r="CN30" s="48">
        <f t="shared" si="13"/>
        <v>0</v>
      </c>
      <c r="CO30" s="48">
        <f t="shared" si="13"/>
        <v>0</v>
      </c>
      <c r="CP30" s="48">
        <f t="shared" si="13"/>
        <v>0</v>
      </c>
      <c r="CQ30" s="48">
        <f t="shared" si="13"/>
        <v>0</v>
      </c>
      <c r="CR30" s="48">
        <f t="shared" si="13"/>
        <v>0</v>
      </c>
      <c r="CS30" s="48">
        <f t="shared" si="13"/>
        <v>0</v>
      </c>
      <c r="CT30" s="48">
        <f t="shared" si="12"/>
        <v>0</v>
      </c>
      <c r="CU30" s="48">
        <f t="shared" si="6"/>
        <v>0</v>
      </c>
      <c r="CV30" s="48">
        <f t="shared" si="6"/>
        <v>0</v>
      </c>
      <c r="CW30" s="48">
        <f t="shared" si="6"/>
        <v>0</v>
      </c>
      <c r="CX30" s="48">
        <f t="shared" si="6"/>
        <v>0</v>
      </c>
      <c r="CY30" s="48">
        <f t="shared" si="6"/>
        <v>0</v>
      </c>
      <c r="CZ30" s="48">
        <f t="shared" si="10"/>
        <v>0</v>
      </c>
      <c r="DA30" s="48">
        <f t="shared" si="10"/>
        <v>0</v>
      </c>
      <c r="DB30" s="48">
        <f t="shared" si="10"/>
        <v>0</v>
      </c>
      <c r="DC30" s="48">
        <f t="shared" si="16"/>
        <v>0</v>
      </c>
      <c r="DD30" s="48">
        <f t="shared" si="16"/>
        <v>0</v>
      </c>
      <c r="DE30" s="48">
        <f t="shared" si="16"/>
        <v>0</v>
      </c>
      <c r="DF30" s="48">
        <f t="shared" si="16"/>
        <v>0</v>
      </c>
      <c r="DG30" s="48">
        <f t="shared" si="16"/>
        <v>0</v>
      </c>
      <c r="DH30" s="48">
        <f t="shared" si="16"/>
        <v>0</v>
      </c>
      <c r="DI30" s="48">
        <f t="shared" si="16"/>
        <v>0</v>
      </c>
      <c r="DJ30" s="48">
        <f t="shared" si="16"/>
        <v>0</v>
      </c>
      <c r="DK30" s="48">
        <f t="shared" si="16"/>
        <v>0</v>
      </c>
      <c r="DL30" s="48">
        <f>IF(COUNTIF($C30:$CB30,#REF!)&gt;1,"X",0)</f>
        <v>0</v>
      </c>
      <c r="DM30" s="48">
        <f>IF(COUNTIF($C30:$CB30,#REF!)&gt;1,"X",0)</f>
        <v>0</v>
      </c>
      <c r="DN30" s="48">
        <f>IF(COUNTIF($C30:$CB30,#REF!)&gt;1,"X",0)</f>
        <v>0</v>
      </c>
      <c r="DO30" s="48">
        <f>IF(COUNTIF($C30:$CB30,#REF!)&gt;1,"X",0)</f>
        <v>0</v>
      </c>
      <c r="DP30" s="48">
        <f>IF(COUNTIF($C30:$CB30,#REF!)&gt;1,"X",0)</f>
        <v>0</v>
      </c>
      <c r="DQ30" s="48">
        <f>IF(COUNTIF($C30:$CB30,#REF!)&gt;1,"X",0)</f>
        <v>0</v>
      </c>
      <c r="DR30" s="48">
        <f>IF(COUNTIF($C30:$CB30,#REF!)&gt;1,"X",0)</f>
        <v>0</v>
      </c>
      <c r="DS30" s="48">
        <f>IF(COUNTIF($C30:$CB30,#REF!)&gt;1,"X",0)</f>
        <v>0</v>
      </c>
      <c r="DT30" s="48">
        <f t="shared" si="15"/>
        <v>0</v>
      </c>
      <c r="DU30" s="48">
        <f t="shared" si="15"/>
        <v>0</v>
      </c>
      <c r="DV30" s="48">
        <f t="shared" si="15"/>
        <v>0</v>
      </c>
      <c r="DW30" s="48">
        <f t="shared" si="15"/>
        <v>0</v>
      </c>
      <c r="DX30" s="48">
        <f t="shared" si="15"/>
        <v>0</v>
      </c>
      <c r="DY30" s="48">
        <f t="shared" si="15"/>
        <v>0</v>
      </c>
      <c r="DZ30" s="48">
        <f t="shared" si="15"/>
        <v>0</v>
      </c>
      <c r="EA30" s="48">
        <f t="shared" si="15"/>
        <v>0</v>
      </c>
      <c r="EB30" s="48">
        <f t="shared" si="15"/>
        <v>0</v>
      </c>
      <c r="EC30" s="48">
        <f t="shared" si="15"/>
        <v>0</v>
      </c>
      <c r="ED30" s="48">
        <f t="shared" si="15"/>
        <v>0</v>
      </c>
      <c r="EE30" s="48">
        <f t="shared" si="15"/>
        <v>0</v>
      </c>
      <c r="EF30" s="48">
        <f t="shared" si="15"/>
        <v>0</v>
      </c>
      <c r="EG30" s="48">
        <f t="shared" si="15"/>
        <v>0</v>
      </c>
      <c r="EH30" s="48">
        <f t="shared" si="15"/>
        <v>0</v>
      </c>
      <c r="EI30" s="48">
        <f t="shared" si="14"/>
        <v>0</v>
      </c>
      <c r="EJ30" s="48">
        <f t="shared" si="9"/>
        <v>0</v>
      </c>
      <c r="EK30" s="48">
        <f t="shared" si="9"/>
        <v>0</v>
      </c>
      <c r="EL30" s="48">
        <f t="shared" si="9"/>
        <v>0</v>
      </c>
      <c r="EM30" s="48">
        <f t="shared" si="9"/>
        <v>0</v>
      </c>
    </row>
    <row r="31" spans="1:143" ht="15.75" customHeight="1" x14ac:dyDescent="0.2">
      <c r="A31" s="61" t="s">
        <v>233</v>
      </c>
      <c r="B31" s="75">
        <f>IF(CD31&gt;0,0,3)</f>
        <v>3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79"/>
      <c r="Y31" s="8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D31" s="48">
        <f t="shared" si="4"/>
        <v>0</v>
      </c>
      <c r="CE31" s="48">
        <f t="shared" si="13"/>
        <v>0</v>
      </c>
      <c r="CF31" s="48">
        <f t="shared" si="13"/>
        <v>0</v>
      </c>
      <c r="CG31" s="48">
        <f t="shared" si="13"/>
        <v>0</v>
      </c>
      <c r="CH31" s="48">
        <f t="shared" si="13"/>
        <v>0</v>
      </c>
      <c r="CI31" s="48">
        <f t="shared" si="13"/>
        <v>0</v>
      </c>
      <c r="CJ31" s="48">
        <f t="shared" si="13"/>
        <v>0</v>
      </c>
      <c r="CK31" s="48">
        <f t="shared" si="13"/>
        <v>0</v>
      </c>
      <c r="CL31" s="48">
        <f t="shared" si="13"/>
        <v>0</v>
      </c>
      <c r="CM31" s="48">
        <f t="shared" si="13"/>
        <v>0</v>
      </c>
      <c r="CN31" s="48">
        <f t="shared" si="13"/>
        <v>0</v>
      </c>
      <c r="CO31" s="48">
        <f t="shared" si="13"/>
        <v>0</v>
      </c>
      <c r="CP31" s="48">
        <f t="shared" si="13"/>
        <v>0</v>
      </c>
      <c r="CQ31" s="48">
        <f t="shared" si="13"/>
        <v>0</v>
      </c>
      <c r="CR31" s="48">
        <f t="shared" si="13"/>
        <v>0</v>
      </c>
      <c r="CS31" s="48">
        <f t="shared" si="13"/>
        <v>0</v>
      </c>
      <c r="CT31" s="48">
        <f t="shared" si="12"/>
        <v>0</v>
      </c>
      <c r="CU31" s="48">
        <f t="shared" si="6"/>
        <v>0</v>
      </c>
      <c r="CV31" s="48">
        <f t="shared" si="6"/>
        <v>0</v>
      </c>
      <c r="CW31" s="48">
        <f t="shared" si="6"/>
        <v>0</v>
      </c>
      <c r="CX31" s="48">
        <f t="shared" si="6"/>
        <v>0</v>
      </c>
      <c r="CY31" s="48">
        <f t="shared" si="6"/>
        <v>0</v>
      </c>
      <c r="CZ31" s="48">
        <f t="shared" si="10"/>
        <v>0</v>
      </c>
      <c r="DA31" s="48">
        <f t="shared" si="10"/>
        <v>0</v>
      </c>
      <c r="DB31" s="48">
        <f t="shared" si="10"/>
        <v>0</v>
      </c>
      <c r="DC31" s="48">
        <f t="shared" si="16"/>
        <v>0</v>
      </c>
      <c r="DD31" s="48">
        <f t="shared" si="16"/>
        <v>0</v>
      </c>
      <c r="DE31" s="48">
        <f t="shared" si="16"/>
        <v>0</v>
      </c>
      <c r="DF31" s="48">
        <f t="shared" si="16"/>
        <v>0</v>
      </c>
      <c r="DG31" s="48">
        <f t="shared" si="16"/>
        <v>0</v>
      </c>
      <c r="DH31" s="48">
        <f t="shared" si="16"/>
        <v>0</v>
      </c>
      <c r="DI31" s="48">
        <f t="shared" si="16"/>
        <v>0</v>
      </c>
      <c r="DJ31" s="48">
        <f t="shared" si="16"/>
        <v>0</v>
      </c>
      <c r="DK31" s="48">
        <f t="shared" si="16"/>
        <v>0</v>
      </c>
      <c r="DL31" s="48">
        <f>IF(COUNTIF($C31:$CB31,#REF!)&gt;1,"X",0)</f>
        <v>0</v>
      </c>
      <c r="DM31" s="48">
        <f>IF(COUNTIF($C31:$CB31,#REF!)&gt;1,"X",0)</f>
        <v>0</v>
      </c>
      <c r="DN31" s="48">
        <f>IF(COUNTIF($C31:$CB31,#REF!)&gt;1,"X",0)</f>
        <v>0</v>
      </c>
      <c r="DO31" s="48">
        <f>IF(COUNTIF($C31:$CB31,#REF!)&gt;1,"X",0)</f>
        <v>0</v>
      </c>
      <c r="DP31" s="48">
        <f>IF(COUNTIF($C31:$CB31,#REF!)&gt;1,"X",0)</f>
        <v>0</v>
      </c>
      <c r="DQ31" s="48">
        <f>IF(COUNTIF($C31:$CB31,#REF!)&gt;1,"X",0)</f>
        <v>0</v>
      </c>
      <c r="DR31" s="48">
        <f>IF(COUNTIF($C31:$CB31,#REF!)&gt;1,"X",0)</f>
        <v>0</v>
      </c>
      <c r="DS31" s="48">
        <f>IF(COUNTIF($C31:$CB31,#REF!)&gt;1,"X",0)</f>
        <v>0</v>
      </c>
      <c r="DT31" s="48">
        <f t="shared" si="15"/>
        <v>0</v>
      </c>
      <c r="DU31" s="48">
        <f t="shared" si="15"/>
        <v>0</v>
      </c>
      <c r="DV31" s="48">
        <f t="shared" si="15"/>
        <v>0</v>
      </c>
      <c r="DW31" s="48">
        <f t="shared" si="15"/>
        <v>0</v>
      </c>
      <c r="DX31" s="48">
        <f t="shared" si="15"/>
        <v>0</v>
      </c>
      <c r="DY31" s="48">
        <f t="shared" si="15"/>
        <v>0</v>
      </c>
      <c r="DZ31" s="48">
        <f t="shared" si="15"/>
        <v>0</v>
      </c>
      <c r="EA31" s="48">
        <f t="shared" si="15"/>
        <v>0</v>
      </c>
      <c r="EB31" s="48">
        <f t="shared" si="15"/>
        <v>0</v>
      </c>
      <c r="EC31" s="48">
        <f t="shared" si="15"/>
        <v>0</v>
      </c>
      <c r="ED31" s="48">
        <f t="shared" si="15"/>
        <v>0</v>
      </c>
      <c r="EE31" s="48">
        <f t="shared" si="15"/>
        <v>0</v>
      </c>
      <c r="EF31" s="48">
        <f t="shared" si="15"/>
        <v>0</v>
      </c>
      <c r="EG31" s="48">
        <f t="shared" si="15"/>
        <v>0</v>
      </c>
      <c r="EH31" s="48">
        <f t="shared" si="15"/>
        <v>0</v>
      </c>
      <c r="EI31" s="48">
        <f t="shared" si="14"/>
        <v>0</v>
      </c>
      <c r="EJ31" s="48">
        <f t="shared" si="9"/>
        <v>0</v>
      </c>
      <c r="EK31" s="48">
        <f t="shared" si="9"/>
        <v>0</v>
      </c>
      <c r="EL31" s="48">
        <f t="shared" si="9"/>
        <v>0</v>
      </c>
      <c r="EM31" s="48">
        <f t="shared" si="9"/>
        <v>0</v>
      </c>
    </row>
    <row r="32" spans="1:143" ht="15.75" customHeight="1" x14ac:dyDescent="0.2">
      <c r="A32" s="61"/>
      <c r="B32" s="75">
        <f>IF(CD32&gt;0,0,4)</f>
        <v>4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79"/>
      <c r="Y32" s="8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D32" s="48">
        <f t="shared" si="4"/>
        <v>0</v>
      </c>
      <c r="CE32" s="48">
        <f t="shared" si="13"/>
        <v>0</v>
      </c>
      <c r="CF32" s="48">
        <f t="shared" si="13"/>
        <v>0</v>
      </c>
      <c r="CG32" s="48">
        <f t="shared" si="13"/>
        <v>0</v>
      </c>
      <c r="CH32" s="48">
        <f t="shared" si="13"/>
        <v>0</v>
      </c>
      <c r="CI32" s="48">
        <f t="shared" si="13"/>
        <v>0</v>
      </c>
      <c r="CJ32" s="48">
        <f t="shared" si="13"/>
        <v>0</v>
      </c>
      <c r="CK32" s="48">
        <f t="shared" si="13"/>
        <v>0</v>
      </c>
      <c r="CL32" s="48">
        <f t="shared" si="13"/>
        <v>0</v>
      </c>
      <c r="CM32" s="48">
        <f t="shared" si="13"/>
        <v>0</v>
      </c>
      <c r="CN32" s="48">
        <f t="shared" si="13"/>
        <v>0</v>
      </c>
      <c r="CO32" s="48">
        <f t="shared" si="13"/>
        <v>0</v>
      </c>
      <c r="CP32" s="48">
        <f t="shared" si="13"/>
        <v>0</v>
      </c>
      <c r="CQ32" s="48">
        <f t="shared" si="13"/>
        <v>0</v>
      </c>
      <c r="CR32" s="48">
        <f t="shared" si="13"/>
        <v>0</v>
      </c>
      <c r="CS32" s="48">
        <f t="shared" si="13"/>
        <v>0</v>
      </c>
      <c r="CT32" s="48">
        <f t="shared" si="12"/>
        <v>0</v>
      </c>
      <c r="CU32" s="48">
        <f t="shared" si="6"/>
        <v>0</v>
      </c>
      <c r="CV32" s="48">
        <f t="shared" si="6"/>
        <v>0</v>
      </c>
      <c r="CW32" s="48">
        <f t="shared" si="6"/>
        <v>0</v>
      </c>
      <c r="CX32" s="48">
        <f t="shared" si="6"/>
        <v>0</v>
      </c>
      <c r="CY32" s="48">
        <f t="shared" si="6"/>
        <v>0</v>
      </c>
      <c r="CZ32" s="48">
        <f t="shared" si="10"/>
        <v>0</v>
      </c>
      <c r="DA32" s="48">
        <f t="shared" si="10"/>
        <v>0</v>
      </c>
      <c r="DB32" s="48">
        <f t="shared" si="10"/>
        <v>0</v>
      </c>
      <c r="DC32" s="48">
        <f t="shared" si="16"/>
        <v>0</v>
      </c>
      <c r="DD32" s="48">
        <f t="shared" si="16"/>
        <v>0</v>
      </c>
      <c r="DE32" s="48">
        <f t="shared" si="16"/>
        <v>0</v>
      </c>
      <c r="DF32" s="48">
        <f t="shared" si="16"/>
        <v>0</v>
      </c>
      <c r="DG32" s="48">
        <f t="shared" si="16"/>
        <v>0</v>
      </c>
      <c r="DH32" s="48">
        <f t="shared" si="16"/>
        <v>0</v>
      </c>
      <c r="DI32" s="48">
        <f t="shared" si="16"/>
        <v>0</v>
      </c>
      <c r="DJ32" s="48">
        <f t="shared" si="16"/>
        <v>0</v>
      </c>
      <c r="DK32" s="48">
        <f t="shared" si="16"/>
        <v>0</v>
      </c>
      <c r="DL32" s="48">
        <f>IF(COUNTIF($C32:$CB32,#REF!)&gt;1,"X",0)</f>
        <v>0</v>
      </c>
      <c r="DM32" s="48">
        <f>IF(COUNTIF($C32:$CB32,#REF!)&gt;1,"X",0)</f>
        <v>0</v>
      </c>
      <c r="DN32" s="48">
        <f>IF(COUNTIF($C32:$CB32,#REF!)&gt;1,"X",0)</f>
        <v>0</v>
      </c>
      <c r="DO32" s="48">
        <f>IF(COUNTIF($C32:$CB32,#REF!)&gt;1,"X",0)</f>
        <v>0</v>
      </c>
      <c r="DP32" s="48">
        <f>IF(COUNTIF($C32:$CB32,#REF!)&gt;1,"X",0)</f>
        <v>0</v>
      </c>
      <c r="DQ32" s="48">
        <f>IF(COUNTIF($C32:$CB32,#REF!)&gt;1,"X",0)</f>
        <v>0</v>
      </c>
      <c r="DR32" s="48">
        <f>IF(COUNTIF($C32:$CB32,#REF!)&gt;1,"X",0)</f>
        <v>0</v>
      </c>
      <c r="DS32" s="48">
        <f>IF(COUNTIF($C32:$CB32,#REF!)&gt;1,"X",0)</f>
        <v>0</v>
      </c>
      <c r="DT32" s="48">
        <f t="shared" si="15"/>
        <v>0</v>
      </c>
      <c r="DU32" s="48">
        <f t="shared" si="15"/>
        <v>0</v>
      </c>
      <c r="DV32" s="48">
        <f t="shared" si="15"/>
        <v>0</v>
      </c>
      <c r="DW32" s="48">
        <f t="shared" si="15"/>
        <v>0</v>
      </c>
      <c r="DX32" s="48">
        <f t="shared" si="15"/>
        <v>0</v>
      </c>
      <c r="DY32" s="48">
        <f t="shared" si="15"/>
        <v>0</v>
      </c>
      <c r="DZ32" s="48">
        <f t="shared" si="15"/>
        <v>0</v>
      </c>
      <c r="EA32" s="48">
        <f t="shared" si="15"/>
        <v>0</v>
      </c>
      <c r="EB32" s="48">
        <f t="shared" si="15"/>
        <v>0</v>
      </c>
      <c r="EC32" s="48">
        <f t="shared" si="15"/>
        <v>0</v>
      </c>
      <c r="ED32" s="48">
        <f t="shared" si="15"/>
        <v>0</v>
      </c>
      <c r="EE32" s="48">
        <f t="shared" si="15"/>
        <v>0</v>
      </c>
      <c r="EF32" s="48">
        <f t="shared" si="15"/>
        <v>0</v>
      </c>
      <c r="EG32" s="48">
        <f t="shared" si="15"/>
        <v>0</v>
      </c>
      <c r="EH32" s="48">
        <f t="shared" si="15"/>
        <v>0</v>
      </c>
      <c r="EI32" s="48">
        <f t="shared" si="14"/>
        <v>0</v>
      </c>
      <c r="EJ32" s="48">
        <f t="shared" si="9"/>
        <v>0</v>
      </c>
      <c r="EK32" s="48">
        <f t="shared" si="9"/>
        <v>0</v>
      </c>
      <c r="EL32" s="48">
        <f t="shared" si="9"/>
        <v>0</v>
      </c>
      <c r="EM32" s="48">
        <f t="shared" si="9"/>
        <v>0</v>
      </c>
    </row>
    <row r="33" spans="1:143" ht="15.75" customHeight="1" thickBot="1" x14ac:dyDescent="0.25">
      <c r="A33" s="67"/>
      <c r="B33" s="76">
        <f>IF(CD33&gt;0,0,5)</f>
        <v>5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8"/>
      <c r="Y33" s="87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D33" s="48">
        <f t="shared" si="4"/>
        <v>0</v>
      </c>
      <c r="CE33" s="48">
        <f t="shared" si="13"/>
        <v>0</v>
      </c>
      <c r="CF33" s="48">
        <f t="shared" si="13"/>
        <v>0</v>
      </c>
      <c r="CG33" s="48">
        <f t="shared" si="13"/>
        <v>0</v>
      </c>
      <c r="CH33" s="48">
        <f t="shared" si="13"/>
        <v>0</v>
      </c>
      <c r="CI33" s="48">
        <f t="shared" si="13"/>
        <v>0</v>
      </c>
      <c r="CJ33" s="48">
        <f t="shared" si="13"/>
        <v>0</v>
      </c>
      <c r="CK33" s="48">
        <f t="shared" si="13"/>
        <v>0</v>
      </c>
      <c r="CL33" s="48">
        <f t="shared" si="13"/>
        <v>0</v>
      </c>
      <c r="CM33" s="48">
        <f t="shared" si="13"/>
        <v>0</v>
      </c>
      <c r="CN33" s="48">
        <f t="shared" si="13"/>
        <v>0</v>
      </c>
      <c r="CO33" s="48">
        <f t="shared" si="13"/>
        <v>0</v>
      </c>
      <c r="CP33" s="48">
        <f t="shared" si="13"/>
        <v>0</v>
      </c>
      <c r="CQ33" s="48">
        <f t="shared" si="13"/>
        <v>0</v>
      </c>
      <c r="CR33" s="48">
        <f t="shared" si="13"/>
        <v>0</v>
      </c>
      <c r="CS33" s="48">
        <f t="shared" si="13"/>
        <v>0</v>
      </c>
      <c r="CT33" s="48">
        <f t="shared" si="12"/>
        <v>0</v>
      </c>
      <c r="CU33" s="48">
        <f t="shared" si="6"/>
        <v>0</v>
      </c>
      <c r="CV33" s="48">
        <f t="shared" si="6"/>
        <v>0</v>
      </c>
      <c r="CW33" s="48">
        <f t="shared" si="6"/>
        <v>0</v>
      </c>
      <c r="CX33" s="48">
        <f t="shared" si="6"/>
        <v>0</v>
      </c>
      <c r="CY33" s="48">
        <f t="shared" si="6"/>
        <v>0</v>
      </c>
      <c r="CZ33" s="48">
        <f t="shared" si="10"/>
        <v>0</v>
      </c>
      <c r="DA33" s="48">
        <f t="shared" si="10"/>
        <v>0</v>
      </c>
      <c r="DB33" s="48">
        <f t="shared" si="10"/>
        <v>0</v>
      </c>
      <c r="DC33" s="48">
        <f t="shared" si="16"/>
        <v>0</v>
      </c>
      <c r="DD33" s="48">
        <f t="shared" si="16"/>
        <v>0</v>
      </c>
      <c r="DE33" s="48">
        <f t="shared" si="16"/>
        <v>0</v>
      </c>
      <c r="DF33" s="48">
        <f t="shared" si="16"/>
        <v>0</v>
      </c>
      <c r="DG33" s="48">
        <f t="shared" si="16"/>
        <v>0</v>
      </c>
      <c r="DH33" s="48">
        <f t="shared" si="16"/>
        <v>0</v>
      </c>
      <c r="DI33" s="48">
        <f t="shared" si="16"/>
        <v>0</v>
      </c>
      <c r="DJ33" s="48">
        <f t="shared" si="16"/>
        <v>0</v>
      </c>
      <c r="DK33" s="48">
        <f t="shared" si="16"/>
        <v>0</v>
      </c>
      <c r="DL33" s="48">
        <f>IF(COUNTIF($C33:$CB33,#REF!)&gt;1,"X",0)</f>
        <v>0</v>
      </c>
      <c r="DM33" s="48">
        <f>IF(COUNTIF($C33:$CB33,#REF!)&gt;1,"X",0)</f>
        <v>0</v>
      </c>
      <c r="DN33" s="48">
        <f>IF(COUNTIF($C33:$CB33,#REF!)&gt;1,"X",0)</f>
        <v>0</v>
      </c>
      <c r="DO33" s="48">
        <f>IF(COUNTIF($C33:$CB33,#REF!)&gt;1,"X",0)</f>
        <v>0</v>
      </c>
      <c r="DP33" s="48">
        <f>IF(COUNTIF($C33:$CB33,#REF!)&gt;1,"X",0)</f>
        <v>0</v>
      </c>
      <c r="DQ33" s="48">
        <f>IF(COUNTIF($C33:$CB33,#REF!)&gt;1,"X",0)</f>
        <v>0</v>
      </c>
      <c r="DR33" s="48">
        <f>IF(COUNTIF($C33:$CB33,#REF!)&gt;1,"X",0)</f>
        <v>0</v>
      </c>
      <c r="DS33" s="48">
        <f>IF(COUNTIF($C33:$CB33,#REF!)&gt;1,"X",0)</f>
        <v>0</v>
      </c>
      <c r="DT33" s="48">
        <f t="shared" si="15"/>
        <v>0</v>
      </c>
      <c r="DU33" s="48">
        <f t="shared" si="15"/>
        <v>0</v>
      </c>
      <c r="DV33" s="48">
        <f t="shared" si="15"/>
        <v>0</v>
      </c>
      <c r="DW33" s="48">
        <f t="shared" si="15"/>
        <v>0</v>
      </c>
      <c r="DX33" s="48">
        <f t="shared" si="15"/>
        <v>0</v>
      </c>
      <c r="DY33" s="48">
        <f t="shared" si="15"/>
        <v>0</v>
      </c>
      <c r="DZ33" s="48">
        <f t="shared" si="15"/>
        <v>0</v>
      </c>
      <c r="EA33" s="48">
        <f t="shared" si="15"/>
        <v>0</v>
      </c>
      <c r="EB33" s="48">
        <f t="shared" si="15"/>
        <v>0</v>
      </c>
      <c r="EC33" s="48">
        <f t="shared" si="15"/>
        <v>0</v>
      </c>
      <c r="ED33" s="48">
        <f t="shared" si="15"/>
        <v>0</v>
      </c>
      <c r="EE33" s="48">
        <f t="shared" si="15"/>
        <v>0</v>
      </c>
      <c r="EF33" s="48">
        <f t="shared" si="15"/>
        <v>0</v>
      </c>
      <c r="EG33" s="48">
        <f t="shared" si="15"/>
        <v>0</v>
      </c>
      <c r="EH33" s="48">
        <f t="shared" si="15"/>
        <v>0</v>
      </c>
      <c r="EI33" s="48">
        <f t="shared" si="14"/>
        <v>0</v>
      </c>
      <c r="EJ33" s="48">
        <f t="shared" si="9"/>
        <v>0</v>
      </c>
      <c r="EK33" s="48">
        <f t="shared" si="9"/>
        <v>0</v>
      </c>
      <c r="EL33" s="48">
        <f t="shared" si="9"/>
        <v>0</v>
      </c>
      <c r="EM33" s="48">
        <f t="shared" si="9"/>
        <v>0</v>
      </c>
    </row>
    <row r="34" spans="1:143" ht="15.75" customHeight="1" x14ac:dyDescent="0.2">
      <c r="Y34" s="88"/>
    </row>
    <row r="35" spans="1:143" ht="15.75" customHeight="1" x14ac:dyDescent="0.25">
      <c r="A35" s="89"/>
      <c r="B35" s="89"/>
      <c r="C35" s="47" t="str">
        <f>"THỜI KHÓA BIỂU ÁP DỤNG BUỔI CHIỀU TỪ "&amp;" "&amp;[1]DanhSach!$F$1</f>
        <v>THỜI KHÓA BIỂU ÁP DỤNG BUỔI CHIỀU TỪ  12-10-2026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</row>
    <row r="36" spans="1:143" ht="15.75" customHeight="1" x14ac:dyDescent="0.2">
      <c r="A36" s="89"/>
      <c r="B36" s="89"/>
      <c r="C36" s="89" t="s">
        <v>236</v>
      </c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Y36" s="48" t="s">
        <v>234</v>
      </c>
      <c r="AL36" s="90"/>
      <c r="AM36" s="90"/>
      <c r="AN36" s="90"/>
      <c r="AO36" s="90"/>
      <c r="AP36" s="91" t="s">
        <v>278</v>
      </c>
      <c r="AQ36" s="91" t="s">
        <v>279</v>
      </c>
      <c r="AR36" s="48" t="s">
        <v>235</v>
      </c>
    </row>
    <row r="37" spans="1:143" s="89" customFormat="1" ht="15.75" customHeight="1" thickBot="1" x14ac:dyDescent="0.25">
      <c r="A37" s="92" t="s">
        <v>1</v>
      </c>
      <c r="B37" s="93" t="s">
        <v>2</v>
      </c>
      <c r="C37" s="94" t="str">
        <f>C3</f>
        <v>10A1</v>
      </c>
      <c r="D37" s="94" t="str">
        <f t="shared" ref="D37:BY37" si="17">D3</f>
        <v>10A2</v>
      </c>
      <c r="E37" s="94" t="str">
        <f t="shared" si="17"/>
        <v>10A3</v>
      </c>
      <c r="F37" s="94" t="str">
        <f t="shared" si="17"/>
        <v>10A4</v>
      </c>
      <c r="G37" s="94" t="str">
        <f t="shared" si="17"/>
        <v>10A5</v>
      </c>
      <c r="H37" s="94" t="str">
        <f t="shared" si="17"/>
        <v>10A6</v>
      </c>
      <c r="I37" s="94" t="str">
        <f t="shared" si="17"/>
        <v>10A7</v>
      </c>
      <c r="J37" s="94" t="str">
        <f t="shared" si="17"/>
        <v>10A8</v>
      </c>
      <c r="K37" s="94" t="str">
        <f t="shared" si="17"/>
        <v>10A9</v>
      </c>
      <c r="L37" s="94" t="str">
        <f t="shared" si="17"/>
        <v>10A10</v>
      </c>
      <c r="M37" s="94" t="str">
        <f t="shared" si="17"/>
        <v>10A11</v>
      </c>
      <c r="N37" s="94" t="str">
        <f t="shared" si="17"/>
        <v>10A12</v>
      </c>
      <c r="O37" s="94" t="str">
        <f t="shared" si="17"/>
        <v>10A13</v>
      </c>
      <c r="P37" s="94" t="str">
        <f t="shared" si="17"/>
        <v>10A14</v>
      </c>
      <c r="Q37" s="94" t="str">
        <f t="shared" si="17"/>
        <v>10A15</v>
      </c>
      <c r="R37" s="94" t="str">
        <f t="shared" si="17"/>
        <v>10A16</v>
      </c>
      <c r="S37" s="94" t="str">
        <f t="shared" si="17"/>
        <v>10A17</v>
      </c>
      <c r="T37" s="94" t="str">
        <f t="shared" si="17"/>
        <v>10A18</v>
      </c>
      <c r="U37" s="94" t="str">
        <f t="shared" si="17"/>
        <v>10A19</v>
      </c>
      <c r="V37" s="94" t="str">
        <f t="shared" si="17"/>
        <v>10A20</v>
      </c>
      <c r="W37" s="94" t="str">
        <f t="shared" si="17"/>
        <v>10A21</v>
      </c>
      <c r="X37" s="94" t="str">
        <f t="shared" si="17"/>
        <v>10A22</v>
      </c>
      <c r="Y37" s="95" t="str">
        <f t="shared" si="17"/>
        <v>12A1</v>
      </c>
      <c r="Z37" s="95" t="str">
        <f t="shared" si="17"/>
        <v>12A2</v>
      </c>
      <c r="AA37" s="95" t="str">
        <f t="shared" si="17"/>
        <v>12A3</v>
      </c>
      <c r="AB37" s="95" t="str">
        <f t="shared" si="17"/>
        <v>12A4</v>
      </c>
      <c r="AC37" s="95" t="str">
        <f t="shared" si="17"/>
        <v>12A5</v>
      </c>
      <c r="AD37" s="95" t="str">
        <f t="shared" si="17"/>
        <v>12A6</v>
      </c>
      <c r="AE37" s="95" t="str">
        <f t="shared" si="17"/>
        <v>12A7</v>
      </c>
      <c r="AF37" s="95" t="str">
        <f t="shared" si="17"/>
        <v>12A8</v>
      </c>
      <c r="AG37" s="95" t="str">
        <f t="shared" si="17"/>
        <v>12A9</v>
      </c>
      <c r="AH37" s="95" t="str">
        <f t="shared" si="17"/>
        <v>12A10</v>
      </c>
      <c r="AI37" s="95" t="str">
        <f t="shared" si="17"/>
        <v>12A11</v>
      </c>
      <c r="AJ37" s="95" t="str">
        <f t="shared" si="17"/>
        <v>12A12</v>
      </c>
      <c r="AK37" s="95" t="str">
        <f t="shared" si="17"/>
        <v>12A13</v>
      </c>
      <c r="AL37" s="96" t="str">
        <f t="shared" si="17"/>
        <v>12A14</v>
      </c>
      <c r="AM37" s="95" t="str">
        <f t="shared" si="17"/>
        <v>12A15</v>
      </c>
      <c r="AN37" s="95" t="str">
        <f t="shared" si="17"/>
        <v>12A16</v>
      </c>
      <c r="AO37" s="95" t="str">
        <f t="shared" si="17"/>
        <v>12A17</v>
      </c>
      <c r="AP37" s="95" t="str">
        <f t="shared" si="17"/>
        <v>ĐỊA 1</v>
      </c>
      <c r="AQ37" s="96" t="str">
        <f t="shared" si="17"/>
        <v>KT_THI</v>
      </c>
      <c r="AR37" s="97" t="str">
        <f t="shared" si="17"/>
        <v>11A1</v>
      </c>
      <c r="AS37" s="97" t="str">
        <f t="shared" si="17"/>
        <v>11A2</v>
      </c>
      <c r="AT37" s="97" t="str">
        <f t="shared" si="17"/>
        <v>11A3</v>
      </c>
      <c r="AU37" s="97" t="str">
        <f t="shared" si="17"/>
        <v>11A4</v>
      </c>
      <c r="AV37" s="97" t="str">
        <f t="shared" si="17"/>
        <v>11A5</v>
      </c>
      <c r="AW37" s="97" t="str">
        <f t="shared" si="17"/>
        <v>11A6</v>
      </c>
      <c r="AX37" s="97" t="str">
        <f t="shared" si="17"/>
        <v>11A7</v>
      </c>
      <c r="AY37" s="97" t="str">
        <f t="shared" si="17"/>
        <v>11A8</v>
      </c>
      <c r="AZ37" s="97" t="str">
        <f t="shared" si="17"/>
        <v>11A9</v>
      </c>
      <c r="BA37" s="97" t="str">
        <f t="shared" si="17"/>
        <v>11A10</v>
      </c>
      <c r="BB37" s="97" t="str">
        <f t="shared" si="17"/>
        <v>11A11</v>
      </c>
      <c r="BC37" s="97" t="str">
        <f t="shared" si="17"/>
        <v>11A12</v>
      </c>
      <c r="BD37" s="97" t="str">
        <f t="shared" si="17"/>
        <v>11A13</v>
      </c>
      <c r="BE37" s="97" t="str">
        <f t="shared" si="17"/>
        <v>11A14</v>
      </c>
      <c r="BF37" s="98" t="str">
        <f t="shared" si="17"/>
        <v>11A15</v>
      </c>
      <c r="BG37" s="94" t="str">
        <f t="shared" si="17"/>
        <v>11A16</v>
      </c>
      <c r="BH37" s="94" t="str">
        <f t="shared" si="17"/>
        <v>11A17</v>
      </c>
      <c r="BI37" s="94" t="str">
        <f t="shared" si="17"/>
        <v>11A18</v>
      </c>
      <c r="BJ37" s="94" t="str">
        <f t="shared" si="17"/>
        <v>11A19</v>
      </c>
      <c r="BK37" s="94" t="str">
        <f t="shared" si="17"/>
        <v>7B</v>
      </c>
      <c r="BL37" s="94" t="str">
        <f t="shared" si="17"/>
        <v>8B</v>
      </c>
      <c r="BM37" s="94" t="str">
        <f t="shared" si="17"/>
        <v>5B</v>
      </c>
      <c r="BN37" s="94" t="str">
        <f t="shared" si="17"/>
        <v>6B</v>
      </c>
      <c r="BO37" s="94" t="str">
        <f t="shared" si="17"/>
        <v>10B</v>
      </c>
      <c r="BP37" s="94" t="str">
        <f t="shared" si="17"/>
        <v>1B</v>
      </c>
      <c r="BQ37" s="94" t="str">
        <f t="shared" si="17"/>
        <v>2B</v>
      </c>
      <c r="BR37" s="94" t="str">
        <f t="shared" si="17"/>
        <v>9B</v>
      </c>
      <c r="BS37" s="94" t="str">
        <f t="shared" si="17"/>
        <v>13B</v>
      </c>
      <c r="BT37" s="94" t="str">
        <f t="shared" si="17"/>
        <v>11B</v>
      </c>
      <c r="BU37" s="94" t="str">
        <f t="shared" si="17"/>
        <v>12B</v>
      </c>
      <c r="BV37" s="94" t="str">
        <f t="shared" si="17"/>
        <v>14B</v>
      </c>
      <c r="BW37" s="94" t="str">
        <f t="shared" si="17"/>
        <v>15B</v>
      </c>
      <c r="BX37" s="94" t="str">
        <f t="shared" si="17"/>
        <v>11A16</v>
      </c>
      <c r="BY37" s="94" t="str">
        <f t="shared" si="17"/>
        <v>11A17</v>
      </c>
      <c r="BZ37" s="94" t="str">
        <f>BZ3</f>
        <v>11A18</v>
      </c>
      <c r="CA37" s="94" t="str">
        <f>CA3</f>
        <v>11A19</v>
      </c>
      <c r="CB37" s="94" t="str">
        <f>CB3</f>
        <v>11A20</v>
      </c>
    </row>
    <row r="38" spans="1:143" s="89" customFormat="1" ht="15.75" customHeight="1" x14ac:dyDescent="0.2">
      <c r="A38" s="99" t="s">
        <v>59</v>
      </c>
      <c r="B38" s="100">
        <v>1</v>
      </c>
      <c r="C38" s="101" t="str">
        <f t="shared" ref="C38:X38" si="18">IF(C4="","",VLOOKUP(C4,DanhSach,4,FALSE))</f>
        <v>AVBN</v>
      </c>
      <c r="D38" s="101" t="str">
        <f t="shared" si="18"/>
        <v>HÙNG (QT)</v>
      </c>
      <c r="E38" s="101" t="str">
        <f t="shared" si="18"/>
        <v/>
      </c>
      <c r="F38" s="101" t="str">
        <f t="shared" si="18"/>
        <v/>
      </c>
      <c r="G38" s="101" t="str">
        <f t="shared" si="18"/>
        <v>HƯNG</v>
      </c>
      <c r="H38" s="101" t="str">
        <f t="shared" si="18"/>
        <v/>
      </c>
      <c r="I38" s="101" t="e">
        <f t="shared" si="18"/>
        <v>#N/A</v>
      </c>
      <c r="J38" s="101" t="str">
        <f t="shared" si="18"/>
        <v>MY</v>
      </c>
      <c r="K38" s="101" t="str">
        <f t="shared" si="18"/>
        <v>Vy</v>
      </c>
      <c r="L38" s="101" t="str">
        <f t="shared" si="18"/>
        <v/>
      </c>
      <c r="M38" s="101" t="e">
        <f t="shared" si="18"/>
        <v>#N/A</v>
      </c>
      <c r="N38" s="101" t="e">
        <f t="shared" si="18"/>
        <v>#N/A</v>
      </c>
      <c r="O38" s="101" t="str">
        <f t="shared" si="18"/>
        <v>Bao Phuong</v>
      </c>
      <c r="P38" s="101" t="str">
        <f t="shared" si="18"/>
        <v/>
      </c>
      <c r="Q38" s="101" t="str">
        <f t="shared" si="18"/>
        <v>LÀI</v>
      </c>
      <c r="R38" s="101" t="e">
        <f t="shared" si="18"/>
        <v>#N/A</v>
      </c>
      <c r="S38" s="101" t="str">
        <f t="shared" si="18"/>
        <v>H.GIANG</v>
      </c>
      <c r="T38" s="101" t="e">
        <f t="shared" ref="T38:W53" si="19">IF(T4="","",VLOOKUP(T4,DanhSach,4,FALSE))</f>
        <v>#N/A</v>
      </c>
      <c r="U38" s="101" t="str">
        <f t="shared" si="19"/>
        <v>THẢO (QP)</v>
      </c>
      <c r="V38" s="101" t="e">
        <f t="shared" si="19"/>
        <v>#N/A</v>
      </c>
      <c r="W38" s="101" t="str">
        <f t="shared" si="19"/>
        <v>HUYỀN</v>
      </c>
      <c r="X38" s="101" t="str">
        <f t="shared" si="18"/>
        <v/>
      </c>
      <c r="Y38" s="102" t="str">
        <f t="shared" ref="Y38:AL38" si="20">IF(Y4="","",VLOOKUP(Y4,DanhSach,4,FALSE))</f>
        <v>LUÂN</v>
      </c>
      <c r="Z38" s="102" t="str">
        <f t="shared" si="20"/>
        <v>Phú</v>
      </c>
      <c r="AA38" s="102" t="str">
        <f t="shared" si="20"/>
        <v>SƯƠNG</v>
      </c>
      <c r="AB38" s="102" t="str">
        <f t="shared" si="20"/>
        <v>TUỆ</v>
      </c>
      <c r="AC38" s="102" t="str">
        <f t="shared" si="20"/>
        <v>THU BA</v>
      </c>
      <c r="AD38" s="102" t="str">
        <f t="shared" si="20"/>
        <v>NGHĨA</v>
      </c>
      <c r="AE38" s="102" t="str">
        <f t="shared" si="20"/>
        <v>TRÍ</v>
      </c>
      <c r="AF38" s="102" t="str">
        <f t="shared" si="20"/>
        <v>THÊM</v>
      </c>
      <c r="AG38" s="102" t="str">
        <f t="shared" si="20"/>
        <v>NGÂN</v>
      </c>
      <c r="AH38" s="102" t="str">
        <f t="shared" si="20"/>
        <v>DUNG</v>
      </c>
      <c r="AI38" s="102" t="str">
        <f t="shared" si="20"/>
        <v>DŨNG</v>
      </c>
      <c r="AJ38" s="102" t="str">
        <f t="shared" si="20"/>
        <v>QUẢNG(T)</v>
      </c>
      <c r="AK38" s="102" t="str">
        <f t="shared" si="20"/>
        <v>HƯỜNG</v>
      </c>
      <c r="AL38" s="102" t="str">
        <f t="shared" si="20"/>
        <v/>
      </c>
      <c r="AM38" s="102" t="str">
        <f t="shared" ref="AM38:AQ47" si="21">IF(AM4="","",VLOOKUP(AM4,DanhSach,4,FALSE))</f>
        <v>THUỶ</v>
      </c>
      <c r="AN38" s="102" t="str">
        <f t="shared" si="21"/>
        <v/>
      </c>
      <c r="AO38" s="102" t="str">
        <f t="shared" si="21"/>
        <v/>
      </c>
      <c r="AP38" s="102" t="str">
        <f t="shared" si="21"/>
        <v/>
      </c>
      <c r="AQ38" s="102" t="str">
        <f t="shared" si="21"/>
        <v/>
      </c>
      <c r="AR38" s="102" t="str">
        <f t="shared" ref="AR38:BE38" si="22">IF(AR4="","",VLOOKUP(AR4,DanhSach,4,FALSE))</f>
        <v>MINH (H)</v>
      </c>
      <c r="AS38" s="102" t="str">
        <f t="shared" si="22"/>
        <v>PHÚC (QT)</v>
      </c>
      <c r="AT38" s="102" t="str">
        <f t="shared" si="22"/>
        <v>M.THI</v>
      </c>
      <c r="AU38" s="102" t="e">
        <f t="shared" si="22"/>
        <v>#N/A</v>
      </c>
      <c r="AV38" s="102" t="str">
        <f t="shared" si="22"/>
        <v>DIẾN</v>
      </c>
      <c r="AW38" s="102" t="str">
        <f t="shared" si="22"/>
        <v/>
      </c>
      <c r="AX38" s="102" t="str">
        <f t="shared" si="22"/>
        <v>V.PHƯƠNG</v>
      </c>
      <c r="AY38" s="102" t="e">
        <f t="shared" si="22"/>
        <v>#N/A</v>
      </c>
      <c r="AZ38" s="102" t="str">
        <f t="shared" si="22"/>
        <v>AVBN</v>
      </c>
      <c r="BA38" s="102" t="str">
        <f t="shared" si="22"/>
        <v>TRANG</v>
      </c>
      <c r="BB38" s="102" t="e">
        <f t="shared" si="22"/>
        <v>#N/A</v>
      </c>
      <c r="BC38" s="102" t="str">
        <f t="shared" si="22"/>
        <v>KHOA (TIN)</v>
      </c>
      <c r="BD38" s="102" t="str">
        <f t="shared" si="22"/>
        <v>H.THANH</v>
      </c>
      <c r="BE38" s="102" t="e">
        <f t="shared" si="22"/>
        <v>#N/A</v>
      </c>
      <c r="BF38" s="102" t="str">
        <f>IF(BF4="","",VLOOKUP(BF4,DanhSach,4,FALSE))</f>
        <v/>
      </c>
      <c r="BG38" s="102" t="str">
        <f>IF(BG4="","",VLOOKUP(BG4,DanhSach,4,FALSE))</f>
        <v/>
      </c>
      <c r="BH38" s="102" t="str">
        <f>IF(BH4="","",VLOOKUP(BH4,DanhSach,4,FALSE))</f>
        <v/>
      </c>
      <c r="BI38" s="101" t="str">
        <f>IF(BI4="","",VLOOKUP(BI4,DanhSach,4,FALSE))</f>
        <v/>
      </c>
      <c r="BJ38" s="101" t="str">
        <f t="shared" ref="BJ38:BU38" si="23">IF(BJ4="","",VLOOKUP(BJ4,DanhSach,4,FALSE))</f>
        <v/>
      </c>
      <c r="BK38" s="101" t="str">
        <f t="shared" si="23"/>
        <v/>
      </c>
      <c r="BL38" s="101" t="str">
        <f t="shared" si="23"/>
        <v/>
      </c>
      <c r="BM38" s="101" t="str">
        <f t="shared" si="23"/>
        <v/>
      </c>
      <c r="BN38" s="101" t="str">
        <f t="shared" si="23"/>
        <v/>
      </c>
      <c r="BO38" s="101" t="str">
        <f t="shared" si="23"/>
        <v/>
      </c>
      <c r="BP38" s="101" t="str">
        <f t="shared" si="23"/>
        <v/>
      </c>
      <c r="BQ38" s="101" t="str">
        <f t="shared" si="23"/>
        <v/>
      </c>
      <c r="BR38" s="101" t="str">
        <f t="shared" si="23"/>
        <v/>
      </c>
      <c r="BS38" s="101" t="str">
        <f t="shared" si="23"/>
        <v/>
      </c>
      <c r="BT38" s="101" t="str">
        <f t="shared" si="23"/>
        <v/>
      </c>
      <c r="BU38" s="101" t="str">
        <f t="shared" si="23"/>
        <v/>
      </c>
      <c r="BV38" s="103" t="str">
        <f t="shared" ref="BV38:CB47" si="24">IF(BV4="","",VLOOKUP(BV4,DanhSach,4,FALSE))</f>
        <v/>
      </c>
      <c r="BW38" s="103" t="str">
        <f t="shared" si="24"/>
        <v/>
      </c>
      <c r="BX38" s="103" t="str">
        <f t="shared" si="24"/>
        <v/>
      </c>
      <c r="BY38" s="103" t="str">
        <f t="shared" si="24"/>
        <v/>
      </c>
      <c r="BZ38" s="103" t="str">
        <f t="shared" si="24"/>
        <v/>
      </c>
      <c r="CA38" s="103" t="str">
        <f t="shared" si="24"/>
        <v/>
      </c>
      <c r="CB38" s="103" t="str">
        <f t="shared" si="24"/>
        <v/>
      </c>
    </row>
    <row r="39" spans="1:143" s="89" customFormat="1" ht="15.75" customHeight="1" x14ac:dyDescent="0.2">
      <c r="A39" s="99"/>
      <c r="B39" s="104">
        <v>2</v>
      </c>
      <c r="C39" s="105" t="str">
        <f t="shared" ref="C39:X39" si="25">IF(C5="","",VLOOKUP(C5,DanhSach,4,FALSE))</f>
        <v>AVBN</v>
      </c>
      <c r="D39" s="105" t="str">
        <f t="shared" si="25"/>
        <v>HÙNG (QT)</v>
      </c>
      <c r="E39" s="105" t="str">
        <f t="shared" si="25"/>
        <v/>
      </c>
      <c r="F39" s="105" t="str">
        <f t="shared" si="25"/>
        <v/>
      </c>
      <c r="G39" s="105" t="str">
        <f t="shared" si="25"/>
        <v>HƯNG</v>
      </c>
      <c r="H39" s="105" t="str">
        <f t="shared" si="25"/>
        <v/>
      </c>
      <c r="I39" s="105" t="e">
        <f t="shared" si="25"/>
        <v>#N/A</v>
      </c>
      <c r="J39" s="105" t="str">
        <f t="shared" si="25"/>
        <v>MY</v>
      </c>
      <c r="K39" s="105" t="str">
        <f t="shared" si="25"/>
        <v>Vy</v>
      </c>
      <c r="L39" s="105" t="str">
        <f t="shared" si="25"/>
        <v/>
      </c>
      <c r="M39" s="105" t="e">
        <f t="shared" si="25"/>
        <v>#N/A</v>
      </c>
      <c r="N39" s="105" t="e">
        <f t="shared" si="25"/>
        <v>#N/A</v>
      </c>
      <c r="O39" s="105" t="str">
        <f t="shared" si="25"/>
        <v>THẢO (QP)</v>
      </c>
      <c r="P39" s="105" t="str">
        <f t="shared" si="25"/>
        <v/>
      </c>
      <c r="Q39" s="105" t="str">
        <f t="shared" si="25"/>
        <v>Bao Phuong</v>
      </c>
      <c r="R39" s="105" t="e">
        <f t="shared" si="25"/>
        <v>#N/A</v>
      </c>
      <c r="S39" s="105" t="str">
        <f t="shared" si="25"/>
        <v>H.GIANG</v>
      </c>
      <c r="T39" s="105" t="e">
        <f t="shared" si="19"/>
        <v>#N/A</v>
      </c>
      <c r="U39" s="105" t="str">
        <f t="shared" si="19"/>
        <v>HUYỀN</v>
      </c>
      <c r="V39" s="105" t="e">
        <f t="shared" si="19"/>
        <v>#N/A</v>
      </c>
      <c r="W39" s="105" t="str">
        <f t="shared" si="19"/>
        <v>LÀI</v>
      </c>
      <c r="X39" s="105" t="str">
        <f t="shared" si="25"/>
        <v/>
      </c>
      <c r="Y39" s="105" t="str">
        <f t="shared" ref="Y39:Y57" si="26">IF(Y5="","",VLOOKUP(Y5,DanhSach,4,FALSE))</f>
        <v>LUÂN</v>
      </c>
      <c r="Z39" s="105" t="str">
        <f t="shared" ref="Z39:AJ39" si="27">IF(Z5="","",VLOOKUP(Z5,DanhSach,4,FALSE))</f>
        <v>M.THI</v>
      </c>
      <c r="AA39" s="105" t="str">
        <f t="shared" si="27"/>
        <v>THUỶ</v>
      </c>
      <c r="AB39" s="105" t="str">
        <f t="shared" si="27"/>
        <v>TUỆ</v>
      </c>
      <c r="AC39" s="105" t="str">
        <f t="shared" si="27"/>
        <v>THU BA</v>
      </c>
      <c r="AD39" s="105" t="str">
        <f t="shared" si="27"/>
        <v>NGHĨA</v>
      </c>
      <c r="AE39" s="105" t="str">
        <f t="shared" si="27"/>
        <v>HOÀNG</v>
      </c>
      <c r="AF39" s="105" t="str">
        <f t="shared" si="27"/>
        <v>TRÍ</v>
      </c>
      <c r="AG39" s="105" t="str">
        <f t="shared" si="27"/>
        <v>NGÂN</v>
      </c>
      <c r="AH39" s="105" t="str">
        <f t="shared" si="27"/>
        <v>THẮM</v>
      </c>
      <c r="AI39" s="105" t="str">
        <f t="shared" si="27"/>
        <v>DŨNG</v>
      </c>
      <c r="AJ39" s="105" t="str">
        <f t="shared" si="27"/>
        <v>HƯỜNG</v>
      </c>
      <c r="AK39" s="105" t="str">
        <f t="shared" ref="AK39:AL54" si="28">IF(AK5="","",VLOOKUP(AK5,DanhSach,4,FALSE))</f>
        <v>SƯƠNG</v>
      </c>
      <c r="AL39" s="105" t="str">
        <f t="shared" si="28"/>
        <v>ĐIỀN</v>
      </c>
      <c r="AM39" s="105" t="str">
        <f t="shared" si="21"/>
        <v>DUNG</v>
      </c>
      <c r="AN39" s="105" t="str">
        <f t="shared" si="21"/>
        <v/>
      </c>
      <c r="AO39" s="105" t="str">
        <f t="shared" si="21"/>
        <v/>
      </c>
      <c r="AP39" s="105" t="str">
        <f t="shared" si="21"/>
        <v/>
      </c>
      <c r="AQ39" s="105" t="str">
        <f t="shared" si="21"/>
        <v/>
      </c>
      <c r="AR39" s="105" t="str">
        <f t="shared" ref="AR39:AT54" si="29">IF(AR5="","",VLOOKUP(AR5,DanhSach,4,FALSE))</f>
        <v>MINH (H)</v>
      </c>
      <c r="AS39" s="105" t="str">
        <f t="shared" si="29"/>
        <v>PHÚC (QT)</v>
      </c>
      <c r="AT39" s="105" t="str">
        <f t="shared" si="29"/>
        <v>QUẢNG(T)</v>
      </c>
      <c r="AU39" s="105" t="e">
        <f t="shared" ref="AU39:BF39" si="30">IF(AU5="","",VLOOKUP(AU5,DanhSach,4,FALSE))</f>
        <v>#N/A</v>
      </c>
      <c r="AV39" s="105" t="str">
        <f t="shared" si="30"/>
        <v>DIẾN</v>
      </c>
      <c r="AW39" s="105" t="str">
        <f t="shared" si="30"/>
        <v/>
      </c>
      <c r="AX39" s="105" t="str">
        <f t="shared" si="30"/>
        <v>V.PHƯƠNG</v>
      </c>
      <c r="AY39" s="105" t="e">
        <f t="shared" si="30"/>
        <v>#N/A</v>
      </c>
      <c r="AZ39" s="105" t="str">
        <f t="shared" si="30"/>
        <v>AVBN</v>
      </c>
      <c r="BA39" s="105" t="str">
        <f t="shared" si="30"/>
        <v>TRANG</v>
      </c>
      <c r="BB39" s="105" t="e">
        <f t="shared" si="30"/>
        <v>#N/A</v>
      </c>
      <c r="BC39" s="105" t="str">
        <f t="shared" si="30"/>
        <v>KHOA (TIN)</v>
      </c>
      <c r="BD39" s="105" t="str">
        <f t="shared" si="30"/>
        <v>H.THANH</v>
      </c>
      <c r="BE39" s="105" t="e">
        <f t="shared" si="30"/>
        <v>#N/A</v>
      </c>
      <c r="BF39" s="105" t="str">
        <f t="shared" si="30"/>
        <v/>
      </c>
      <c r="BG39" s="105" t="str">
        <f t="shared" ref="BG39:BH54" si="31">IF(BG5="","",VLOOKUP(BG5,DanhSach,4,FALSE))</f>
        <v/>
      </c>
      <c r="BH39" s="105" t="str">
        <f t="shared" si="31"/>
        <v/>
      </c>
      <c r="BI39" s="105" t="str">
        <f>IF(BI5="","",VLOOKUP(BI5,DanhSach,4,FALSE))</f>
        <v/>
      </c>
      <c r="BJ39" s="105" t="str">
        <f>IF(BJ5="","",VLOOKUP(BJ5,DanhSach,4,FALSE))</f>
        <v/>
      </c>
      <c r="BK39" s="105" t="str">
        <f t="shared" ref="BK39:BU39" si="32">IF(BK5="","",VLOOKUP(BK5,DanhSach,4,FALSE))</f>
        <v/>
      </c>
      <c r="BL39" s="105" t="str">
        <f t="shared" si="32"/>
        <v/>
      </c>
      <c r="BM39" s="105" t="str">
        <f t="shared" si="32"/>
        <v/>
      </c>
      <c r="BN39" s="105" t="str">
        <f t="shared" si="32"/>
        <v/>
      </c>
      <c r="BO39" s="105" t="str">
        <f t="shared" si="32"/>
        <v/>
      </c>
      <c r="BP39" s="105" t="str">
        <f t="shared" si="32"/>
        <v/>
      </c>
      <c r="BQ39" s="105" t="str">
        <f t="shared" si="32"/>
        <v/>
      </c>
      <c r="BR39" s="105" t="str">
        <f t="shared" si="32"/>
        <v/>
      </c>
      <c r="BS39" s="105" t="str">
        <f t="shared" si="32"/>
        <v/>
      </c>
      <c r="BT39" s="105" t="str">
        <f t="shared" si="32"/>
        <v/>
      </c>
      <c r="BU39" s="105" t="str">
        <f t="shared" si="32"/>
        <v/>
      </c>
      <c r="BV39" s="105" t="str">
        <f t="shared" si="24"/>
        <v/>
      </c>
      <c r="BW39" s="105" t="str">
        <f t="shared" si="24"/>
        <v/>
      </c>
      <c r="BX39" s="105" t="str">
        <f t="shared" si="24"/>
        <v/>
      </c>
      <c r="BY39" s="105" t="str">
        <f t="shared" si="24"/>
        <v/>
      </c>
      <c r="BZ39" s="105" t="str">
        <f t="shared" si="24"/>
        <v/>
      </c>
      <c r="CA39" s="106" t="str">
        <f t="shared" si="24"/>
        <v/>
      </c>
      <c r="CB39" s="106" t="str">
        <f t="shared" si="24"/>
        <v/>
      </c>
    </row>
    <row r="40" spans="1:143" s="89" customFormat="1" ht="15.75" customHeight="1" x14ac:dyDescent="0.2">
      <c r="A40" s="99"/>
      <c r="B40" s="104">
        <v>3</v>
      </c>
      <c r="C40" s="105" t="e">
        <f t="shared" ref="C40:X40" si="33">IF(C6="","",VLOOKUP(C6,DanhSach,4,FALSE))</f>
        <v>#N/A</v>
      </c>
      <c r="D40" s="105" t="str">
        <f t="shared" si="33"/>
        <v>LÀI</v>
      </c>
      <c r="E40" s="105" t="str">
        <f t="shared" si="33"/>
        <v/>
      </c>
      <c r="F40" s="105" t="str">
        <f t="shared" si="33"/>
        <v/>
      </c>
      <c r="G40" s="105" t="e">
        <f t="shared" si="33"/>
        <v>#N/A</v>
      </c>
      <c r="H40" s="105" t="str">
        <f t="shared" si="33"/>
        <v/>
      </c>
      <c r="I40" s="105" t="str">
        <f t="shared" si="33"/>
        <v/>
      </c>
      <c r="J40" s="105" t="str">
        <f t="shared" si="33"/>
        <v>AVBN</v>
      </c>
      <c r="K40" s="105" t="e">
        <f t="shared" si="33"/>
        <v>#N/A</v>
      </c>
      <c r="L40" s="105" t="str">
        <f t="shared" si="33"/>
        <v/>
      </c>
      <c r="M40" s="105" t="str">
        <f t="shared" si="33"/>
        <v/>
      </c>
      <c r="N40" s="105" t="str">
        <f t="shared" si="33"/>
        <v>HUYỀN</v>
      </c>
      <c r="O40" s="105" t="str">
        <f t="shared" si="33"/>
        <v>THUỶ</v>
      </c>
      <c r="P40" s="105" t="str">
        <f t="shared" si="33"/>
        <v/>
      </c>
      <c r="Q40" s="105" t="str">
        <f t="shared" si="33"/>
        <v>Bao Phuong</v>
      </c>
      <c r="R40" s="105" t="str">
        <f t="shared" si="33"/>
        <v>V.PHƯƠNG</v>
      </c>
      <c r="S40" s="105" t="str">
        <f t="shared" si="33"/>
        <v>AVBN</v>
      </c>
      <c r="T40" s="105" t="str">
        <f t="shared" si="19"/>
        <v>Vy</v>
      </c>
      <c r="U40" s="105" t="e">
        <f t="shared" si="19"/>
        <v>#N/A</v>
      </c>
      <c r="V40" s="105" t="str">
        <f t="shared" si="19"/>
        <v>HÙNG (TH)</v>
      </c>
      <c r="W40" s="105" t="str">
        <f t="shared" si="19"/>
        <v/>
      </c>
      <c r="X40" s="105" t="str">
        <f t="shared" si="33"/>
        <v/>
      </c>
      <c r="Y40" s="105" t="str">
        <f t="shared" si="26"/>
        <v>NGHĨA</v>
      </c>
      <c r="Z40" s="105" t="str">
        <f t="shared" ref="Z40:AJ40" si="34">IF(Z6="","",VLOOKUP(Z6,DanhSach,4,FALSE))</f>
        <v>DƯƠNG</v>
      </c>
      <c r="AA40" s="105" t="str">
        <f t="shared" si="34"/>
        <v>QUẢNG(T)</v>
      </c>
      <c r="AB40" s="105" t="str">
        <f t="shared" si="34"/>
        <v>HÂN</v>
      </c>
      <c r="AC40" s="105" t="str">
        <f t="shared" si="34"/>
        <v>THÊM</v>
      </c>
      <c r="AD40" s="105" t="str">
        <f t="shared" si="34"/>
        <v>BẮC</v>
      </c>
      <c r="AE40" s="105" t="str">
        <f t="shared" si="34"/>
        <v>HOÀNG</v>
      </c>
      <c r="AF40" s="105" t="str">
        <f t="shared" si="34"/>
        <v>TRÍ</v>
      </c>
      <c r="AG40" s="105" t="str">
        <f t="shared" si="34"/>
        <v>HƯỜNG</v>
      </c>
      <c r="AH40" s="105" t="str">
        <f t="shared" si="34"/>
        <v>M. THANH</v>
      </c>
      <c r="AI40" s="105" t="str">
        <f t="shared" si="34"/>
        <v/>
      </c>
      <c r="AJ40" s="105" t="str">
        <f t="shared" si="34"/>
        <v>KHUYÊN</v>
      </c>
      <c r="AK40" s="105" t="str">
        <f t="shared" si="28"/>
        <v>Tùng</v>
      </c>
      <c r="AL40" s="105" t="str">
        <f t="shared" si="28"/>
        <v>TUỆ</v>
      </c>
      <c r="AM40" s="105" t="str">
        <f t="shared" si="21"/>
        <v>DUNG</v>
      </c>
      <c r="AN40" s="105" t="str">
        <f t="shared" si="21"/>
        <v/>
      </c>
      <c r="AO40" s="105" t="str">
        <f t="shared" si="21"/>
        <v/>
      </c>
      <c r="AP40" s="105" t="str">
        <f t="shared" si="21"/>
        <v/>
      </c>
      <c r="AQ40" s="105" t="str">
        <f t="shared" si="21"/>
        <v/>
      </c>
      <c r="AR40" s="105" t="str">
        <f t="shared" si="29"/>
        <v/>
      </c>
      <c r="AS40" s="105" t="str">
        <f t="shared" si="29"/>
        <v/>
      </c>
      <c r="AT40" s="105" t="str">
        <f t="shared" si="29"/>
        <v>LUÂN</v>
      </c>
      <c r="AU40" s="105" t="str">
        <f t="shared" ref="AU40:BJ40" si="35">IF(AU6="","",VLOOKUP(AU6,DanhSach,4,FALSE))</f>
        <v>M.THI</v>
      </c>
      <c r="AV40" s="105" t="e">
        <f t="shared" si="35"/>
        <v>#N/A</v>
      </c>
      <c r="AW40" s="105" t="str">
        <f t="shared" si="35"/>
        <v/>
      </c>
      <c r="AX40" s="105" t="str">
        <f t="shared" si="35"/>
        <v>AVBN</v>
      </c>
      <c r="AY40" s="105" t="str">
        <f t="shared" si="35"/>
        <v>H.THANH</v>
      </c>
      <c r="AZ40" s="105" t="str">
        <f t="shared" si="35"/>
        <v/>
      </c>
      <c r="BA40" s="105" t="str">
        <f t="shared" si="35"/>
        <v/>
      </c>
      <c r="BB40" s="105" t="str">
        <f t="shared" si="35"/>
        <v/>
      </c>
      <c r="BC40" s="105" t="str">
        <f t="shared" si="35"/>
        <v/>
      </c>
      <c r="BD40" s="105" t="str">
        <f t="shared" si="35"/>
        <v>CHẤT</v>
      </c>
      <c r="BE40" s="105" t="str">
        <f t="shared" si="35"/>
        <v/>
      </c>
      <c r="BF40" s="105" t="str">
        <f t="shared" si="35"/>
        <v/>
      </c>
      <c r="BG40" s="105" t="str">
        <f t="shared" si="31"/>
        <v/>
      </c>
      <c r="BH40" s="105" t="str">
        <f t="shared" si="31"/>
        <v/>
      </c>
      <c r="BI40" s="105" t="str">
        <f t="shared" si="35"/>
        <v/>
      </c>
      <c r="BJ40" s="105" t="str">
        <f t="shared" si="35"/>
        <v/>
      </c>
      <c r="BK40" s="105" t="str">
        <f t="shared" ref="BK40:BU40" si="36">IF(BK6="","",VLOOKUP(BK6,DanhSach,4,FALSE))</f>
        <v/>
      </c>
      <c r="BL40" s="105" t="str">
        <f t="shared" si="36"/>
        <v/>
      </c>
      <c r="BM40" s="105" t="str">
        <f t="shared" si="36"/>
        <v/>
      </c>
      <c r="BN40" s="105" t="str">
        <f t="shared" si="36"/>
        <v/>
      </c>
      <c r="BO40" s="105" t="str">
        <f t="shared" si="36"/>
        <v/>
      </c>
      <c r="BP40" s="105" t="str">
        <f t="shared" si="36"/>
        <v/>
      </c>
      <c r="BQ40" s="105" t="str">
        <f t="shared" si="36"/>
        <v/>
      </c>
      <c r="BR40" s="105" t="str">
        <f t="shared" si="36"/>
        <v/>
      </c>
      <c r="BS40" s="105" t="str">
        <f t="shared" si="36"/>
        <v/>
      </c>
      <c r="BT40" s="105" t="str">
        <f t="shared" si="36"/>
        <v/>
      </c>
      <c r="BU40" s="105" t="str">
        <f t="shared" si="36"/>
        <v/>
      </c>
      <c r="BV40" s="105" t="str">
        <f t="shared" si="24"/>
        <v/>
      </c>
      <c r="BW40" s="105" t="str">
        <f t="shared" si="24"/>
        <v/>
      </c>
      <c r="BX40" s="105" t="str">
        <f t="shared" si="24"/>
        <v/>
      </c>
      <c r="BY40" s="105" t="str">
        <f t="shared" si="24"/>
        <v/>
      </c>
      <c r="BZ40" s="105" t="str">
        <f t="shared" si="24"/>
        <v/>
      </c>
      <c r="CA40" s="106" t="str">
        <f t="shared" si="24"/>
        <v/>
      </c>
      <c r="CB40" s="106" t="str">
        <f t="shared" si="24"/>
        <v/>
      </c>
    </row>
    <row r="41" spans="1:143" s="89" customFormat="1" ht="15.75" customHeight="1" x14ac:dyDescent="0.2">
      <c r="A41" s="99"/>
      <c r="B41" s="104">
        <v>4</v>
      </c>
      <c r="C41" s="105" t="e">
        <f t="shared" ref="C41:X41" si="37">IF(C7="","",VLOOKUP(C7,DanhSach,4,FALSE))</f>
        <v>#N/A</v>
      </c>
      <c r="D41" s="105" t="str">
        <f t="shared" si="37"/>
        <v>KHUYÊN</v>
      </c>
      <c r="E41" s="105" t="str">
        <f t="shared" si="37"/>
        <v/>
      </c>
      <c r="F41" s="105" t="str">
        <f t="shared" si="37"/>
        <v/>
      </c>
      <c r="G41" s="105" t="e">
        <f t="shared" si="37"/>
        <v>#N/A</v>
      </c>
      <c r="H41" s="105" t="str">
        <f t="shared" si="37"/>
        <v/>
      </c>
      <c r="I41" s="105" t="str">
        <f t="shared" si="37"/>
        <v/>
      </c>
      <c r="J41" s="105" t="str">
        <f t="shared" si="37"/>
        <v>AVBN</v>
      </c>
      <c r="K41" s="105" t="e">
        <f t="shared" si="37"/>
        <v>#N/A</v>
      </c>
      <c r="L41" s="105" t="str">
        <f t="shared" si="37"/>
        <v/>
      </c>
      <c r="M41" s="105" t="str">
        <f t="shared" si="37"/>
        <v/>
      </c>
      <c r="N41" s="105" t="str">
        <f t="shared" si="37"/>
        <v>CHẤT</v>
      </c>
      <c r="O41" s="105" t="str">
        <f t="shared" si="37"/>
        <v/>
      </c>
      <c r="P41" s="105" t="str">
        <f t="shared" si="37"/>
        <v/>
      </c>
      <c r="Q41" s="105" t="str">
        <f t="shared" si="37"/>
        <v/>
      </c>
      <c r="R41" s="105" t="str">
        <f t="shared" si="37"/>
        <v>Bao Phuong</v>
      </c>
      <c r="S41" s="105" t="str">
        <f t="shared" si="37"/>
        <v>AVBN</v>
      </c>
      <c r="T41" s="105" t="str">
        <f t="shared" si="19"/>
        <v>Vy</v>
      </c>
      <c r="U41" s="105" t="e">
        <f t="shared" si="19"/>
        <v>#N/A</v>
      </c>
      <c r="V41" s="105" t="str">
        <f t="shared" si="19"/>
        <v>HÙNG (TH)</v>
      </c>
      <c r="W41" s="105" t="str">
        <f t="shared" si="19"/>
        <v/>
      </c>
      <c r="X41" s="105" t="str">
        <f t="shared" si="37"/>
        <v/>
      </c>
      <c r="Y41" s="105" t="str">
        <f t="shared" si="26"/>
        <v>NGHĨA</v>
      </c>
      <c r="Z41" s="105" t="str">
        <f t="shared" ref="Z41:AJ41" si="38">IF(Z7="","",VLOOKUP(Z7,DanhSach,4,FALSE))</f>
        <v/>
      </c>
      <c r="AA41" s="105" t="str">
        <f t="shared" si="38"/>
        <v>QUẢNG(T)</v>
      </c>
      <c r="AB41" s="105" t="str">
        <f t="shared" si="38"/>
        <v/>
      </c>
      <c r="AC41" s="105" t="str">
        <f t="shared" si="38"/>
        <v>THÊM</v>
      </c>
      <c r="AD41" s="105" t="str">
        <f t="shared" si="38"/>
        <v>BẮC</v>
      </c>
      <c r="AE41" s="105" t="str">
        <f t="shared" si="38"/>
        <v/>
      </c>
      <c r="AF41" s="105" t="str">
        <f t="shared" si="38"/>
        <v/>
      </c>
      <c r="AG41" s="105" t="str">
        <f t="shared" si="38"/>
        <v>HƯỜNG</v>
      </c>
      <c r="AH41" s="105" t="str">
        <f t="shared" si="38"/>
        <v>M. THANH</v>
      </c>
      <c r="AI41" s="105" t="str">
        <f t="shared" si="38"/>
        <v/>
      </c>
      <c r="AJ41" s="105" t="str">
        <f t="shared" si="38"/>
        <v>DƯƠNG</v>
      </c>
      <c r="AK41" s="105" t="str">
        <f t="shared" si="28"/>
        <v>Tùng</v>
      </c>
      <c r="AL41" s="105" t="str">
        <f t="shared" si="28"/>
        <v>LÀI</v>
      </c>
      <c r="AM41" s="105" t="str">
        <f t="shared" si="21"/>
        <v/>
      </c>
      <c r="AN41" s="105" t="str">
        <f t="shared" si="21"/>
        <v/>
      </c>
      <c r="AO41" s="105" t="str">
        <f t="shared" si="21"/>
        <v/>
      </c>
      <c r="AP41" s="105" t="str">
        <f t="shared" si="21"/>
        <v/>
      </c>
      <c r="AQ41" s="105" t="str">
        <f t="shared" si="21"/>
        <v/>
      </c>
      <c r="AR41" s="105" t="str">
        <f t="shared" si="29"/>
        <v/>
      </c>
      <c r="AS41" s="105" t="str">
        <f t="shared" si="29"/>
        <v/>
      </c>
      <c r="AT41" s="105" t="str">
        <f t="shared" si="29"/>
        <v/>
      </c>
      <c r="AU41" s="105" t="str">
        <f t="shared" ref="AU41:BJ41" si="39">IF(AU7="","",VLOOKUP(AU7,DanhSach,4,FALSE))</f>
        <v>M.THI</v>
      </c>
      <c r="AV41" s="105" t="e">
        <f t="shared" si="39"/>
        <v>#N/A</v>
      </c>
      <c r="AW41" s="105" t="str">
        <f t="shared" si="39"/>
        <v/>
      </c>
      <c r="AX41" s="105" t="str">
        <f t="shared" si="39"/>
        <v>AVBN</v>
      </c>
      <c r="AY41" s="105" t="str">
        <f t="shared" si="39"/>
        <v>H.THANH</v>
      </c>
      <c r="AZ41" s="105" t="str">
        <f t="shared" si="39"/>
        <v/>
      </c>
      <c r="BA41" s="105" t="str">
        <f t="shared" si="39"/>
        <v/>
      </c>
      <c r="BB41" s="105" t="str">
        <f t="shared" si="39"/>
        <v/>
      </c>
      <c r="BC41" s="105" t="str">
        <f t="shared" si="39"/>
        <v/>
      </c>
      <c r="BD41" s="105" t="str">
        <f t="shared" si="39"/>
        <v/>
      </c>
      <c r="BE41" s="105" t="str">
        <f t="shared" si="39"/>
        <v/>
      </c>
      <c r="BF41" s="105" t="str">
        <f t="shared" si="39"/>
        <v/>
      </c>
      <c r="BG41" s="105" t="str">
        <f t="shared" si="31"/>
        <v/>
      </c>
      <c r="BH41" s="105" t="str">
        <f t="shared" si="31"/>
        <v/>
      </c>
      <c r="BI41" s="105" t="str">
        <f t="shared" si="39"/>
        <v/>
      </c>
      <c r="BJ41" s="105" t="str">
        <f t="shared" si="39"/>
        <v/>
      </c>
      <c r="BK41" s="105" t="str">
        <f t="shared" ref="BK41:BU41" si="40">IF(BK7="","",VLOOKUP(BK7,DanhSach,4,FALSE))</f>
        <v/>
      </c>
      <c r="BL41" s="105" t="str">
        <f t="shared" si="40"/>
        <v/>
      </c>
      <c r="BM41" s="105" t="str">
        <f t="shared" si="40"/>
        <v/>
      </c>
      <c r="BN41" s="105" t="str">
        <f t="shared" si="40"/>
        <v/>
      </c>
      <c r="BO41" s="105" t="str">
        <f t="shared" si="40"/>
        <v/>
      </c>
      <c r="BP41" s="105" t="str">
        <f t="shared" si="40"/>
        <v/>
      </c>
      <c r="BQ41" s="105" t="str">
        <f t="shared" si="40"/>
        <v/>
      </c>
      <c r="BR41" s="105" t="str">
        <f t="shared" si="40"/>
        <v/>
      </c>
      <c r="BS41" s="105" t="str">
        <f t="shared" si="40"/>
        <v/>
      </c>
      <c r="BT41" s="105" t="str">
        <f t="shared" si="40"/>
        <v/>
      </c>
      <c r="BU41" s="105" t="str">
        <f t="shared" si="40"/>
        <v/>
      </c>
      <c r="BV41" s="105" t="str">
        <f t="shared" si="24"/>
        <v/>
      </c>
      <c r="BW41" s="105" t="str">
        <f t="shared" si="24"/>
        <v/>
      </c>
      <c r="BX41" s="105" t="str">
        <f t="shared" si="24"/>
        <v/>
      </c>
      <c r="BY41" s="105" t="str">
        <f t="shared" si="24"/>
        <v/>
      </c>
      <c r="BZ41" s="105" t="str">
        <f t="shared" si="24"/>
        <v/>
      </c>
      <c r="CA41" s="106" t="str">
        <f t="shared" si="24"/>
        <v/>
      </c>
      <c r="CB41" s="106" t="str">
        <f t="shared" si="24"/>
        <v/>
      </c>
    </row>
    <row r="42" spans="1:143" s="89" customFormat="1" ht="15.75" customHeight="1" thickBot="1" x14ac:dyDescent="0.25">
      <c r="A42" s="107"/>
      <c r="B42" s="108">
        <v>5</v>
      </c>
      <c r="C42" s="109" t="str">
        <f t="shared" ref="C42:X42" si="41">IF(C8="","",VLOOKUP(C8,DanhSach,4,FALSE))</f>
        <v/>
      </c>
      <c r="D42" s="109" t="str">
        <f t="shared" si="41"/>
        <v/>
      </c>
      <c r="E42" s="109" t="str">
        <f t="shared" si="41"/>
        <v/>
      </c>
      <c r="F42" s="109" t="str">
        <f t="shared" si="41"/>
        <v/>
      </c>
      <c r="G42" s="109" t="str">
        <f t="shared" si="41"/>
        <v/>
      </c>
      <c r="H42" s="109" t="str">
        <f t="shared" si="41"/>
        <v/>
      </c>
      <c r="I42" s="109" t="str">
        <f t="shared" si="41"/>
        <v/>
      </c>
      <c r="J42" s="109" t="str">
        <f t="shared" si="41"/>
        <v/>
      </c>
      <c r="K42" s="109" t="str">
        <f t="shared" si="41"/>
        <v/>
      </c>
      <c r="L42" s="109" t="str">
        <f t="shared" si="41"/>
        <v/>
      </c>
      <c r="M42" s="109" t="str">
        <f t="shared" si="41"/>
        <v/>
      </c>
      <c r="N42" s="109" t="str">
        <f t="shared" si="41"/>
        <v/>
      </c>
      <c r="O42" s="109" t="str">
        <f t="shared" si="41"/>
        <v/>
      </c>
      <c r="P42" s="109" t="str">
        <f t="shared" si="41"/>
        <v/>
      </c>
      <c r="Q42" s="109" t="str">
        <f t="shared" si="41"/>
        <v/>
      </c>
      <c r="R42" s="109" t="str">
        <f t="shared" si="41"/>
        <v/>
      </c>
      <c r="S42" s="109" t="str">
        <f t="shared" si="41"/>
        <v/>
      </c>
      <c r="T42" s="109" t="str">
        <f t="shared" si="19"/>
        <v/>
      </c>
      <c r="U42" s="109" t="str">
        <f t="shared" si="19"/>
        <v/>
      </c>
      <c r="V42" s="109" t="str">
        <f t="shared" si="19"/>
        <v/>
      </c>
      <c r="W42" s="109" t="str">
        <f t="shared" si="19"/>
        <v/>
      </c>
      <c r="X42" s="109" t="str">
        <f t="shared" si="41"/>
        <v/>
      </c>
      <c r="Y42" s="109" t="str">
        <f t="shared" si="26"/>
        <v/>
      </c>
      <c r="Z42" s="109" t="str">
        <f t="shared" ref="Z42:AJ42" si="42">IF(Z8="","",VLOOKUP(Z8,DanhSach,4,FALSE))</f>
        <v/>
      </c>
      <c r="AA42" s="109" t="str">
        <f t="shared" si="42"/>
        <v/>
      </c>
      <c r="AB42" s="109" t="str">
        <f t="shared" si="42"/>
        <v/>
      </c>
      <c r="AC42" s="109" t="str">
        <f t="shared" si="42"/>
        <v/>
      </c>
      <c r="AD42" s="109" t="str">
        <f t="shared" si="42"/>
        <v/>
      </c>
      <c r="AE42" s="109" t="str">
        <f t="shared" si="42"/>
        <v/>
      </c>
      <c r="AF42" s="109" t="str">
        <f t="shared" si="42"/>
        <v/>
      </c>
      <c r="AG42" s="109" t="str">
        <f t="shared" si="42"/>
        <v/>
      </c>
      <c r="AH42" s="109" t="str">
        <f t="shared" si="42"/>
        <v/>
      </c>
      <c r="AI42" s="109" t="str">
        <f t="shared" si="42"/>
        <v/>
      </c>
      <c r="AJ42" s="109" t="str">
        <f t="shared" si="42"/>
        <v/>
      </c>
      <c r="AK42" s="109" t="str">
        <f t="shared" si="28"/>
        <v/>
      </c>
      <c r="AL42" s="109" t="str">
        <f t="shared" si="28"/>
        <v/>
      </c>
      <c r="AM42" s="109" t="str">
        <f t="shared" si="21"/>
        <v/>
      </c>
      <c r="AN42" s="109" t="str">
        <f t="shared" si="21"/>
        <v/>
      </c>
      <c r="AO42" s="109" t="str">
        <f t="shared" si="21"/>
        <v/>
      </c>
      <c r="AP42" s="109" t="str">
        <f t="shared" si="21"/>
        <v/>
      </c>
      <c r="AQ42" s="109" t="str">
        <f t="shared" si="21"/>
        <v/>
      </c>
      <c r="AR42" s="109" t="str">
        <f t="shared" si="29"/>
        <v/>
      </c>
      <c r="AS42" s="109" t="str">
        <f t="shared" si="29"/>
        <v/>
      </c>
      <c r="AT42" s="109" t="str">
        <f t="shared" si="29"/>
        <v/>
      </c>
      <c r="AU42" s="109" t="str">
        <f t="shared" ref="AU42:BJ42" si="43">IF(AU8="","",VLOOKUP(AU8,DanhSach,4,FALSE))</f>
        <v/>
      </c>
      <c r="AV42" s="109" t="str">
        <f t="shared" si="43"/>
        <v/>
      </c>
      <c r="AW42" s="109" t="str">
        <f t="shared" si="43"/>
        <v/>
      </c>
      <c r="AX42" s="109" t="str">
        <f t="shared" si="43"/>
        <v/>
      </c>
      <c r="AY42" s="109" t="str">
        <f t="shared" si="43"/>
        <v/>
      </c>
      <c r="AZ42" s="109" t="str">
        <f t="shared" si="43"/>
        <v/>
      </c>
      <c r="BA42" s="109" t="str">
        <f t="shared" si="43"/>
        <v/>
      </c>
      <c r="BB42" s="109" t="str">
        <f t="shared" si="43"/>
        <v/>
      </c>
      <c r="BC42" s="109" t="str">
        <f t="shared" si="43"/>
        <v/>
      </c>
      <c r="BD42" s="109" t="str">
        <f t="shared" si="43"/>
        <v/>
      </c>
      <c r="BE42" s="109" t="str">
        <f t="shared" si="43"/>
        <v/>
      </c>
      <c r="BF42" s="109" t="str">
        <f t="shared" si="43"/>
        <v/>
      </c>
      <c r="BG42" s="109" t="str">
        <f t="shared" si="31"/>
        <v/>
      </c>
      <c r="BH42" s="109" t="str">
        <f t="shared" si="31"/>
        <v/>
      </c>
      <c r="BI42" s="109" t="str">
        <f t="shared" si="43"/>
        <v/>
      </c>
      <c r="BJ42" s="109" t="str">
        <f t="shared" si="43"/>
        <v/>
      </c>
      <c r="BK42" s="109" t="str">
        <f t="shared" ref="BK42:BU42" si="44">IF(BK8="","",VLOOKUP(BK8,DanhSach,4,FALSE))</f>
        <v/>
      </c>
      <c r="BL42" s="109" t="str">
        <f t="shared" si="44"/>
        <v/>
      </c>
      <c r="BM42" s="109" t="str">
        <f t="shared" si="44"/>
        <v/>
      </c>
      <c r="BN42" s="109" t="str">
        <f t="shared" si="44"/>
        <v/>
      </c>
      <c r="BO42" s="109" t="str">
        <f t="shared" si="44"/>
        <v/>
      </c>
      <c r="BP42" s="109" t="str">
        <f t="shared" si="44"/>
        <v/>
      </c>
      <c r="BQ42" s="109" t="str">
        <f t="shared" si="44"/>
        <v/>
      </c>
      <c r="BR42" s="109" t="str">
        <f t="shared" si="44"/>
        <v/>
      </c>
      <c r="BS42" s="109" t="str">
        <f t="shared" si="44"/>
        <v/>
      </c>
      <c r="BT42" s="109" t="str">
        <f t="shared" si="44"/>
        <v/>
      </c>
      <c r="BU42" s="109" t="str">
        <f t="shared" si="44"/>
        <v/>
      </c>
      <c r="BV42" s="109" t="str">
        <f t="shared" si="24"/>
        <v/>
      </c>
      <c r="BW42" s="109" t="str">
        <f t="shared" si="24"/>
        <v/>
      </c>
      <c r="BX42" s="109" t="str">
        <f t="shared" si="24"/>
        <v/>
      </c>
      <c r="BY42" s="109" t="str">
        <f t="shared" si="24"/>
        <v/>
      </c>
      <c r="BZ42" s="109" t="str">
        <f t="shared" si="24"/>
        <v/>
      </c>
      <c r="CA42" s="110" t="str">
        <f t="shared" si="24"/>
        <v/>
      </c>
      <c r="CB42" s="110" t="str">
        <f t="shared" si="24"/>
        <v/>
      </c>
    </row>
    <row r="43" spans="1:143" s="89" customFormat="1" ht="15.75" customHeight="1" x14ac:dyDescent="0.2">
      <c r="A43" s="111" t="s">
        <v>174</v>
      </c>
      <c r="B43" s="112">
        <v>1</v>
      </c>
      <c r="C43" s="101" t="str">
        <f t="shared" ref="C43:P43" si="45">IF(C9="","",VLOOKUP(C9,DanhSach,4,FALSE))</f>
        <v>KHÔI</v>
      </c>
      <c r="D43" s="101" t="str">
        <f t="shared" si="45"/>
        <v/>
      </c>
      <c r="E43" s="101" t="str">
        <f t="shared" si="45"/>
        <v>T.GIANG</v>
      </c>
      <c r="F43" s="101" t="e">
        <f t="shared" si="45"/>
        <v>#N/A</v>
      </c>
      <c r="G43" s="101" t="e">
        <f t="shared" si="45"/>
        <v>#N/A</v>
      </c>
      <c r="H43" s="101" t="str">
        <f t="shared" si="45"/>
        <v>D.LINH (T)</v>
      </c>
      <c r="I43" s="101" t="str">
        <f t="shared" si="45"/>
        <v>THẮM</v>
      </c>
      <c r="J43" s="101" t="str">
        <f t="shared" si="45"/>
        <v/>
      </c>
      <c r="K43" s="101" t="str">
        <f t="shared" si="45"/>
        <v>THƯƠNG</v>
      </c>
      <c r="L43" s="101" t="str">
        <f t="shared" si="45"/>
        <v>Duy</v>
      </c>
      <c r="M43" s="101" t="str">
        <f t="shared" si="45"/>
        <v>TRANG</v>
      </c>
      <c r="N43" s="101" t="e">
        <f t="shared" si="45"/>
        <v>#N/A</v>
      </c>
      <c r="O43" s="101" t="str">
        <f t="shared" si="45"/>
        <v>AVBN</v>
      </c>
      <c r="P43" s="101" t="str">
        <f t="shared" si="45"/>
        <v>QUANG (L)</v>
      </c>
      <c r="Q43" s="101" t="e">
        <f t="shared" ref="Q43:S47" si="46">IF(Q9="","",VLOOKUP(Q9,DanhSach,4,FALSE))</f>
        <v>#N/A</v>
      </c>
      <c r="R43" s="101" t="str">
        <f t="shared" si="46"/>
        <v/>
      </c>
      <c r="S43" s="101" t="str">
        <f t="shared" si="46"/>
        <v>XUÂN (QT)</v>
      </c>
      <c r="T43" s="101" t="str">
        <f t="shared" si="19"/>
        <v>TIÊN</v>
      </c>
      <c r="U43" s="101" t="str">
        <f t="shared" si="19"/>
        <v>KHOA</v>
      </c>
      <c r="V43" s="101" t="str">
        <f t="shared" si="19"/>
        <v/>
      </c>
      <c r="W43" s="101" t="str">
        <f t="shared" si="19"/>
        <v>LÀI</v>
      </c>
      <c r="X43" s="101" t="str">
        <f>IF(X9="","",VLOOKUP(X9,DanhSach,4,FALSE))</f>
        <v/>
      </c>
      <c r="Y43" s="101" t="str">
        <f t="shared" si="26"/>
        <v>LUÂN</v>
      </c>
      <c r="Z43" s="101" t="str">
        <f t="shared" ref="Z43:AJ43" si="47">IF(Z9="","",VLOOKUP(Z9,DanhSach,4,FALSE))</f>
        <v>NHƯ</v>
      </c>
      <c r="AA43" s="101" t="str">
        <f t="shared" si="47"/>
        <v>TRAN</v>
      </c>
      <c r="AB43" s="101" t="str">
        <f t="shared" si="47"/>
        <v>HÙNG (AV)</v>
      </c>
      <c r="AC43" s="101" t="str">
        <f t="shared" si="47"/>
        <v>CƯỜNG (TD)</v>
      </c>
      <c r="AD43" s="101" t="str">
        <f t="shared" si="47"/>
        <v>THÀNH (Đ)</v>
      </c>
      <c r="AE43" s="101" t="str">
        <f t="shared" si="47"/>
        <v>HOÀNG</v>
      </c>
      <c r="AF43" s="101" t="str">
        <f t="shared" si="47"/>
        <v>THƠ</v>
      </c>
      <c r="AG43" s="101" t="str">
        <f t="shared" si="47"/>
        <v>THƠ</v>
      </c>
      <c r="AH43" s="101" t="str">
        <f t="shared" si="47"/>
        <v>KHANG</v>
      </c>
      <c r="AI43" s="101" t="str">
        <f t="shared" si="47"/>
        <v>YẾN</v>
      </c>
      <c r="AJ43" s="101" t="str">
        <f t="shared" si="47"/>
        <v>HẢI (TD)</v>
      </c>
      <c r="AK43" s="101" t="str">
        <f t="shared" si="28"/>
        <v>HẠNH (T)</v>
      </c>
      <c r="AL43" s="101" t="str">
        <f t="shared" si="28"/>
        <v>B.PHƯƠNG</v>
      </c>
      <c r="AM43" s="101" t="str">
        <f t="shared" si="21"/>
        <v>THẢO (CN)</v>
      </c>
      <c r="AN43" s="101" t="str">
        <f t="shared" si="21"/>
        <v/>
      </c>
      <c r="AO43" s="101" t="str">
        <f t="shared" si="21"/>
        <v/>
      </c>
      <c r="AP43" s="101" t="str">
        <f t="shared" si="21"/>
        <v/>
      </c>
      <c r="AQ43" s="101" t="str">
        <f t="shared" si="21"/>
        <v/>
      </c>
      <c r="AR43" s="101" t="e">
        <f t="shared" si="29"/>
        <v>#N/A</v>
      </c>
      <c r="AS43" s="101" t="str">
        <f t="shared" si="29"/>
        <v>THẢO</v>
      </c>
      <c r="AT43" s="101" t="str">
        <f t="shared" si="29"/>
        <v>NGÂN</v>
      </c>
      <c r="AU43" s="101" t="str">
        <f t="shared" ref="AU43:BJ43" si="48">IF(AU9="","",VLOOKUP(AU9,DanhSach,4,FALSE))</f>
        <v/>
      </c>
      <c r="AV43" s="101" t="str">
        <f t="shared" si="48"/>
        <v/>
      </c>
      <c r="AW43" s="101" t="str">
        <f t="shared" si="48"/>
        <v>THẢO (QP)</v>
      </c>
      <c r="AX43" s="101" t="str">
        <f t="shared" si="48"/>
        <v/>
      </c>
      <c r="AY43" s="101" t="str">
        <f t="shared" si="48"/>
        <v>TÂM</v>
      </c>
      <c r="AZ43" s="101" t="str">
        <f t="shared" si="48"/>
        <v/>
      </c>
      <c r="BA43" s="101" t="e">
        <f t="shared" si="48"/>
        <v>#N/A</v>
      </c>
      <c r="BB43" s="101" t="str">
        <f t="shared" si="48"/>
        <v/>
      </c>
      <c r="BC43" s="101" t="str">
        <f t="shared" si="48"/>
        <v>PHÚC (QT)</v>
      </c>
      <c r="BD43" s="101" t="str">
        <f t="shared" si="48"/>
        <v/>
      </c>
      <c r="BE43" s="101" t="str">
        <f t="shared" si="48"/>
        <v/>
      </c>
      <c r="BF43" s="101" t="str">
        <f t="shared" si="48"/>
        <v/>
      </c>
      <c r="BG43" s="101" t="str">
        <f t="shared" si="31"/>
        <v/>
      </c>
      <c r="BH43" s="101" t="str">
        <f t="shared" si="31"/>
        <v/>
      </c>
      <c r="BI43" s="101" t="str">
        <f t="shared" si="48"/>
        <v/>
      </c>
      <c r="BJ43" s="101" t="str">
        <f t="shared" si="48"/>
        <v/>
      </c>
      <c r="BK43" s="101" t="str">
        <f t="shared" ref="BK43:BU43" si="49">IF(BK9="","",VLOOKUP(BK9,DanhSach,4,FALSE))</f>
        <v/>
      </c>
      <c r="BL43" s="101" t="str">
        <f t="shared" si="49"/>
        <v/>
      </c>
      <c r="BM43" s="101" t="str">
        <f t="shared" si="49"/>
        <v/>
      </c>
      <c r="BN43" s="101" t="str">
        <f t="shared" si="49"/>
        <v/>
      </c>
      <c r="BO43" s="101" t="str">
        <f t="shared" si="49"/>
        <v/>
      </c>
      <c r="BP43" s="101" t="str">
        <f t="shared" si="49"/>
        <v/>
      </c>
      <c r="BQ43" s="101" t="str">
        <f t="shared" si="49"/>
        <v/>
      </c>
      <c r="BR43" s="101" t="str">
        <f t="shared" si="49"/>
        <v/>
      </c>
      <c r="BS43" s="101" t="str">
        <f t="shared" si="49"/>
        <v/>
      </c>
      <c r="BT43" s="101" t="str">
        <f t="shared" si="49"/>
        <v/>
      </c>
      <c r="BU43" s="101" t="str">
        <f t="shared" si="49"/>
        <v/>
      </c>
      <c r="BV43" s="101" t="str">
        <f t="shared" si="24"/>
        <v/>
      </c>
      <c r="BW43" s="101" t="str">
        <f t="shared" si="24"/>
        <v/>
      </c>
      <c r="BX43" s="101" t="str">
        <f t="shared" si="24"/>
        <v/>
      </c>
      <c r="BY43" s="101" t="str">
        <f t="shared" si="24"/>
        <v/>
      </c>
      <c r="BZ43" s="101" t="str">
        <f t="shared" si="24"/>
        <v/>
      </c>
      <c r="CA43" s="103" t="str">
        <f t="shared" si="24"/>
        <v/>
      </c>
      <c r="CB43" s="103" t="str">
        <f t="shared" si="24"/>
        <v/>
      </c>
    </row>
    <row r="44" spans="1:143" s="89" customFormat="1" ht="15.75" customHeight="1" x14ac:dyDescent="0.2">
      <c r="A44" s="99" t="s">
        <v>193</v>
      </c>
      <c r="B44" s="113">
        <v>2</v>
      </c>
      <c r="C44" s="105" t="str">
        <f t="shared" ref="C44:P44" si="50">IF(C10="","",VLOOKUP(C10,DanhSach,4,FALSE))</f>
        <v>KHÔI</v>
      </c>
      <c r="D44" s="105" t="str">
        <f t="shared" si="50"/>
        <v>LÀI</v>
      </c>
      <c r="E44" s="105" t="str">
        <f t="shared" si="50"/>
        <v>T.GIANG</v>
      </c>
      <c r="F44" s="105" t="e">
        <f t="shared" si="50"/>
        <v>#N/A</v>
      </c>
      <c r="G44" s="105" t="e">
        <f t="shared" si="50"/>
        <v>#N/A</v>
      </c>
      <c r="H44" s="105" t="str">
        <f t="shared" si="50"/>
        <v>D.LINH (T)</v>
      </c>
      <c r="I44" s="105" t="str">
        <f t="shared" si="50"/>
        <v>THẮM</v>
      </c>
      <c r="J44" s="105" t="str">
        <f t="shared" si="50"/>
        <v/>
      </c>
      <c r="K44" s="105" t="str">
        <f t="shared" si="50"/>
        <v>THẢO (QP)</v>
      </c>
      <c r="L44" s="105" t="str">
        <f t="shared" si="50"/>
        <v>Duy</v>
      </c>
      <c r="M44" s="105" t="str">
        <f t="shared" si="50"/>
        <v>TRANG</v>
      </c>
      <c r="N44" s="105" t="e">
        <f t="shared" si="50"/>
        <v>#N/A</v>
      </c>
      <c r="O44" s="105" t="str">
        <f t="shared" si="50"/>
        <v>AVBN</v>
      </c>
      <c r="P44" s="105" t="str">
        <f t="shared" si="50"/>
        <v>QUANG (L)</v>
      </c>
      <c r="Q44" s="105" t="e">
        <f t="shared" si="46"/>
        <v>#N/A</v>
      </c>
      <c r="R44" s="105" t="str">
        <f t="shared" si="46"/>
        <v/>
      </c>
      <c r="S44" s="105" t="str">
        <f t="shared" si="46"/>
        <v>XUÂN (QT)</v>
      </c>
      <c r="T44" s="105" t="str">
        <f t="shared" si="19"/>
        <v>TIÊN</v>
      </c>
      <c r="U44" s="105" t="str">
        <f t="shared" si="19"/>
        <v>KHOA</v>
      </c>
      <c r="V44" s="105" t="str">
        <f t="shared" si="19"/>
        <v/>
      </c>
      <c r="W44" s="105" t="str">
        <f t="shared" si="19"/>
        <v>THANH (H)</v>
      </c>
      <c r="X44" s="105" t="str">
        <f>IF(X10="","",VLOOKUP(X10,DanhSach,4,FALSE))</f>
        <v/>
      </c>
      <c r="Y44" s="105" t="str">
        <f t="shared" si="26"/>
        <v>THƯƠNG</v>
      </c>
      <c r="Z44" s="105" t="str">
        <f t="shared" ref="Z44:AJ44" si="51">IF(Z10="","",VLOOKUP(Z10,DanhSach,4,FALSE))</f>
        <v>NHƯ</v>
      </c>
      <c r="AA44" s="105" t="str">
        <f t="shared" si="51"/>
        <v>TRAN</v>
      </c>
      <c r="AB44" s="105" t="str">
        <f t="shared" si="51"/>
        <v>HÂN</v>
      </c>
      <c r="AC44" s="105" t="str">
        <f t="shared" si="51"/>
        <v>CƯỜNG (TD)</v>
      </c>
      <c r="AD44" s="105" t="str">
        <f t="shared" si="51"/>
        <v>HOÀNG</v>
      </c>
      <c r="AE44" s="105" t="str">
        <f t="shared" si="51"/>
        <v>THẢO</v>
      </c>
      <c r="AF44" s="105" t="str">
        <f t="shared" si="51"/>
        <v>THƠ</v>
      </c>
      <c r="AG44" s="105" t="str">
        <f t="shared" si="51"/>
        <v>THƠ</v>
      </c>
      <c r="AH44" s="105" t="str">
        <f t="shared" si="51"/>
        <v>KHANG</v>
      </c>
      <c r="AI44" s="105" t="str">
        <f t="shared" si="51"/>
        <v>HẠNH (T)</v>
      </c>
      <c r="AJ44" s="105" t="str">
        <f t="shared" si="51"/>
        <v>HẢI (TD)</v>
      </c>
      <c r="AK44" s="105" t="str">
        <f t="shared" si="28"/>
        <v>YẾN</v>
      </c>
      <c r="AL44" s="105" t="str">
        <f t="shared" si="28"/>
        <v>THÀNH (Đ)</v>
      </c>
      <c r="AM44" s="105" t="str">
        <f t="shared" si="21"/>
        <v>HÙNG (AV)</v>
      </c>
      <c r="AN44" s="105" t="str">
        <f t="shared" si="21"/>
        <v/>
      </c>
      <c r="AO44" s="105" t="str">
        <f t="shared" si="21"/>
        <v/>
      </c>
      <c r="AP44" s="105" t="str">
        <f t="shared" si="21"/>
        <v/>
      </c>
      <c r="AQ44" s="105" t="str">
        <f t="shared" si="21"/>
        <v/>
      </c>
      <c r="AR44" s="105" t="e">
        <f t="shared" si="29"/>
        <v>#N/A</v>
      </c>
      <c r="AS44" s="105" t="str">
        <f t="shared" si="29"/>
        <v>NGÂN</v>
      </c>
      <c r="AT44" s="105" t="str">
        <f t="shared" si="29"/>
        <v>LUÂN</v>
      </c>
      <c r="AU44" s="105" t="str">
        <f t="shared" ref="AU44:BJ44" si="52">IF(AU10="","",VLOOKUP(AU10,DanhSach,4,FALSE))</f>
        <v/>
      </c>
      <c r="AV44" s="105" t="str">
        <f t="shared" si="52"/>
        <v/>
      </c>
      <c r="AW44" s="105" t="str">
        <f t="shared" si="52"/>
        <v>HẰNG (KTPL)</v>
      </c>
      <c r="AX44" s="105" t="str">
        <f t="shared" si="52"/>
        <v/>
      </c>
      <c r="AY44" s="105" t="str">
        <f t="shared" si="52"/>
        <v>HẢI ( SỬ)</v>
      </c>
      <c r="AZ44" s="105" t="str">
        <f t="shared" si="52"/>
        <v/>
      </c>
      <c r="BA44" s="105" t="e">
        <f t="shared" si="52"/>
        <v>#N/A</v>
      </c>
      <c r="BB44" s="105" t="str">
        <f t="shared" si="52"/>
        <v/>
      </c>
      <c r="BC44" s="105" t="str">
        <f t="shared" si="52"/>
        <v>PHÚC (QT)</v>
      </c>
      <c r="BD44" s="105" t="str">
        <f t="shared" si="52"/>
        <v/>
      </c>
      <c r="BE44" s="105" t="str">
        <f t="shared" si="52"/>
        <v/>
      </c>
      <c r="BF44" s="105" t="str">
        <f t="shared" si="52"/>
        <v/>
      </c>
      <c r="BG44" s="105" t="str">
        <f t="shared" si="31"/>
        <v/>
      </c>
      <c r="BH44" s="105" t="str">
        <f t="shared" si="31"/>
        <v/>
      </c>
      <c r="BI44" s="105" t="str">
        <f t="shared" si="52"/>
        <v/>
      </c>
      <c r="BJ44" s="105" t="str">
        <f t="shared" si="52"/>
        <v/>
      </c>
      <c r="BK44" s="105" t="str">
        <f t="shared" ref="BK44:BU44" si="53">IF(BK10="","",VLOOKUP(BK10,DanhSach,4,FALSE))</f>
        <v/>
      </c>
      <c r="BL44" s="105" t="str">
        <f t="shared" si="53"/>
        <v/>
      </c>
      <c r="BM44" s="105" t="str">
        <f t="shared" si="53"/>
        <v/>
      </c>
      <c r="BN44" s="105" t="str">
        <f t="shared" si="53"/>
        <v/>
      </c>
      <c r="BO44" s="105" t="str">
        <f t="shared" si="53"/>
        <v/>
      </c>
      <c r="BP44" s="105" t="str">
        <f t="shared" si="53"/>
        <v/>
      </c>
      <c r="BQ44" s="105" t="str">
        <f t="shared" si="53"/>
        <v/>
      </c>
      <c r="BR44" s="105" t="str">
        <f t="shared" si="53"/>
        <v/>
      </c>
      <c r="BS44" s="105" t="str">
        <f t="shared" si="53"/>
        <v/>
      </c>
      <c r="BT44" s="105" t="str">
        <f t="shared" si="53"/>
        <v/>
      </c>
      <c r="BU44" s="105" t="str">
        <f t="shared" si="53"/>
        <v/>
      </c>
      <c r="BV44" s="105" t="str">
        <f t="shared" si="24"/>
        <v/>
      </c>
      <c r="BW44" s="105" t="str">
        <f t="shared" si="24"/>
        <v/>
      </c>
      <c r="BX44" s="105" t="str">
        <f t="shared" si="24"/>
        <v/>
      </c>
      <c r="BY44" s="105" t="str">
        <f t="shared" si="24"/>
        <v/>
      </c>
      <c r="BZ44" s="105" t="str">
        <f t="shared" si="24"/>
        <v/>
      </c>
      <c r="CA44" s="106" t="str">
        <f t="shared" si="24"/>
        <v/>
      </c>
      <c r="CB44" s="106" t="str">
        <f t="shared" si="24"/>
        <v/>
      </c>
    </row>
    <row r="45" spans="1:143" s="89" customFormat="1" ht="15.75" customHeight="1" x14ac:dyDescent="0.2">
      <c r="A45" s="99" t="s">
        <v>174</v>
      </c>
      <c r="B45" s="113">
        <v>3</v>
      </c>
      <c r="C45" s="105" t="str">
        <f t="shared" ref="C45:P45" si="54">IF(C11="","",VLOOKUP(C11,DanhSach,4,FALSE))</f>
        <v>PHÚC(TH)</v>
      </c>
      <c r="D45" s="105" t="str">
        <f t="shared" si="54"/>
        <v>TÂM</v>
      </c>
      <c r="E45" s="105" t="str">
        <f t="shared" si="54"/>
        <v>HÙNG (QT)</v>
      </c>
      <c r="F45" s="105" t="str">
        <f t="shared" si="54"/>
        <v>DŨNG</v>
      </c>
      <c r="G45" s="105" t="str">
        <f t="shared" si="54"/>
        <v/>
      </c>
      <c r="H45" s="105" t="e">
        <f t="shared" si="54"/>
        <v>#N/A</v>
      </c>
      <c r="I45" s="105" t="str">
        <f t="shared" si="54"/>
        <v>THANH (H)</v>
      </c>
      <c r="J45" s="105" t="str">
        <f t="shared" si="54"/>
        <v/>
      </c>
      <c r="K45" s="105" t="str">
        <f t="shared" si="54"/>
        <v>AVBN</v>
      </c>
      <c r="L45" s="105" t="str">
        <f t="shared" si="54"/>
        <v>THÀNH (Đ)</v>
      </c>
      <c r="M45" s="105" t="str">
        <f t="shared" si="54"/>
        <v>AVBN</v>
      </c>
      <c r="N45" s="105" t="str">
        <f t="shared" si="54"/>
        <v/>
      </c>
      <c r="O45" s="105" t="e">
        <f t="shared" si="54"/>
        <v>#N/A</v>
      </c>
      <c r="P45" s="105" t="str">
        <f t="shared" si="54"/>
        <v>Duy</v>
      </c>
      <c r="Q45" s="105" t="e">
        <f t="shared" si="46"/>
        <v>#N/A</v>
      </c>
      <c r="R45" s="105" t="str">
        <f t="shared" si="46"/>
        <v>XUÂN (QT)</v>
      </c>
      <c r="S45" s="105" t="str">
        <f t="shared" si="46"/>
        <v/>
      </c>
      <c r="T45" s="105" t="str">
        <f t="shared" si="19"/>
        <v>HẰNG (KTPL)</v>
      </c>
      <c r="U45" s="105" t="str">
        <f t="shared" si="19"/>
        <v/>
      </c>
      <c r="V45" s="105" t="str">
        <f t="shared" si="19"/>
        <v>HÙNG (AV)</v>
      </c>
      <c r="W45" s="105" t="str">
        <f t="shared" si="19"/>
        <v>T.GIANG</v>
      </c>
      <c r="X45" s="105" t="str">
        <f>IF(X11="","",VLOOKUP(X11,DanhSach,4,FALSE))</f>
        <v/>
      </c>
      <c r="Y45" s="105" t="str">
        <f t="shared" si="26"/>
        <v>THƯƠNG</v>
      </c>
      <c r="Z45" s="105" t="str">
        <f t="shared" ref="Z45:AJ45" si="55">IF(Z11="","",VLOOKUP(Z11,DanhSach,4,FALSE))</f>
        <v>KHANG</v>
      </c>
      <c r="AA45" s="105" t="str">
        <f t="shared" si="55"/>
        <v>THUỶ</v>
      </c>
      <c r="AB45" s="105" t="str">
        <f t="shared" si="55"/>
        <v>BẮC</v>
      </c>
      <c r="AC45" s="105" t="str">
        <f t="shared" si="55"/>
        <v>TRỌNG</v>
      </c>
      <c r="AD45" s="105" t="str">
        <f t="shared" si="55"/>
        <v>TUAN (TD)</v>
      </c>
      <c r="AE45" s="105" t="str">
        <f t="shared" si="55"/>
        <v>TRAN</v>
      </c>
      <c r="AF45" s="105" t="str">
        <f t="shared" si="55"/>
        <v>QUANG (L)</v>
      </c>
      <c r="AG45" s="105" t="str">
        <f t="shared" si="55"/>
        <v>M. THANH</v>
      </c>
      <c r="AH45" s="105" t="str">
        <f t="shared" si="55"/>
        <v>HÂN</v>
      </c>
      <c r="AI45" s="105" t="str">
        <f t="shared" si="55"/>
        <v>KHANG</v>
      </c>
      <c r="AJ45" s="105" t="str">
        <f t="shared" si="55"/>
        <v>B.PHƯƠNG</v>
      </c>
      <c r="AK45" s="105" t="str">
        <f t="shared" si="28"/>
        <v>YẾN</v>
      </c>
      <c r="AL45" s="105" t="str">
        <f t="shared" si="28"/>
        <v>CƯỜNG (TD)</v>
      </c>
      <c r="AM45" s="105" t="str">
        <f t="shared" si="21"/>
        <v>CƯỜNG (TD)</v>
      </c>
      <c r="AN45" s="105" t="str">
        <f t="shared" si="21"/>
        <v/>
      </c>
      <c r="AO45" s="105" t="str">
        <f t="shared" si="21"/>
        <v/>
      </c>
      <c r="AP45" s="105" t="str">
        <f t="shared" si="21"/>
        <v/>
      </c>
      <c r="AQ45" s="105" t="str">
        <f t="shared" si="21"/>
        <v/>
      </c>
      <c r="AR45" s="105" t="e">
        <f t="shared" si="29"/>
        <v>#N/A</v>
      </c>
      <c r="AS45" s="105" t="str">
        <f t="shared" si="29"/>
        <v>NGÂN</v>
      </c>
      <c r="AT45" s="105" t="e">
        <f t="shared" si="29"/>
        <v>#N/A</v>
      </c>
      <c r="AU45" s="105" t="str">
        <f t="shared" ref="AU45:BJ45" si="56">IF(AU11="","",VLOOKUP(AU11,DanhSach,4,FALSE))</f>
        <v/>
      </c>
      <c r="AV45" s="105" t="e">
        <f t="shared" si="56"/>
        <v>#N/A</v>
      </c>
      <c r="AW45" s="105" t="e">
        <f t="shared" si="56"/>
        <v>#N/A</v>
      </c>
      <c r="AX45" s="105" t="e">
        <f t="shared" si="56"/>
        <v>#N/A</v>
      </c>
      <c r="AY45" s="105" t="str">
        <f t="shared" si="56"/>
        <v>THẢO (QP)</v>
      </c>
      <c r="AZ45" s="105" t="e">
        <f t="shared" si="56"/>
        <v>#N/A</v>
      </c>
      <c r="BA45" s="105" t="e">
        <f t="shared" si="56"/>
        <v>#N/A</v>
      </c>
      <c r="BB45" s="105" t="e">
        <f t="shared" si="56"/>
        <v>#N/A</v>
      </c>
      <c r="BC45" s="105" t="str">
        <f t="shared" si="56"/>
        <v/>
      </c>
      <c r="BD45" s="105" t="e">
        <f t="shared" si="56"/>
        <v>#N/A</v>
      </c>
      <c r="BE45" s="105" t="e">
        <f t="shared" si="56"/>
        <v>#N/A</v>
      </c>
      <c r="BF45" s="105" t="str">
        <f t="shared" si="56"/>
        <v/>
      </c>
      <c r="BG45" s="105" t="str">
        <f t="shared" si="31"/>
        <v/>
      </c>
      <c r="BH45" s="105" t="str">
        <f t="shared" si="31"/>
        <v/>
      </c>
      <c r="BI45" s="105" t="str">
        <f t="shared" si="56"/>
        <v/>
      </c>
      <c r="BJ45" s="105" t="str">
        <f t="shared" si="56"/>
        <v/>
      </c>
      <c r="BK45" s="105" t="str">
        <f t="shared" ref="BK45:BU45" si="57">IF(BK11="","",VLOOKUP(BK11,DanhSach,4,FALSE))</f>
        <v/>
      </c>
      <c r="BL45" s="105" t="str">
        <f t="shared" si="57"/>
        <v/>
      </c>
      <c r="BM45" s="105" t="str">
        <f t="shared" si="57"/>
        <v/>
      </c>
      <c r="BN45" s="105" t="str">
        <f t="shared" si="57"/>
        <v/>
      </c>
      <c r="BO45" s="105" t="str">
        <f t="shared" si="57"/>
        <v/>
      </c>
      <c r="BP45" s="105" t="str">
        <f t="shared" si="57"/>
        <v/>
      </c>
      <c r="BQ45" s="105" t="str">
        <f t="shared" si="57"/>
        <v/>
      </c>
      <c r="BR45" s="105" t="str">
        <f t="shared" si="57"/>
        <v/>
      </c>
      <c r="BS45" s="105" t="str">
        <f t="shared" si="57"/>
        <v/>
      </c>
      <c r="BT45" s="105" t="str">
        <f t="shared" si="57"/>
        <v/>
      </c>
      <c r="BU45" s="105" t="str">
        <f t="shared" si="57"/>
        <v/>
      </c>
      <c r="BV45" s="105" t="str">
        <f t="shared" si="24"/>
        <v/>
      </c>
      <c r="BW45" s="105" t="str">
        <f t="shared" si="24"/>
        <v/>
      </c>
      <c r="BX45" s="105" t="str">
        <f t="shared" si="24"/>
        <v/>
      </c>
      <c r="BY45" s="105" t="str">
        <f t="shared" si="24"/>
        <v/>
      </c>
      <c r="BZ45" s="105" t="str">
        <f t="shared" si="24"/>
        <v/>
      </c>
      <c r="CA45" s="106" t="str">
        <f t="shared" si="24"/>
        <v/>
      </c>
      <c r="CB45" s="106" t="str">
        <f t="shared" si="24"/>
        <v/>
      </c>
    </row>
    <row r="46" spans="1:143" s="89" customFormat="1" ht="15.75" customHeight="1" x14ac:dyDescent="0.2">
      <c r="A46" s="99"/>
      <c r="B46" s="113">
        <v>4</v>
      </c>
      <c r="C46" s="105" t="str">
        <f t="shared" ref="C46:P46" si="58">IF(C12="","",VLOOKUP(C12,DanhSach,4,FALSE))</f>
        <v>PHÚC(TH)</v>
      </c>
      <c r="D46" s="105" t="str">
        <f t="shared" si="58"/>
        <v/>
      </c>
      <c r="E46" s="105" t="str">
        <f t="shared" si="58"/>
        <v>HÙNG (QT)</v>
      </c>
      <c r="F46" s="105" t="str">
        <f t="shared" si="58"/>
        <v>DŨNG</v>
      </c>
      <c r="G46" s="105" t="str">
        <f t="shared" si="58"/>
        <v/>
      </c>
      <c r="H46" s="105" t="e">
        <f t="shared" si="58"/>
        <v>#N/A</v>
      </c>
      <c r="I46" s="105" t="str">
        <f t="shared" si="58"/>
        <v>THANH (H)</v>
      </c>
      <c r="J46" s="105" t="str">
        <f t="shared" si="58"/>
        <v/>
      </c>
      <c r="K46" s="105" t="str">
        <f t="shared" si="58"/>
        <v>AVBN</v>
      </c>
      <c r="L46" s="105" t="str">
        <f t="shared" si="58"/>
        <v>THÀNH (Đ)</v>
      </c>
      <c r="M46" s="105" t="str">
        <f t="shared" si="58"/>
        <v>AVBN</v>
      </c>
      <c r="N46" s="105" t="str">
        <f t="shared" si="58"/>
        <v/>
      </c>
      <c r="O46" s="105" t="e">
        <f t="shared" si="58"/>
        <v>#N/A</v>
      </c>
      <c r="P46" s="105" t="str">
        <f t="shared" si="58"/>
        <v>VĨNH</v>
      </c>
      <c r="Q46" s="105" t="e">
        <f t="shared" si="46"/>
        <v>#N/A</v>
      </c>
      <c r="R46" s="105" t="str">
        <f t="shared" si="46"/>
        <v>XUÂN (QT)</v>
      </c>
      <c r="S46" s="105" t="str">
        <f t="shared" si="46"/>
        <v/>
      </c>
      <c r="T46" s="105" t="str">
        <f t="shared" si="19"/>
        <v>TÂM</v>
      </c>
      <c r="U46" s="105" t="str">
        <f t="shared" si="19"/>
        <v/>
      </c>
      <c r="V46" s="105" t="str">
        <f t="shared" si="19"/>
        <v>HÙNG (AV)</v>
      </c>
      <c r="W46" s="105" t="str">
        <f t="shared" si="19"/>
        <v>T.GIANG</v>
      </c>
      <c r="X46" s="105" t="str">
        <f>IF(X12="","",VLOOKUP(X12,DanhSach,4,FALSE))</f>
        <v/>
      </c>
      <c r="Y46" s="105" t="str">
        <f t="shared" si="26"/>
        <v/>
      </c>
      <c r="Z46" s="105" t="str">
        <f t="shared" ref="Z46:AJ46" si="59">IF(Z12="","",VLOOKUP(Z12,DanhSach,4,FALSE))</f>
        <v>KHANG</v>
      </c>
      <c r="AA46" s="105" t="str">
        <f t="shared" si="59"/>
        <v>THUỶ</v>
      </c>
      <c r="AB46" s="105" t="str">
        <f t="shared" si="59"/>
        <v>BẮC</v>
      </c>
      <c r="AC46" s="105" t="str">
        <f t="shared" si="59"/>
        <v>HẢI ( SỬ)</v>
      </c>
      <c r="AD46" s="105" t="str">
        <f t="shared" si="59"/>
        <v>TUAN (TD)</v>
      </c>
      <c r="AE46" s="105" t="str">
        <f t="shared" si="59"/>
        <v>TRAN</v>
      </c>
      <c r="AF46" s="105" t="str">
        <f t="shared" si="59"/>
        <v>QUANG (L)</v>
      </c>
      <c r="AG46" s="105" t="str">
        <f t="shared" si="59"/>
        <v>M. THANH</v>
      </c>
      <c r="AH46" s="105" t="str">
        <f t="shared" si="59"/>
        <v>HÂN</v>
      </c>
      <c r="AI46" s="105" t="str">
        <f t="shared" si="59"/>
        <v>KHANG</v>
      </c>
      <c r="AJ46" s="105" t="str">
        <f t="shared" si="59"/>
        <v>THẮM</v>
      </c>
      <c r="AK46" s="105" t="str">
        <f t="shared" si="28"/>
        <v/>
      </c>
      <c r="AL46" s="105" t="str">
        <f t="shared" si="28"/>
        <v>CƯỜNG (TD)</v>
      </c>
      <c r="AM46" s="105" t="str">
        <f t="shared" si="21"/>
        <v>CƯỜNG (TD)</v>
      </c>
      <c r="AN46" s="105" t="str">
        <f t="shared" si="21"/>
        <v/>
      </c>
      <c r="AO46" s="105" t="str">
        <f t="shared" si="21"/>
        <v/>
      </c>
      <c r="AP46" s="105" t="str">
        <f t="shared" si="21"/>
        <v/>
      </c>
      <c r="AQ46" s="105" t="str">
        <f t="shared" si="21"/>
        <v/>
      </c>
      <c r="AR46" s="105" t="e">
        <f t="shared" si="29"/>
        <v>#N/A</v>
      </c>
      <c r="AS46" s="105" t="str">
        <f t="shared" si="29"/>
        <v/>
      </c>
      <c r="AT46" s="105" t="e">
        <f t="shared" si="29"/>
        <v>#N/A</v>
      </c>
      <c r="AU46" s="105" t="str">
        <f t="shared" ref="AU46:BJ46" si="60">IF(AU12="","",VLOOKUP(AU12,DanhSach,4,FALSE))</f>
        <v/>
      </c>
      <c r="AV46" s="105" t="e">
        <f t="shared" si="60"/>
        <v>#N/A</v>
      </c>
      <c r="AW46" s="105" t="e">
        <f t="shared" si="60"/>
        <v>#N/A</v>
      </c>
      <c r="AX46" s="105" t="e">
        <f t="shared" si="60"/>
        <v>#N/A</v>
      </c>
      <c r="AY46" s="105" t="str">
        <f t="shared" si="60"/>
        <v/>
      </c>
      <c r="AZ46" s="105" t="e">
        <f t="shared" si="60"/>
        <v>#N/A</v>
      </c>
      <c r="BA46" s="105" t="e">
        <f t="shared" si="60"/>
        <v>#N/A</v>
      </c>
      <c r="BB46" s="105" t="e">
        <f t="shared" si="60"/>
        <v>#N/A</v>
      </c>
      <c r="BC46" s="105" t="str">
        <f t="shared" si="60"/>
        <v/>
      </c>
      <c r="BD46" s="105" t="e">
        <f t="shared" si="60"/>
        <v>#N/A</v>
      </c>
      <c r="BE46" s="105" t="e">
        <f t="shared" si="60"/>
        <v>#N/A</v>
      </c>
      <c r="BF46" s="105" t="str">
        <f t="shared" si="60"/>
        <v/>
      </c>
      <c r="BG46" s="105" t="str">
        <f t="shared" si="31"/>
        <v/>
      </c>
      <c r="BH46" s="105" t="str">
        <f t="shared" si="31"/>
        <v/>
      </c>
      <c r="BI46" s="105" t="str">
        <f t="shared" si="60"/>
        <v/>
      </c>
      <c r="BJ46" s="105" t="str">
        <f t="shared" si="60"/>
        <v/>
      </c>
      <c r="BK46" s="105" t="str">
        <f t="shared" ref="BK46:BU46" si="61">IF(BK12="","",VLOOKUP(BK12,DanhSach,4,FALSE))</f>
        <v/>
      </c>
      <c r="BL46" s="105" t="str">
        <f t="shared" si="61"/>
        <v/>
      </c>
      <c r="BM46" s="105" t="str">
        <f t="shared" si="61"/>
        <v/>
      </c>
      <c r="BN46" s="105" t="str">
        <f t="shared" si="61"/>
        <v/>
      </c>
      <c r="BO46" s="105" t="str">
        <f t="shared" si="61"/>
        <v/>
      </c>
      <c r="BP46" s="105" t="str">
        <f t="shared" si="61"/>
        <v/>
      </c>
      <c r="BQ46" s="105" t="str">
        <f t="shared" si="61"/>
        <v/>
      </c>
      <c r="BR46" s="105" t="str">
        <f t="shared" si="61"/>
        <v/>
      </c>
      <c r="BS46" s="105" t="str">
        <f t="shared" si="61"/>
        <v/>
      </c>
      <c r="BT46" s="105" t="str">
        <f t="shared" si="61"/>
        <v/>
      </c>
      <c r="BU46" s="105" t="str">
        <f t="shared" si="61"/>
        <v/>
      </c>
      <c r="BV46" s="105" t="str">
        <f t="shared" si="24"/>
        <v/>
      </c>
      <c r="BW46" s="105" t="str">
        <f t="shared" si="24"/>
        <v/>
      </c>
      <c r="BX46" s="105" t="str">
        <f t="shared" si="24"/>
        <v/>
      </c>
      <c r="BY46" s="105" t="str">
        <f t="shared" si="24"/>
        <v/>
      </c>
      <c r="BZ46" s="105" t="str">
        <f t="shared" si="24"/>
        <v/>
      </c>
      <c r="CA46" s="106" t="str">
        <f t="shared" si="24"/>
        <v/>
      </c>
      <c r="CB46" s="106" t="str">
        <f t="shared" si="24"/>
        <v/>
      </c>
    </row>
    <row r="47" spans="1:143" s="89" customFormat="1" ht="15.75" customHeight="1" thickBot="1" x14ac:dyDescent="0.25">
      <c r="A47" s="107"/>
      <c r="B47" s="114">
        <v>5</v>
      </c>
      <c r="C47" s="109" t="str">
        <f t="shared" ref="C47:P47" si="62">IF(C13="","",VLOOKUP(C13,DanhSach,4,FALSE))</f>
        <v/>
      </c>
      <c r="D47" s="109" t="str">
        <f t="shared" si="62"/>
        <v/>
      </c>
      <c r="E47" s="109" t="str">
        <f t="shared" si="62"/>
        <v/>
      </c>
      <c r="F47" s="109" t="str">
        <f t="shared" si="62"/>
        <v/>
      </c>
      <c r="G47" s="109" t="str">
        <f t="shared" si="62"/>
        <v/>
      </c>
      <c r="H47" s="109" t="str">
        <f t="shared" si="62"/>
        <v/>
      </c>
      <c r="I47" s="109" t="str">
        <f t="shared" si="62"/>
        <v/>
      </c>
      <c r="J47" s="109" t="str">
        <f t="shared" si="62"/>
        <v/>
      </c>
      <c r="K47" s="109" t="str">
        <f t="shared" si="62"/>
        <v/>
      </c>
      <c r="L47" s="109" t="str">
        <f t="shared" si="62"/>
        <v/>
      </c>
      <c r="M47" s="109" t="str">
        <f t="shared" si="62"/>
        <v/>
      </c>
      <c r="N47" s="109" t="str">
        <f t="shared" si="62"/>
        <v/>
      </c>
      <c r="O47" s="109" t="str">
        <f t="shared" si="62"/>
        <v/>
      </c>
      <c r="P47" s="109" t="str">
        <f t="shared" si="62"/>
        <v/>
      </c>
      <c r="Q47" s="109" t="str">
        <f t="shared" si="46"/>
        <v/>
      </c>
      <c r="R47" s="109" t="str">
        <f t="shared" si="46"/>
        <v/>
      </c>
      <c r="S47" s="109" t="str">
        <f t="shared" si="46"/>
        <v/>
      </c>
      <c r="T47" s="109" t="str">
        <f t="shared" si="19"/>
        <v/>
      </c>
      <c r="U47" s="109" t="str">
        <f t="shared" si="19"/>
        <v/>
      </c>
      <c r="V47" s="109" t="str">
        <f t="shared" si="19"/>
        <v/>
      </c>
      <c r="W47" s="109" t="str">
        <f t="shared" si="19"/>
        <v/>
      </c>
      <c r="X47" s="109" t="str">
        <f>IF(X13="","",VLOOKUP(X13,DanhSach,4,FALSE))</f>
        <v/>
      </c>
      <c r="Y47" s="109" t="str">
        <f t="shared" si="26"/>
        <v/>
      </c>
      <c r="Z47" s="109" t="str">
        <f t="shared" ref="Z47:AJ57" si="63">IF(Z13="","",VLOOKUP(Z13,DanhSach,4,FALSE))</f>
        <v/>
      </c>
      <c r="AA47" s="109" t="str">
        <f t="shared" si="63"/>
        <v/>
      </c>
      <c r="AB47" s="109" t="str">
        <f t="shared" si="63"/>
        <v/>
      </c>
      <c r="AC47" s="109" t="str">
        <f t="shared" si="63"/>
        <v/>
      </c>
      <c r="AD47" s="109" t="str">
        <f t="shared" si="63"/>
        <v/>
      </c>
      <c r="AE47" s="109" t="str">
        <f t="shared" si="63"/>
        <v/>
      </c>
      <c r="AF47" s="109" t="str">
        <f t="shared" si="63"/>
        <v/>
      </c>
      <c r="AG47" s="109" t="str">
        <f t="shared" si="63"/>
        <v/>
      </c>
      <c r="AH47" s="109" t="str">
        <f t="shared" si="63"/>
        <v/>
      </c>
      <c r="AI47" s="109" t="str">
        <f t="shared" si="63"/>
        <v/>
      </c>
      <c r="AJ47" s="109" t="str">
        <f t="shared" si="63"/>
        <v/>
      </c>
      <c r="AK47" s="109" t="str">
        <f t="shared" si="28"/>
        <v/>
      </c>
      <c r="AL47" s="109" t="str">
        <f t="shared" si="28"/>
        <v/>
      </c>
      <c r="AM47" s="109" t="str">
        <f t="shared" si="21"/>
        <v/>
      </c>
      <c r="AN47" s="109" t="str">
        <f t="shared" si="21"/>
        <v/>
      </c>
      <c r="AO47" s="109" t="str">
        <f t="shared" si="21"/>
        <v/>
      </c>
      <c r="AP47" s="109" t="str">
        <f t="shared" si="21"/>
        <v/>
      </c>
      <c r="AQ47" s="109" t="str">
        <f t="shared" si="21"/>
        <v/>
      </c>
      <c r="AR47" s="109" t="str">
        <f t="shared" si="29"/>
        <v/>
      </c>
      <c r="AS47" s="109" t="str">
        <f t="shared" si="29"/>
        <v/>
      </c>
      <c r="AT47" s="109" t="str">
        <f t="shared" si="29"/>
        <v/>
      </c>
      <c r="AU47" s="109" t="str">
        <f t="shared" ref="AU47:BJ47" si="64">IF(AU13="","",VLOOKUP(AU13,DanhSach,4,FALSE))</f>
        <v/>
      </c>
      <c r="AV47" s="109" t="str">
        <f t="shared" si="64"/>
        <v/>
      </c>
      <c r="AW47" s="109" t="str">
        <f t="shared" si="64"/>
        <v/>
      </c>
      <c r="AX47" s="109" t="str">
        <f t="shared" si="64"/>
        <v/>
      </c>
      <c r="AY47" s="109" t="str">
        <f t="shared" si="64"/>
        <v/>
      </c>
      <c r="AZ47" s="109" t="str">
        <f t="shared" si="64"/>
        <v/>
      </c>
      <c r="BA47" s="109" t="str">
        <f t="shared" si="64"/>
        <v/>
      </c>
      <c r="BB47" s="109" t="str">
        <f t="shared" si="64"/>
        <v/>
      </c>
      <c r="BC47" s="109" t="str">
        <f t="shared" si="64"/>
        <v/>
      </c>
      <c r="BD47" s="109" t="str">
        <f t="shared" si="64"/>
        <v/>
      </c>
      <c r="BE47" s="109" t="str">
        <f t="shared" si="64"/>
        <v/>
      </c>
      <c r="BF47" s="109" t="str">
        <f t="shared" si="64"/>
        <v/>
      </c>
      <c r="BG47" s="109" t="str">
        <f t="shared" si="31"/>
        <v/>
      </c>
      <c r="BH47" s="109" t="str">
        <f t="shared" si="31"/>
        <v/>
      </c>
      <c r="BI47" s="109" t="str">
        <f t="shared" si="64"/>
        <v/>
      </c>
      <c r="BJ47" s="109" t="str">
        <f t="shared" si="64"/>
        <v/>
      </c>
      <c r="BK47" s="109" t="str">
        <f t="shared" ref="BK47:BU47" si="65">IF(BK13="","",VLOOKUP(BK13,DanhSach,4,FALSE))</f>
        <v/>
      </c>
      <c r="BL47" s="109" t="str">
        <f t="shared" si="65"/>
        <v/>
      </c>
      <c r="BM47" s="109" t="str">
        <f t="shared" si="65"/>
        <v/>
      </c>
      <c r="BN47" s="109" t="str">
        <f t="shared" si="65"/>
        <v/>
      </c>
      <c r="BO47" s="109" t="str">
        <f t="shared" si="65"/>
        <v/>
      </c>
      <c r="BP47" s="109" t="str">
        <f t="shared" si="65"/>
        <v/>
      </c>
      <c r="BQ47" s="109" t="str">
        <f t="shared" si="65"/>
        <v/>
      </c>
      <c r="BR47" s="109" t="str">
        <f t="shared" si="65"/>
        <v/>
      </c>
      <c r="BS47" s="109" t="str">
        <f t="shared" si="65"/>
        <v/>
      </c>
      <c r="BT47" s="109" t="str">
        <f t="shared" si="65"/>
        <v/>
      </c>
      <c r="BU47" s="109" t="str">
        <f t="shared" si="65"/>
        <v/>
      </c>
      <c r="BV47" s="109" t="str">
        <f t="shared" si="24"/>
        <v/>
      </c>
      <c r="BW47" s="109" t="str">
        <f t="shared" si="24"/>
        <v/>
      </c>
      <c r="BX47" s="109" t="str">
        <f t="shared" si="24"/>
        <v/>
      </c>
      <c r="BY47" s="109" t="str">
        <f t="shared" si="24"/>
        <v/>
      </c>
      <c r="BZ47" s="109" t="str">
        <f t="shared" si="24"/>
        <v/>
      </c>
      <c r="CA47" s="110" t="str">
        <f t="shared" si="24"/>
        <v/>
      </c>
      <c r="CB47" s="110" t="str">
        <f t="shared" si="24"/>
        <v/>
      </c>
    </row>
    <row r="48" spans="1:143" s="89" customFormat="1" ht="15.75" customHeight="1" x14ac:dyDescent="0.2">
      <c r="A48" s="111" t="s">
        <v>203</v>
      </c>
      <c r="B48" s="112">
        <v>1</v>
      </c>
      <c r="C48" s="101" t="str">
        <f>IF(C14="","",VLOOKUP(C14,DanhSach,4,FALSE))</f>
        <v>HÙNG (QT)</v>
      </c>
      <c r="D48" s="101" t="str">
        <f t="shared" ref="D48:X48" si="66">IF(D14="","",VLOOKUP(D14,DanhSach,4,FALSE))</f>
        <v/>
      </c>
      <c r="E48" s="101" t="e">
        <f t="shared" si="66"/>
        <v>#N/A</v>
      </c>
      <c r="F48" s="101" t="str">
        <f t="shared" si="66"/>
        <v>AVBN</v>
      </c>
      <c r="G48" s="101" t="e">
        <f t="shared" si="66"/>
        <v>#N/A</v>
      </c>
      <c r="H48" s="101" t="e">
        <f t="shared" si="66"/>
        <v>#N/A</v>
      </c>
      <c r="I48" s="101" t="str">
        <f t="shared" si="66"/>
        <v>AVBN</v>
      </c>
      <c r="J48" s="101" t="str">
        <f t="shared" si="66"/>
        <v>TIÊN</v>
      </c>
      <c r="K48" s="101" t="e">
        <f t="shared" si="66"/>
        <v>#N/A</v>
      </c>
      <c r="L48" s="101" t="str">
        <f t="shared" si="66"/>
        <v>KHOA (THQT)</v>
      </c>
      <c r="M48" s="101" t="str">
        <f t="shared" si="66"/>
        <v>HUYỀN</v>
      </c>
      <c r="N48" s="101" t="str">
        <f t="shared" si="66"/>
        <v>HẬU</v>
      </c>
      <c r="O48" s="101" t="str">
        <f t="shared" si="66"/>
        <v>THÀNH (Đ)</v>
      </c>
      <c r="P48" s="101" t="str">
        <f t="shared" si="66"/>
        <v>XUÂN (QT)</v>
      </c>
      <c r="Q48" s="101" t="str">
        <f t="shared" si="66"/>
        <v>LÀI</v>
      </c>
      <c r="R48" s="101" t="str">
        <f t="shared" si="66"/>
        <v>V.PHƯƠNG</v>
      </c>
      <c r="S48" s="101" t="e">
        <f t="shared" si="66"/>
        <v>#N/A</v>
      </c>
      <c r="T48" s="101" t="e">
        <f t="shared" si="19"/>
        <v>#N/A</v>
      </c>
      <c r="U48" s="101" t="e">
        <f t="shared" si="19"/>
        <v>#N/A</v>
      </c>
      <c r="V48" s="101" t="e">
        <f t="shared" si="19"/>
        <v>#N/A</v>
      </c>
      <c r="W48" s="101" t="e">
        <f t="shared" si="19"/>
        <v>#N/A</v>
      </c>
      <c r="X48" s="101" t="str">
        <f t="shared" si="66"/>
        <v/>
      </c>
      <c r="Y48" s="101" t="str">
        <f t="shared" si="26"/>
        <v>KHUYÊN</v>
      </c>
      <c r="Z48" s="101" t="str">
        <f t="shared" ref="Z48:AJ48" si="67">IF(Z14="","",VLOOKUP(Z14,DanhSach,4,FALSE))</f>
        <v>NHƯ</v>
      </c>
      <c r="AA48" s="101" t="str">
        <f t="shared" si="67"/>
        <v>TRÂN</v>
      </c>
      <c r="AB48" s="101" t="str">
        <f t="shared" si="67"/>
        <v>TUỆ</v>
      </c>
      <c r="AC48" s="101" t="str">
        <f t="shared" si="67"/>
        <v>Vy</v>
      </c>
      <c r="AD48" s="101" t="e">
        <f t="shared" si="67"/>
        <v>#N/A</v>
      </c>
      <c r="AE48" s="101" t="str">
        <f t="shared" si="67"/>
        <v>TRÍ</v>
      </c>
      <c r="AF48" s="101" t="str">
        <f t="shared" si="67"/>
        <v>B.PHƯƠNG</v>
      </c>
      <c r="AG48" s="101" t="str">
        <f t="shared" si="67"/>
        <v/>
      </c>
      <c r="AH48" s="101" t="str">
        <f t="shared" si="67"/>
        <v>ĐÀO</v>
      </c>
      <c r="AI48" s="101" t="str">
        <f t="shared" si="67"/>
        <v>SƯƠNG</v>
      </c>
      <c r="AJ48" s="101" t="str">
        <f t="shared" si="67"/>
        <v/>
      </c>
      <c r="AK48" s="101" t="str">
        <f t="shared" si="28"/>
        <v>HẢI ( SỬ)</v>
      </c>
      <c r="AL48" s="101" t="str">
        <f t="shared" si="28"/>
        <v>M.THI</v>
      </c>
      <c r="AM48" s="101" t="str">
        <f t="shared" ref="AM48:AQ57" si="68">IF(AM14="","",VLOOKUP(AM14,DanhSach,4,FALSE))</f>
        <v>THẢO</v>
      </c>
      <c r="AN48" s="101" t="str">
        <f t="shared" si="68"/>
        <v/>
      </c>
      <c r="AO48" s="101" t="str">
        <f t="shared" si="68"/>
        <v/>
      </c>
      <c r="AP48" s="101" t="str">
        <f t="shared" si="68"/>
        <v/>
      </c>
      <c r="AQ48" s="101" t="str">
        <f t="shared" si="68"/>
        <v/>
      </c>
      <c r="AR48" s="101" t="str">
        <f t="shared" si="29"/>
        <v/>
      </c>
      <c r="AS48" s="101" t="str">
        <f t="shared" si="29"/>
        <v/>
      </c>
      <c r="AT48" s="101" t="str">
        <f t="shared" si="29"/>
        <v/>
      </c>
      <c r="AU48" s="101" t="str">
        <f t="shared" ref="AU48:BJ48" si="69">IF(AU14="","",VLOOKUP(AU14,DanhSach,4,FALSE))</f>
        <v/>
      </c>
      <c r="AV48" s="101" t="str">
        <f t="shared" si="69"/>
        <v/>
      </c>
      <c r="AW48" s="101" t="str">
        <f t="shared" si="69"/>
        <v>ĐIỀN</v>
      </c>
      <c r="AX48" s="101" t="str">
        <f t="shared" si="69"/>
        <v/>
      </c>
      <c r="AY48" s="101" t="str">
        <f t="shared" si="69"/>
        <v/>
      </c>
      <c r="AZ48" s="101" t="str">
        <f t="shared" si="69"/>
        <v>HIỆP(TD)</v>
      </c>
      <c r="BA48" s="101" t="str">
        <f t="shared" si="69"/>
        <v>TUAN (TD)</v>
      </c>
      <c r="BB48" s="101" t="str">
        <f t="shared" si="69"/>
        <v>HẢI (TD)</v>
      </c>
      <c r="BC48" s="101" t="str">
        <f t="shared" si="69"/>
        <v>CƯỜNG (TD)</v>
      </c>
      <c r="BD48" s="101" t="str">
        <f t="shared" si="69"/>
        <v>DIỆM (DP)</v>
      </c>
      <c r="BE48" s="101" t="str">
        <f t="shared" si="69"/>
        <v/>
      </c>
      <c r="BF48" s="101" t="str">
        <f t="shared" si="69"/>
        <v/>
      </c>
      <c r="BG48" s="101" t="str">
        <f t="shared" si="31"/>
        <v/>
      </c>
      <c r="BH48" s="101" t="str">
        <f t="shared" si="31"/>
        <v/>
      </c>
      <c r="BI48" s="101" t="str">
        <f t="shared" si="69"/>
        <v/>
      </c>
      <c r="BJ48" s="101" t="str">
        <f t="shared" si="69"/>
        <v/>
      </c>
      <c r="BK48" s="101" t="str">
        <f t="shared" ref="BK48:BU48" si="70">IF(BK14="","",VLOOKUP(BK14,DanhSach,4,FALSE))</f>
        <v/>
      </c>
      <c r="BL48" s="101" t="str">
        <f t="shared" si="70"/>
        <v/>
      </c>
      <c r="BM48" s="101" t="str">
        <f t="shared" si="70"/>
        <v/>
      </c>
      <c r="BN48" s="101" t="str">
        <f t="shared" si="70"/>
        <v/>
      </c>
      <c r="BO48" s="101" t="str">
        <f t="shared" si="70"/>
        <v/>
      </c>
      <c r="BP48" s="101" t="str">
        <f t="shared" si="70"/>
        <v/>
      </c>
      <c r="BQ48" s="101" t="str">
        <f t="shared" si="70"/>
        <v/>
      </c>
      <c r="BR48" s="101" t="str">
        <f t="shared" si="70"/>
        <v/>
      </c>
      <c r="BS48" s="101" t="str">
        <f t="shared" si="70"/>
        <v/>
      </c>
      <c r="BT48" s="101" t="str">
        <f t="shared" si="70"/>
        <v/>
      </c>
      <c r="BU48" s="101" t="str">
        <f t="shared" si="70"/>
        <v/>
      </c>
      <c r="BV48" s="101" t="str">
        <f t="shared" ref="BV48:CB57" si="71">IF(BV14="","",VLOOKUP(BV14,DanhSach,4,FALSE))</f>
        <v/>
      </c>
      <c r="BW48" s="101" t="str">
        <f t="shared" si="71"/>
        <v/>
      </c>
      <c r="BX48" s="101" t="str">
        <f t="shared" si="71"/>
        <v/>
      </c>
      <c r="BY48" s="101" t="str">
        <f t="shared" si="71"/>
        <v/>
      </c>
      <c r="BZ48" s="101" t="str">
        <f t="shared" si="71"/>
        <v/>
      </c>
      <c r="CA48" s="103" t="str">
        <f t="shared" si="71"/>
        <v/>
      </c>
      <c r="CB48" s="103" t="str">
        <f t="shared" si="71"/>
        <v/>
      </c>
    </row>
    <row r="49" spans="1:80" s="89" customFormat="1" ht="15.75" customHeight="1" x14ac:dyDescent="0.2">
      <c r="A49" s="99" t="s">
        <v>193</v>
      </c>
      <c r="B49" s="113">
        <v>2</v>
      </c>
      <c r="C49" s="105" t="str">
        <f t="shared" ref="C49:X49" si="72">IF(C15="","",VLOOKUP(C15,DanhSach,4,FALSE))</f>
        <v>HÙNG (QT)</v>
      </c>
      <c r="D49" s="105" t="str">
        <f t="shared" si="72"/>
        <v/>
      </c>
      <c r="E49" s="105" t="e">
        <f t="shared" si="72"/>
        <v>#N/A</v>
      </c>
      <c r="F49" s="105" t="str">
        <f t="shared" si="72"/>
        <v>AVBN</v>
      </c>
      <c r="G49" s="105" t="e">
        <f t="shared" si="72"/>
        <v>#N/A</v>
      </c>
      <c r="H49" s="105" t="e">
        <f t="shared" si="72"/>
        <v>#N/A</v>
      </c>
      <c r="I49" s="105" t="str">
        <f t="shared" si="72"/>
        <v>AVBN</v>
      </c>
      <c r="J49" s="105" t="str">
        <f t="shared" si="72"/>
        <v>L.Anh</v>
      </c>
      <c r="K49" s="105" t="e">
        <f t="shared" si="72"/>
        <v>#N/A</v>
      </c>
      <c r="L49" s="105" t="str">
        <f t="shared" si="72"/>
        <v>KHOA (THQT)</v>
      </c>
      <c r="M49" s="105" t="str">
        <f t="shared" si="72"/>
        <v>CHẤT</v>
      </c>
      <c r="N49" s="105" t="str">
        <f t="shared" si="72"/>
        <v>HUYỀN</v>
      </c>
      <c r="O49" s="105" t="str">
        <f t="shared" si="72"/>
        <v>DIỆM (DP)</v>
      </c>
      <c r="P49" s="105" t="str">
        <f t="shared" si="72"/>
        <v>XUÂN (QT)</v>
      </c>
      <c r="Q49" s="105" t="str">
        <f t="shared" si="72"/>
        <v>KHUYÊN</v>
      </c>
      <c r="R49" s="105" t="str">
        <f t="shared" si="72"/>
        <v>V.PHƯƠNG</v>
      </c>
      <c r="S49" s="105" t="e">
        <f t="shared" si="72"/>
        <v>#N/A</v>
      </c>
      <c r="T49" s="105" t="e">
        <f t="shared" si="19"/>
        <v>#N/A</v>
      </c>
      <c r="U49" s="105" t="e">
        <f t="shared" si="19"/>
        <v>#N/A</v>
      </c>
      <c r="V49" s="105" t="e">
        <f t="shared" si="19"/>
        <v>#N/A</v>
      </c>
      <c r="W49" s="105" t="e">
        <f t="shared" si="19"/>
        <v>#N/A</v>
      </c>
      <c r="X49" s="105" t="str">
        <f t="shared" si="72"/>
        <v/>
      </c>
      <c r="Y49" s="105" t="str">
        <f t="shared" si="26"/>
        <v>KHUYÊN</v>
      </c>
      <c r="Z49" s="105" t="str">
        <f t="shared" si="63"/>
        <v>NHƯ</v>
      </c>
      <c r="AA49" s="105" t="str">
        <f t="shared" si="63"/>
        <v>TRÂN</v>
      </c>
      <c r="AB49" s="105" t="str">
        <f t="shared" si="63"/>
        <v>TUỆ</v>
      </c>
      <c r="AC49" s="105" t="str">
        <f t="shared" si="63"/>
        <v>THÀNH (Đ)</v>
      </c>
      <c r="AD49" s="105" t="e">
        <f t="shared" si="63"/>
        <v>#N/A</v>
      </c>
      <c r="AE49" s="105" t="str">
        <f t="shared" si="63"/>
        <v>TRÍ</v>
      </c>
      <c r="AF49" s="105" t="str">
        <f t="shared" si="63"/>
        <v>B.PHƯƠNG</v>
      </c>
      <c r="AG49" s="105" t="str">
        <f t="shared" si="63"/>
        <v>ĐÀO</v>
      </c>
      <c r="AH49" s="105" t="str">
        <f t="shared" si="63"/>
        <v>DUNG</v>
      </c>
      <c r="AI49" s="105" t="str">
        <f t="shared" si="63"/>
        <v>SƯƠNG</v>
      </c>
      <c r="AJ49" s="105" t="str">
        <f t="shared" si="63"/>
        <v>M.THI</v>
      </c>
      <c r="AK49" s="105" t="str">
        <f t="shared" si="28"/>
        <v>HẢI ( SỬ)</v>
      </c>
      <c r="AL49" s="105" t="str">
        <f t="shared" si="28"/>
        <v>THẢO (CN)</v>
      </c>
      <c r="AM49" s="105" t="str">
        <f t="shared" si="68"/>
        <v>THẢO</v>
      </c>
      <c r="AN49" s="105" t="str">
        <f t="shared" si="68"/>
        <v/>
      </c>
      <c r="AO49" s="105" t="str">
        <f t="shared" si="68"/>
        <v/>
      </c>
      <c r="AP49" s="105" t="str">
        <f t="shared" si="68"/>
        <v/>
      </c>
      <c r="AQ49" s="105" t="str">
        <f t="shared" si="68"/>
        <v/>
      </c>
      <c r="AR49" s="105" t="str">
        <f t="shared" si="29"/>
        <v/>
      </c>
      <c r="AS49" s="105" t="str">
        <f t="shared" si="29"/>
        <v/>
      </c>
      <c r="AT49" s="105" t="str">
        <f t="shared" si="29"/>
        <v/>
      </c>
      <c r="AU49" s="105" t="str">
        <f t="shared" ref="AU49:BJ49" si="73">IF(AU15="","",VLOOKUP(AU15,DanhSach,4,FALSE))</f>
        <v/>
      </c>
      <c r="AV49" s="105" t="str">
        <f t="shared" si="73"/>
        <v/>
      </c>
      <c r="AW49" s="105" t="str">
        <f t="shared" si="73"/>
        <v>ĐIỀN</v>
      </c>
      <c r="AX49" s="105" t="str">
        <f t="shared" si="73"/>
        <v/>
      </c>
      <c r="AY49" s="105" t="str">
        <f t="shared" si="73"/>
        <v/>
      </c>
      <c r="AZ49" s="105" t="str">
        <f t="shared" si="73"/>
        <v>HIỆP(TD)</v>
      </c>
      <c r="BA49" s="105" t="str">
        <f t="shared" si="73"/>
        <v>TUAN (TD)</v>
      </c>
      <c r="BB49" s="105" t="str">
        <f t="shared" si="73"/>
        <v>HẢI (TD)</v>
      </c>
      <c r="BC49" s="105" t="str">
        <f t="shared" si="73"/>
        <v>CƯỜNG (TD)</v>
      </c>
      <c r="BD49" s="105" t="str">
        <f t="shared" si="73"/>
        <v>TIÊN</v>
      </c>
      <c r="BE49" s="105" t="str">
        <f t="shared" si="73"/>
        <v/>
      </c>
      <c r="BF49" s="105" t="str">
        <f t="shared" si="73"/>
        <v/>
      </c>
      <c r="BG49" s="105" t="str">
        <f t="shared" si="31"/>
        <v/>
      </c>
      <c r="BH49" s="105" t="str">
        <f t="shared" si="31"/>
        <v/>
      </c>
      <c r="BI49" s="105" t="str">
        <f t="shared" si="73"/>
        <v/>
      </c>
      <c r="BJ49" s="105" t="str">
        <f t="shared" si="73"/>
        <v/>
      </c>
      <c r="BK49" s="105" t="str">
        <f t="shared" ref="BK49:BU49" si="74">IF(BK15="","",VLOOKUP(BK15,DanhSach,4,FALSE))</f>
        <v/>
      </c>
      <c r="BL49" s="105" t="str">
        <f t="shared" si="74"/>
        <v/>
      </c>
      <c r="BM49" s="105" t="str">
        <f t="shared" si="74"/>
        <v/>
      </c>
      <c r="BN49" s="105" t="str">
        <f t="shared" si="74"/>
        <v/>
      </c>
      <c r="BO49" s="105" t="str">
        <f t="shared" si="74"/>
        <v/>
      </c>
      <c r="BP49" s="105" t="str">
        <f t="shared" si="74"/>
        <v/>
      </c>
      <c r="BQ49" s="105" t="str">
        <f t="shared" si="74"/>
        <v/>
      </c>
      <c r="BR49" s="105" t="str">
        <f t="shared" si="74"/>
        <v/>
      </c>
      <c r="BS49" s="105" t="str">
        <f t="shared" si="74"/>
        <v/>
      </c>
      <c r="BT49" s="105" t="str">
        <f t="shared" si="74"/>
        <v/>
      </c>
      <c r="BU49" s="105" t="str">
        <f t="shared" si="74"/>
        <v/>
      </c>
      <c r="BV49" s="105" t="str">
        <f t="shared" si="71"/>
        <v/>
      </c>
      <c r="BW49" s="105" t="str">
        <f t="shared" si="71"/>
        <v/>
      </c>
      <c r="BX49" s="105" t="str">
        <f t="shared" si="71"/>
        <v/>
      </c>
      <c r="BY49" s="105" t="str">
        <f t="shared" si="71"/>
        <v/>
      </c>
      <c r="BZ49" s="105" t="str">
        <f t="shared" si="71"/>
        <v/>
      </c>
      <c r="CA49" s="106" t="str">
        <f t="shared" si="71"/>
        <v/>
      </c>
      <c r="CB49" s="106" t="str">
        <f t="shared" si="71"/>
        <v/>
      </c>
    </row>
    <row r="50" spans="1:80" s="89" customFormat="1" ht="15.75" customHeight="1" x14ac:dyDescent="0.2">
      <c r="A50" s="99" t="s">
        <v>217</v>
      </c>
      <c r="B50" s="113">
        <v>3</v>
      </c>
      <c r="C50" s="105" t="str">
        <f t="shared" ref="C50:X50" si="75">IF(C16="","",VLOOKUP(C16,DanhSach,4,FALSE))</f>
        <v>DIỄM</v>
      </c>
      <c r="D50" s="105" t="e">
        <f t="shared" si="75"/>
        <v>#N/A</v>
      </c>
      <c r="E50" s="105" t="e">
        <f t="shared" si="75"/>
        <v>#N/A</v>
      </c>
      <c r="F50" s="105" t="str">
        <f t="shared" si="75"/>
        <v>XUÂN (QT)</v>
      </c>
      <c r="G50" s="105" t="str">
        <f t="shared" si="75"/>
        <v>L.Anh</v>
      </c>
      <c r="H50" s="105" t="str">
        <f t="shared" si="75"/>
        <v>Nguyện</v>
      </c>
      <c r="I50" s="105" t="str">
        <f t="shared" si="75"/>
        <v>HÙNG (QT)</v>
      </c>
      <c r="J50" s="105" t="e">
        <f t="shared" si="75"/>
        <v>#N/A</v>
      </c>
      <c r="K50" s="105" t="str">
        <f t="shared" si="75"/>
        <v>KHÔI</v>
      </c>
      <c r="L50" s="105" t="e">
        <f t="shared" si="75"/>
        <v>#N/A</v>
      </c>
      <c r="M50" s="105" t="str">
        <f t="shared" si="75"/>
        <v>ĐÀO</v>
      </c>
      <c r="N50" s="105" t="e">
        <f t="shared" si="75"/>
        <v>#N/A</v>
      </c>
      <c r="O50" s="105" t="e">
        <f t="shared" si="75"/>
        <v>#N/A</v>
      </c>
      <c r="P50" s="105" t="e">
        <f t="shared" si="75"/>
        <v>#N/A</v>
      </c>
      <c r="Q50" s="105" t="str">
        <f t="shared" si="75"/>
        <v>KHUYÊN</v>
      </c>
      <c r="R50" s="105" t="e">
        <f t="shared" si="75"/>
        <v>#N/A</v>
      </c>
      <c r="S50" s="105" t="str">
        <f t="shared" si="75"/>
        <v/>
      </c>
      <c r="T50" s="105" t="str">
        <f t="shared" si="19"/>
        <v/>
      </c>
      <c r="U50" s="105" t="e">
        <f t="shared" si="19"/>
        <v>#N/A</v>
      </c>
      <c r="V50" s="105" t="str">
        <f t="shared" si="19"/>
        <v/>
      </c>
      <c r="W50" s="105" t="str">
        <f t="shared" si="19"/>
        <v/>
      </c>
      <c r="X50" s="105" t="str">
        <f t="shared" si="75"/>
        <v/>
      </c>
      <c r="Y50" s="105" t="str">
        <f t="shared" si="26"/>
        <v>ĐIỀN</v>
      </c>
      <c r="Z50" s="105" t="e">
        <f t="shared" si="63"/>
        <v>#N/A</v>
      </c>
      <c r="AA50" s="105" t="str">
        <f t="shared" si="63"/>
        <v>HẢI ( SỬ)</v>
      </c>
      <c r="AB50" s="105" t="str">
        <f t="shared" si="63"/>
        <v>BẮC</v>
      </c>
      <c r="AC50" s="105" t="str">
        <f t="shared" si="63"/>
        <v>DIỆM (DP)</v>
      </c>
      <c r="AD50" s="105" t="str">
        <f t="shared" si="63"/>
        <v>Tùng</v>
      </c>
      <c r="AE50" s="105" t="str">
        <f t="shared" si="63"/>
        <v>TRÂN</v>
      </c>
      <c r="AF50" s="105" t="str">
        <f t="shared" si="63"/>
        <v>TRÍ</v>
      </c>
      <c r="AG50" s="105" t="str">
        <f t="shared" si="63"/>
        <v>CƯỜNG (QT)</v>
      </c>
      <c r="AH50" s="105" t="e">
        <f t="shared" si="63"/>
        <v>#N/A</v>
      </c>
      <c r="AI50" s="105" t="str">
        <f t="shared" si="63"/>
        <v>LÀI</v>
      </c>
      <c r="AJ50" s="105" t="str">
        <f t="shared" si="63"/>
        <v>B.PHƯƠNG</v>
      </c>
      <c r="AK50" s="105" t="str">
        <f t="shared" si="28"/>
        <v>THẢO (CN)</v>
      </c>
      <c r="AL50" s="105" t="str">
        <f t="shared" si="28"/>
        <v>TUỆ</v>
      </c>
      <c r="AM50" s="105" t="str">
        <f t="shared" si="68"/>
        <v>DUNG</v>
      </c>
      <c r="AN50" s="105" t="str">
        <f t="shared" si="68"/>
        <v/>
      </c>
      <c r="AO50" s="105" t="str">
        <f t="shared" si="68"/>
        <v/>
      </c>
      <c r="AP50" s="105" t="str">
        <f t="shared" si="68"/>
        <v/>
      </c>
      <c r="AQ50" s="105" t="str">
        <f t="shared" si="68"/>
        <v/>
      </c>
      <c r="AR50" s="105" t="str">
        <f t="shared" si="29"/>
        <v>THƠ</v>
      </c>
      <c r="AS50" s="105" t="str">
        <f t="shared" si="29"/>
        <v>KHANG</v>
      </c>
      <c r="AT50" s="105" t="str">
        <f t="shared" si="29"/>
        <v>HIỆP(TD)</v>
      </c>
      <c r="AU50" s="105" t="str">
        <f t="shared" ref="AU50:BJ50" si="76">IF(AU16="","",VLOOKUP(AU16,DanhSach,4,FALSE))</f>
        <v/>
      </c>
      <c r="AV50" s="105" t="str">
        <f t="shared" si="76"/>
        <v/>
      </c>
      <c r="AW50" s="105" t="str">
        <f t="shared" si="76"/>
        <v/>
      </c>
      <c r="AX50" s="105" t="str">
        <f t="shared" si="76"/>
        <v>THƠ</v>
      </c>
      <c r="AY50" s="105" t="str">
        <f t="shared" si="76"/>
        <v/>
      </c>
      <c r="AZ50" s="105" t="str">
        <f t="shared" si="76"/>
        <v/>
      </c>
      <c r="BA50" s="105" t="str">
        <f t="shared" si="76"/>
        <v/>
      </c>
      <c r="BB50" s="105" t="str">
        <f t="shared" si="76"/>
        <v/>
      </c>
      <c r="BC50" s="105" t="str">
        <f t="shared" si="76"/>
        <v/>
      </c>
      <c r="BD50" s="105" t="str">
        <f t="shared" si="76"/>
        <v/>
      </c>
      <c r="BE50" s="105" t="str">
        <f t="shared" si="76"/>
        <v>KHANG</v>
      </c>
      <c r="BF50" s="105" t="str">
        <f t="shared" si="76"/>
        <v/>
      </c>
      <c r="BG50" s="105" t="str">
        <f t="shared" si="31"/>
        <v/>
      </c>
      <c r="BH50" s="105" t="str">
        <f t="shared" si="31"/>
        <v/>
      </c>
      <c r="BI50" s="105" t="str">
        <f t="shared" si="76"/>
        <v/>
      </c>
      <c r="BJ50" s="105" t="str">
        <f t="shared" si="76"/>
        <v/>
      </c>
      <c r="BK50" s="105" t="str">
        <f t="shared" ref="BK50:BU50" si="77">IF(BK16="","",VLOOKUP(BK16,DanhSach,4,FALSE))</f>
        <v/>
      </c>
      <c r="BL50" s="105" t="str">
        <f t="shared" si="77"/>
        <v/>
      </c>
      <c r="BM50" s="105" t="str">
        <f t="shared" si="77"/>
        <v/>
      </c>
      <c r="BN50" s="105" t="str">
        <f t="shared" si="77"/>
        <v/>
      </c>
      <c r="BO50" s="105" t="str">
        <f t="shared" si="77"/>
        <v/>
      </c>
      <c r="BP50" s="105" t="str">
        <f t="shared" si="77"/>
        <v/>
      </c>
      <c r="BQ50" s="105" t="str">
        <f t="shared" si="77"/>
        <v/>
      </c>
      <c r="BR50" s="105" t="str">
        <f t="shared" si="77"/>
        <v/>
      </c>
      <c r="BS50" s="105" t="str">
        <f t="shared" si="77"/>
        <v/>
      </c>
      <c r="BT50" s="105" t="str">
        <f t="shared" si="77"/>
        <v/>
      </c>
      <c r="BU50" s="105" t="str">
        <f t="shared" si="77"/>
        <v/>
      </c>
      <c r="BV50" s="105" t="str">
        <f t="shared" si="71"/>
        <v/>
      </c>
      <c r="BW50" s="105" t="str">
        <f t="shared" si="71"/>
        <v/>
      </c>
      <c r="BX50" s="105" t="str">
        <f t="shared" si="71"/>
        <v/>
      </c>
      <c r="BY50" s="105" t="str">
        <f t="shared" si="71"/>
        <v/>
      </c>
      <c r="BZ50" s="105" t="str">
        <f t="shared" si="71"/>
        <v/>
      </c>
      <c r="CA50" s="106" t="str">
        <f t="shared" si="71"/>
        <v/>
      </c>
      <c r="CB50" s="106" t="str">
        <f t="shared" si="71"/>
        <v/>
      </c>
    </row>
    <row r="51" spans="1:80" s="89" customFormat="1" ht="15.75" customHeight="1" x14ac:dyDescent="0.2">
      <c r="A51" s="99"/>
      <c r="B51" s="113">
        <v>4</v>
      </c>
      <c r="C51" s="105" t="str">
        <f t="shared" ref="C51:X51" si="78">IF(C17="","",VLOOKUP(C17,DanhSach,4,FALSE))</f>
        <v>DIỆM (DP)</v>
      </c>
      <c r="D51" s="105" t="e">
        <f t="shared" si="78"/>
        <v>#N/A</v>
      </c>
      <c r="E51" s="105" t="e">
        <f t="shared" si="78"/>
        <v>#N/A</v>
      </c>
      <c r="F51" s="105" t="str">
        <f t="shared" si="78"/>
        <v>XUÂN (QT)</v>
      </c>
      <c r="G51" s="105" t="str">
        <f t="shared" si="78"/>
        <v>L.Anh</v>
      </c>
      <c r="H51" s="105" t="str">
        <f t="shared" si="78"/>
        <v>Nguyện</v>
      </c>
      <c r="I51" s="105" t="str">
        <f t="shared" si="78"/>
        <v>HÙNG (QT)</v>
      </c>
      <c r="J51" s="105" t="e">
        <f t="shared" si="78"/>
        <v>#N/A</v>
      </c>
      <c r="K51" s="105" t="str">
        <f t="shared" si="78"/>
        <v>KHÔI</v>
      </c>
      <c r="L51" s="105" t="e">
        <f t="shared" si="78"/>
        <v>#N/A</v>
      </c>
      <c r="M51" s="105" t="str">
        <f t="shared" si="78"/>
        <v/>
      </c>
      <c r="N51" s="105" t="e">
        <f t="shared" si="78"/>
        <v>#N/A</v>
      </c>
      <c r="O51" s="105" t="e">
        <f t="shared" si="78"/>
        <v>#N/A</v>
      </c>
      <c r="P51" s="105" t="e">
        <f t="shared" si="78"/>
        <v>#N/A</v>
      </c>
      <c r="Q51" s="105" t="str">
        <f t="shared" si="78"/>
        <v/>
      </c>
      <c r="R51" s="105" t="e">
        <f t="shared" si="78"/>
        <v>#N/A</v>
      </c>
      <c r="S51" s="105" t="str">
        <f t="shared" si="78"/>
        <v/>
      </c>
      <c r="T51" s="105" t="str">
        <f t="shared" si="19"/>
        <v/>
      </c>
      <c r="U51" s="105" t="e">
        <f t="shared" si="19"/>
        <v>#N/A</v>
      </c>
      <c r="V51" s="105" t="str">
        <f t="shared" si="19"/>
        <v/>
      </c>
      <c r="W51" s="105" t="str">
        <f t="shared" si="19"/>
        <v/>
      </c>
      <c r="X51" s="105" t="str">
        <f t="shared" si="78"/>
        <v/>
      </c>
      <c r="Y51" s="105" t="str">
        <f t="shared" si="26"/>
        <v>ĐIỀN</v>
      </c>
      <c r="Z51" s="105" t="e">
        <f t="shared" si="63"/>
        <v>#N/A</v>
      </c>
      <c r="AA51" s="105" t="str">
        <f t="shared" si="63"/>
        <v>HẢI ( SỬ)</v>
      </c>
      <c r="AB51" s="105" t="str">
        <f t="shared" si="63"/>
        <v>BẮC</v>
      </c>
      <c r="AC51" s="105" t="str">
        <f t="shared" si="63"/>
        <v/>
      </c>
      <c r="AD51" s="105" t="str">
        <f t="shared" si="63"/>
        <v>Tùng</v>
      </c>
      <c r="AE51" s="105" t="str">
        <f t="shared" si="63"/>
        <v>TRÂN</v>
      </c>
      <c r="AF51" s="105" t="str">
        <f t="shared" si="63"/>
        <v>THẢO (CN)</v>
      </c>
      <c r="AG51" s="105" t="str">
        <f t="shared" si="63"/>
        <v>CƯỜNG (QT)</v>
      </c>
      <c r="AH51" s="105" t="e">
        <f t="shared" si="63"/>
        <v>#N/A</v>
      </c>
      <c r="AI51" s="105" t="str">
        <f t="shared" si="63"/>
        <v/>
      </c>
      <c r="AJ51" s="105" t="str">
        <f t="shared" si="63"/>
        <v>LÀI</v>
      </c>
      <c r="AK51" s="105" t="str">
        <f t="shared" si="28"/>
        <v/>
      </c>
      <c r="AL51" s="105" t="str">
        <f t="shared" si="28"/>
        <v>THÀNH (Đ)</v>
      </c>
      <c r="AM51" s="105" t="str">
        <f t="shared" si="68"/>
        <v>DUNG</v>
      </c>
      <c r="AN51" s="105" t="str">
        <f t="shared" si="68"/>
        <v/>
      </c>
      <c r="AO51" s="105" t="str">
        <f t="shared" si="68"/>
        <v/>
      </c>
      <c r="AP51" s="105" t="str">
        <f t="shared" si="68"/>
        <v/>
      </c>
      <c r="AQ51" s="105" t="str">
        <f t="shared" si="68"/>
        <v/>
      </c>
      <c r="AR51" s="105" t="str">
        <f t="shared" si="29"/>
        <v>THƠ</v>
      </c>
      <c r="AS51" s="105" t="str">
        <f t="shared" si="29"/>
        <v>KHANG</v>
      </c>
      <c r="AT51" s="105" t="str">
        <f t="shared" si="29"/>
        <v>HIỆP(TD)</v>
      </c>
      <c r="AU51" s="105" t="str">
        <f t="shared" ref="AU51:BJ51" si="79">IF(AU17="","",VLOOKUP(AU17,DanhSach,4,FALSE))</f>
        <v/>
      </c>
      <c r="AV51" s="105" t="str">
        <f t="shared" si="79"/>
        <v/>
      </c>
      <c r="AW51" s="105" t="str">
        <f t="shared" si="79"/>
        <v/>
      </c>
      <c r="AX51" s="105" t="str">
        <f t="shared" si="79"/>
        <v>THƠ</v>
      </c>
      <c r="AY51" s="105" t="str">
        <f t="shared" si="79"/>
        <v/>
      </c>
      <c r="AZ51" s="105" t="str">
        <f t="shared" si="79"/>
        <v/>
      </c>
      <c r="BA51" s="105" t="str">
        <f t="shared" si="79"/>
        <v/>
      </c>
      <c r="BB51" s="105" t="str">
        <f t="shared" si="79"/>
        <v/>
      </c>
      <c r="BC51" s="105" t="str">
        <f t="shared" si="79"/>
        <v/>
      </c>
      <c r="BD51" s="105" t="str">
        <f t="shared" si="79"/>
        <v/>
      </c>
      <c r="BE51" s="105" t="str">
        <f t="shared" si="79"/>
        <v>KHANG</v>
      </c>
      <c r="BF51" s="105" t="str">
        <f t="shared" si="79"/>
        <v/>
      </c>
      <c r="BG51" s="105" t="str">
        <f t="shared" si="31"/>
        <v/>
      </c>
      <c r="BH51" s="105" t="str">
        <f t="shared" si="31"/>
        <v/>
      </c>
      <c r="BI51" s="105" t="str">
        <f t="shared" si="79"/>
        <v/>
      </c>
      <c r="BJ51" s="105" t="str">
        <f t="shared" si="79"/>
        <v/>
      </c>
      <c r="BK51" s="105" t="str">
        <f t="shared" ref="BK51:BU51" si="80">IF(BK17="","",VLOOKUP(BK17,DanhSach,4,FALSE))</f>
        <v/>
      </c>
      <c r="BL51" s="105" t="str">
        <f t="shared" si="80"/>
        <v/>
      </c>
      <c r="BM51" s="105" t="str">
        <f t="shared" si="80"/>
        <v/>
      </c>
      <c r="BN51" s="105" t="str">
        <f t="shared" si="80"/>
        <v/>
      </c>
      <c r="BO51" s="105" t="str">
        <f t="shared" si="80"/>
        <v/>
      </c>
      <c r="BP51" s="105" t="str">
        <f t="shared" si="80"/>
        <v/>
      </c>
      <c r="BQ51" s="105" t="str">
        <f t="shared" si="80"/>
        <v/>
      </c>
      <c r="BR51" s="105" t="str">
        <f t="shared" si="80"/>
        <v/>
      </c>
      <c r="BS51" s="105" t="str">
        <f t="shared" si="80"/>
        <v/>
      </c>
      <c r="BT51" s="105" t="str">
        <f t="shared" si="80"/>
        <v/>
      </c>
      <c r="BU51" s="105" t="str">
        <f t="shared" si="80"/>
        <v/>
      </c>
      <c r="BV51" s="105" t="str">
        <f t="shared" si="71"/>
        <v/>
      </c>
      <c r="BW51" s="105" t="str">
        <f t="shared" si="71"/>
        <v/>
      </c>
      <c r="BX51" s="105" t="str">
        <f t="shared" si="71"/>
        <v/>
      </c>
      <c r="BY51" s="105" t="str">
        <f t="shared" si="71"/>
        <v/>
      </c>
      <c r="BZ51" s="105" t="str">
        <f t="shared" si="71"/>
        <v/>
      </c>
      <c r="CA51" s="106" t="str">
        <f t="shared" si="71"/>
        <v/>
      </c>
      <c r="CB51" s="106" t="str">
        <f t="shared" si="71"/>
        <v/>
      </c>
    </row>
    <row r="52" spans="1:80" s="89" customFormat="1" ht="15.75" customHeight="1" thickBot="1" x14ac:dyDescent="0.25">
      <c r="A52" s="107"/>
      <c r="B52" s="114">
        <v>5</v>
      </c>
      <c r="C52" s="109" t="str">
        <f t="shared" ref="C52:X52" si="81">IF(C18="","",VLOOKUP(C18,DanhSach,4,FALSE))</f>
        <v/>
      </c>
      <c r="D52" s="109" t="str">
        <f t="shared" si="81"/>
        <v/>
      </c>
      <c r="E52" s="109" t="str">
        <f t="shared" si="81"/>
        <v/>
      </c>
      <c r="F52" s="109" t="str">
        <f t="shared" si="81"/>
        <v/>
      </c>
      <c r="G52" s="109" t="str">
        <f t="shared" si="81"/>
        <v/>
      </c>
      <c r="H52" s="109" t="str">
        <f t="shared" si="81"/>
        <v/>
      </c>
      <c r="I52" s="109" t="str">
        <f t="shared" si="81"/>
        <v/>
      </c>
      <c r="J52" s="109" t="str">
        <f t="shared" si="81"/>
        <v/>
      </c>
      <c r="K52" s="109" t="str">
        <f t="shared" si="81"/>
        <v/>
      </c>
      <c r="L52" s="109" t="str">
        <f t="shared" si="81"/>
        <v/>
      </c>
      <c r="M52" s="109" t="str">
        <f t="shared" si="81"/>
        <v/>
      </c>
      <c r="N52" s="109" t="str">
        <f t="shared" si="81"/>
        <v/>
      </c>
      <c r="O52" s="109" t="str">
        <f t="shared" si="81"/>
        <v/>
      </c>
      <c r="P52" s="109" t="str">
        <f t="shared" si="81"/>
        <v/>
      </c>
      <c r="Q52" s="109" t="str">
        <f t="shared" si="81"/>
        <v/>
      </c>
      <c r="R52" s="109" t="str">
        <f t="shared" si="81"/>
        <v/>
      </c>
      <c r="S52" s="109" t="str">
        <f t="shared" si="81"/>
        <v/>
      </c>
      <c r="T52" s="109" t="str">
        <f t="shared" si="19"/>
        <v/>
      </c>
      <c r="U52" s="109" t="str">
        <f t="shared" si="19"/>
        <v/>
      </c>
      <c r="V52" s="109" t="str">
        <f t="shared" si="19"/>
        <v/>
      </c>
      <c r="W52" s="109" t="str">
        <f t="shared" si="19"/>
        <v/>
      </c>
      <c r="X52" s="109" t="str">
        <f t="shared" si="81"/>
        <v/>
      </c>
      <c r="Y52" s="109" t="str">
        <f t="shared" si="26"/>
        <v/>
      </c>
      <c r="Z52" s="109" t="str">
        <f t="shared" si="63"/>
        <v/>
      </c>
      <c r="AA52" s="109" t="str">
        <f t="shared" si="63"/>
        <v/>
      </c>
      <c r="AB52" s="109" t="str">
        <f t="shared" si="63"/>
        <v/>
      </c>
      <c r="AC52" s="109" t="str">
        <f t="shared" si="63"/>
        <v/>
      </c>
      <c r="AD52" s="109" t="str">
        <f t="shared" si="63"/>
        <v/>
      </c>
      <c r="AE52" s="109" t="str">
        <f t="shared" si="63"/>
        <v/>
      </c>
      <c r="AF52" s="109" t="str">
        <f t="shared" si="63"/>
        <v/>
      </c>
      <c r="AG52" s="109" t="str">
        <f t="shared" si="63"/>
        <v/>
      </c>
      <c r="AH52" s="109" t="str">
        <f t="shared" si="63"/>
        <v/>
      </c>
      <c r="AI52" s="109" t="str">
        <f t="shared" si="63"/>
        <v/>
      </c>
      <c r="AJ52" s="109" t="str">
        <f t="shared" si="63"/>
        <v/>
      </c>
      <c r="AK52" s="109" t="str">
        <f t="shared" si="28"/>
        <v/>
      </c>
      <c r="AL52" s="109" t="str">
        <f t="shared" si="28"/>
        <v/>
      </c>
      <c r="AM52" s="109" t="str">
        <f t="shared" si="68"/>
        <v/>
      </c>
      <c r="AN52" s="109" t="str">
        <f t="shared" si="68"/>
        <v/>
      </c>
      <c r="AO52" s="109" t="str">
        <f t="shared" si="68"/>
        <v/>
      </c>
      <c r="AP52" s="109" t="str">
        <f t="shared" si="68"/>
        <v/>
      </c>
      <c r="AQ52" s="109" t="str">
        <f t="shared" si="68"/>
        <v/>
      </c>
      <c r="AR52" s="109" t="str">
        <f t="shared" si="29"/>
        <v/>
      </c>
      <c r="AS52" s="109" t="str">
        <f t="shared" si="29"/>
        <v/>
      </c>
      <c r="AT52" s="109" t="str">
        <f t="shared" si="29"/>
        <v/>
      </c>
      <c r="AU52" s="109" t="str">
        <f t="shared" ref="AU52:BJ52" si="82">IF(AU18="","",VLOOKUP(AU18,DanhSach,4,FALSE))</f>
        <v/>
      </c>
      <c r="AV52" s="109" t="str">
        <f t="shared" si="82"/>
        <v/>
      </c>
      <c r="AW52" s="109" t="str">
        <f t="shared" si="82"/>
        <v/>
      </c>
      <c r="AX52" s="109" t="str">
        <f t="shared" si="82"/>
        <v/>
      </c>
      <c r="AY52" s="109" t="str">
        <f t="shared" si="82"/>
        <v/>
      </c>
      <c r="AZ52" s="109" t="str">
        <f t="shared" si="82"/>
        <v/>
      </c>
      <c r="BA52" s="109" t="str">
        <f t="shared" si="82"/>
        <v/>
      </c>
      <c r="BB52" s="109" t="str">
        <f t="shared" si="82"/>
        <v/>
      </c>
      <c r="BC52" s="109" t="str">
        <f t="shared" si="82"/>
        <v/>
      </c>
      <c r="BD52" s="109" t="str">
        <f t="shared" si="82"/>
        <v/>
      </c>
      <c r="BE52" s="109" t="str">
        <f t="shared" si="82"/>
        <v/>
      </c>
      <c r="BF52" s="109" t="str">
        <f t="shared" si="82"/>
        <v/>
      </c>
      <c r="BG52" s="109" t="str">
        <f t="shared" si="31"/>
        <v/>
      </c>
      <c r="BH52" s="109" t="str">
        <f t="shared" si="31"/>
        <v/>
      </c>
      <c r="BI52" s="109" t="str">
        <f t="shared" si="82"/>
        <v/>
      </c>
      <c r="BJ52" s="109" t="str">
        <f t="shared" si="82"/>
        <v/>
      </c>
      <c r="BK52" s="109" t="str">
        <f t="shared" ref="BK52:BU52" si="83">IF(BK18="","",VLOOKUP(BK18,DanhSach,4,FALSE))</f>
        <v/>
      </c>
      <c r="BL52" s="109" t="str">
        <f t="shared" si="83"/>
        <v/>
      </c>
      <c r="BM52" s="109" t="str">
        <f t="shared" si="83"/>
        <v/>
      </c>
      <c r="BN52" s="109" t="str">
        <f t="shared" si="83"/>
        <v/>
      </c>
      <c r="BO52" s="109" t="str">
        <f t="shared" si="83"/>
        <v/>
      </c>
      <c r="BP52" s="109" t="str">
        <f t="shared" si="83"/>
        <v/>
      </c>
      <c r="BQ52" s="109" t="str">
        <f t="shared" si="83"/>
        <v/>
      </c>
      <c r="BR52" s="109" t="str">
        <f t="shared" si="83"/>
        <v/>
      </c>
      <c r="BS52" s="109" t="str">
        <f t="shared" si="83"/>
        <v/>
      </c>
      <c r="BT52" s="109" t="str">
        <f t="shared" si="83"/>
        <v/>
      </c>
      <c r="BU52" s="109" t="str">
        <f t="shared" si="83"/>
        <v/>
      </c>
      <c r="BV52" s="109" t="str">
        <f t="shared" si="71"/>
        <v/>
      </c>
      <c r="BW52" s="109" t="str">
        <f t="shared" si="71"/>
        <v/>
      </c>
      <c r="BX52" s="109" t="str">
        <f t="shared" si="71"/>
        <v/>
      </c>
      <c r="BY52" s="109" t="str">
        <f t="shared" si="71"/>
        <v/>
      </c>
      <c r="BZ52" s="109" t="str">
        <f t="shared" si="71"/>
        <v/>
      </c>
      <c r="CA52" s="110" t="str">
        <f t="shared" si="71"/>
        <v/>
      </c>
      <c r="CB52" s="110" t="str">
        <f t="shared" si="71"/>
        <v/>
      </c>
    </row>
    <row r="53" spans="1:80" s="89" customFormat="1" ht="15.75" customHeight="1" x14ac:dyDescent="0.2">
      <c r="A53" s="111" t="s">
        <v>219</v>
      </c>
      <c r="B53" s="112">
        <v>1</v>
      </c>
      <c r="C53" s="101" t="str">
        <f t="shared" ref="C53:X53" si="84">IF(C19="","",VLOOKUP(C19,DanhSach,4,FALSE))</f>
        <v/>
      </c>
      <c r="D53" s="101" t="str">
        <f t="shared" si="84"/>
        <v>KHUYÊN</v>
      </c>
      <c r="E53" s="101" t="str">
        <f t="shared" si="84"/>
        <v>Duy</v>
      </c>
      <c r="F53" s="101" t="str">
        <f t="shared" si="84"/>
        <v>TUAN (TD)</v>
      </c>
      <c r="G53" s="101" t="str">
        <f t="shared" si="84"/>
        <v>HƯNG</v>
      </c>
      <c r="H53" s="101" t="str">
        <f t="shared" si="84"/>
        <v>HÙNG (TH)</v>
      </c>
      <c r="I53" s="101" t="str">
        <f t="shared" si="84"/>
        <v>HẠNH (L)</v>
      </c>
      <c r="J53" s="101" t="str">
        <f t="shared" si="84"/>
        <v>PHÚC(TH)</v>
      </c>
      <c r="K53" s="101" t="str">
        <f t="shared" si="84"/>
        <v/>
      </c>
      <c r="L53" s="101" t="str">
        <f t="shared" si="84"/>
        <v/>
      </c>
      <c r="M53" s="101" t="str">
        <f t="shared" si="84"/>
        <v>CƯỜNG (TH)</v>
      </c>
      <c r="N53" s="101" t="str">
        <f t="shared" si="84"/>
        <v/>
      </c>
      <c r="O53" s="101" t="str">
        <f t="shared" si="84"/>
        <v>THUỶ</v>
      </c>
      <c r="P53" s="101" t="str">
        <f t="shared" si="84"/>
        <v/>
      </c>
      <c r="Q53" s="101" t="str">
        <f t="shared" si="84"/>
        <v/>
      </c>
      <c r="R53" s="101" t="str">
        <f t="shared" si="84"/>
        <v>HIỆP(TD)</v>
      </c>
      <c r="S53" s="101" t="str">
        <f t="shared" si="84"/>
        <v>B.Trang</v>
      </c>
      <c r="T53" s="101" t="str">
        <f t="shared" si="19"/>
        <v>CƯỜNG (TD)</v>
      </c>
      <c r="U53" s="101" t="str">
        <f t="shared" si="19"/>
        <v>KHANG</v>
      </c>
      <c r="V53" s="101" t="str">
        <f t="shared" si="19"/>
        <v/>
      </c>
      <c r="W53" s="101" t="str">
        <f t="shared" si="19"/>
        <v>TUAN (TD)</v>
      </c>
      <c r="X53" s="101" t="str">
        <f t="shared" si="84"/>
        <v/>
      </c>
      <c r="Y53" s="101" t="str">
        <f t="shared" si="26"/>
        <v/>
      </c>
      <c r="Z53" s="101" t="str">
        <f t="shared" si="63"/>
        <v/>
      </c>
      <c r="AA53" s="101" t="str">
        <f t="shared" si="63"/>
        <v/>
      </c>
      <c r="AB53" s="101" t="str">
        <f t="shared" si="63"/>
        <v/>
      </c>
      <c r="AC53" s="101" t="str">
        <f t="shared" si="63"/>
        <v/>
      </c>
      <c r="AD53" s="101" t="str">
        <f t="shared" si="63"/>
        <v/>
      </c>
      <c r="AE53" s="101" t="str">
        <f t="shared" si="63"/>
        <v/>
      </c>
      <c r="AF53" s="101" t="str">
        <f t="shared" si="63"/>
        <v/>
      </c>
      <c r="AG53" s="101" t="str">
        <f t="shared" si="63"/>
        <v/>
      </c>
      <c r="AH53" s="101" t="str">
        <f t="shared" si="63"/>
        <v/>
      </c>
      <c r="AI53" s="101" t="str">
        <f t="shared" si="63"/>
        <v/>
      </c>
      <c r="AJ53" s="101" t="str">
        <f t="shared" si="63"/>
        <v/>
      </c>
      <c r="AK53" s="101" t="str">
        <f t="shared" si="28"/>
        <v/>
      </c>
      <c r="AL53" s="101" t="str">
        <f t="shared" si="28"/>
        <v/>
      </c>
      <c r="AM53" s="101" t="str">
        <f t="shared" si="68"/>
        <v/>
      </c>
      <c r="AN53" s="101" t="str">
        <f t="shared" si="68"/>
        <v/>
      </c>
      <c r="AO53" s="101" t="str">
        <f t="shared" si="68"/>
        <v/>
      </c>
      <c r="AP53" s="101" t="str">
        <f t="shared" si="68"/>
        <v/>
      </c>
      <c r="AQ53" s="101" t="str">
        <f t="shared" si="68"/>
        <v/>
      </c>
      <c r="AR53" s="101" t="e">
        <f t="shared" si="29"/>
        <v>#N/A</v>
      </c>
      <c r="AS53" s="101" t="str">
        <f t="shared" si="29"/>
        <v>AVBN</v>
      </c>
      <c r="AT53" s="101" t="str">
        <f t="shared" si="29"/>
        <v/>
      </c>
      <c r="AU53" s="101" t="str">
        <f t="shared" ref="AU53:BJ53" si="85">IF(AU19="","",VLOOKUP(AU19,DanhSach,4,FALSE))</f>
        <v>CHẤT</v>
      </c>
      <c r="AV53" s="101" t="str">
        <f t="shared" si="85"/>
        <v>VĨNH</v>
      </c>
      <c r="AW53" s="101" t="str">
        <f t="shared" si="85"/>
        <v>Nguyện</v>
      </c>
      <c r="AX53" s="101" t="str">
        <f t="shared" si="85"/>
        <v>H.THANH</v>
      </c>
      <c r="AY53" s="101" t="str">
        <f t="shared" si="85"/>
        <v>MINH (H)</v>
      </c>
      <c r="AZ53" s="101" t="str">
        <f t="shared" si="85"/>
        <v>HẢI ( SỬ)</v>
      </c>
      <c r="BA53" s="101" t="str">
        <f t="shared" si="85"/>
        <v>KHOA (TIN)</v>
      </c>
      <c r="BB53" s="101" t="str">
        <f t="shared" si="85"/>
        <v>V.PHƯƠNG</v>
      </c>
      <c r="BC53" s="101" t="str">
        <f t="shared" si="85"/>
        <v>T.GIANG</v>
      </c>
      <c r="BD53" s="101" t="str">
        <f t="shared" si="85"/>
        <v>TIÊN</v>
      </c>
      <c r="BE53" s="101" t="str">
        <f t="shared" si="85"/>
        <v>YẾN</v>
      </c>
      <c r="BF53" s="101" t="str">
        <f t="shared" si="85"/>
        <v/>
      </c>
      <c r="BG53" s="101" t="str">
        <f t="shared" si="31"/>
        <v/>
      </c>
      <c r="BH53" s="101" t="str">
        <f t="shared" si="31"/>
        <v/>
      </c>
      <c r="BI53" s="101" t="str">
        <f t="shared" si="85"/>
        <v/>
      </c>
      <c r="BJ53" s="101" t="str">
        <f t="shared" si="85"/>
        <v/>
      </c>
      <c r="BK53" s="101" t="str">
        <f t="shared" ref="BK53:BU53" si="86">IF(BK19="","",VLOOKUP(BK19,DanhSach,4,FALSE))</f>
        <v/>
      </c>
      <c r="BL53" s="101" t="str">
        <f t="shared" si="86"/>
        <v/>
      </c>
      <c r="BM53" s="101" t="str">
        <f t="shared" si="86"/>
        <v/>
      </c>
      <c r="BN53" s="101" t="str">
        <f t="shared" si="86"/>
        <v/>
      </c>
      <c r="BO53" s="101" t="str">
        <f t="shared" si="86"/>
        <v/>
      </c>
      <c r="BP53" s="101" t="str">
        <f t="shared" si="86"/>
        <v/>
      </c>
      <c r="BQ53" s="101" t="str">
        <f t="shared" si="86"/>
        <v/>
      </c>
      <c r="BR53" s="101" t="str">
        <f t="shared" si="86"/>
        <v/>
      </c>
      <c r="BS53" s="101" t="str">
        <f t="shared" si="86"/>
        <v/>
      </c>
      <c r="BT53" s="101" t="str">
        <f t="shared" si="86"/>
        <v/>
      </c>
      <c r="BU53" s="101" t="str">
        <f t="shared" si="86"/>
        <v/>
      </c>
      <c r="BV53" s="101" t="str">
        <f t="shared" si="71"/>
        <v/>
      </c>
      <c r="BW53" s="101" t="str">
        <f t="shared" si="71"/>
        <v/>
      </c>
      <c r="BX53" s="101" t="str">
        <f t="shared" si="71"/>
        <v/>
      </c>
      <c r="BY53" s="101" t="str">
        <f t="shared" si="71"/>
        <v/>
      </c>
      <c r="BZ53" s="101" t="str">
        <f t="shared" si="71"/>
        <v/>
      </c>
      <c r="CA53" s="103" t="str">
        <f t="shared" si="71"/>
        <v/>
      </c>
      <c r="CB53" s="103" t="str">
        <f t="shared" si="71"/>
        <v/>
      </c>
    </row>
    <row r="54" spans="1:80" s="89" customFormat="1" ht="15.75" customHeight="1" x14ac:dyDescent="0.2">
      <c r="A54" s="99" t="s">
        <v>193</v>
      </c>
      <c r="B54" s="113">
        <v>2</v>
      </c>
      <c r="C54" s="105" t="str">
        <f t="shared" ref="C54:X54" si="87">IF(C20="","",VLOOKUP(C20,DanhSach,4,FALSE))</f>
        <v/>
      </c>
      <c r="D54" s="105" t="str">
        <f t="shared" si="87"/>
        <v>HẬU</v>
      </c>
      <c r="E54" s="105" t="str">
        <f t="shared" si="87"/>
        <v>Duy</v>
      </c>
      <c r="F54" s="105" t="str">
        <f t="shared" si="87"/>
        <v>TUAN (TD)</v>
      </c>
      <c r="G54" s="105" t="str">
        <f t="shared" si="87"/>
        <v>ĐÀO</v>
      </c>
      <c r="H54" s="105" t="str">
        <f t="shared" si="87"/>
        <v>HÙNG (TH)</v>
      </c>
      <c r="I54" s="105" t="str">
        <f t="shared" si="87"/>
        <v>HẠNH (L)</v>
      </c>
      <c r="J54" s="105" t="str">
        <f t="shared" si="87"/>
        <v>PHÚC(TH)</v>
      </c>
      <c r="K54" s="105" t="str">
        <f t="shared" si="87"/>
        <v/>
      </c>
      <c r="L54" s="105" t="str">
        <f t="shared" si="87"/>
        <v/>
      </c>
      <c r="M54" s="105" t="str">
        <f t="shared" si="87"/>
        <v>CƯỜNG (TH)</v>
      </c>
      <c r="N54" s="105" t="str">
        <f t="shared" si="87"/>
        <v/>
      </c>
      <c r="O54" s="105" t="str">
        <f t="shared" si="87"/>
        <v>THUỶ</v>
      </c>
      <c r="P54" s="105" t="str">
        <f t="shared" si="87"/>
        <v/>
      </c>
      <c r="Q54" s="105" t="str">
        <f t="shared" si="87"/>
        <v/>
      </c>
      <c r="R54" s="105" t="str">
        <f t="shared" si="87"/>
        <v>HIỆP(TD)</v>
      </c>
      <c r="S54" s="105" t="str">
        <f t="shared" si="87"/>
        <v>B. TRANG</v>
      </c>
      <c r="T54" s="105" t="str">
        <f t="shared" ref="T54:W67" si="88">IF(T20="","",VLOOKUP(T20,DanhSach,4,FALSE))</f>
        <v>CƯỜNG (TD)</v>
      </c>
      <c r="U54" s="105" t="str">
        <f t="shared" si="88"/>
        <v>KHANG</v>
      </c>
      <c r="V54" s="105" t="str">
        <f t="shared" si="88"/>
        <v/>
      </c>
      <c r="W54" s="105" t="str">
        <f t="shared" si="88"/>
        <v>TUAN (TD)</v>
      </c>
      <c r="X54" s="105" t="str">
        <f t="shared" si="87"/>
        <v/>
      </c>
      <c r="Y54" s="105" t="str">
        <f t="shared" si="26"/>
        <v/>
      </c>
      <c r="Z54" s="105" t="str">
        <f t="shared" si="63"/>
        <v/>
      </c>
      <c r="AA54" s="105" t="str">
        <f t="shared" si="63"/>
        <v/>
      </c>
      <c r="AB54" s="105" t="str">
        <f t="shared" si="63"/>
        <v/>
      </c>
      <c r="AC54" s="105" t="str">
        <f t="shared" si="63"/>
        <v/>
      </c>
      <c r="AD54" s="105" t="str">
        <f t="shared" si="63"/>
        <v/>
      </c>
      <c r="AE54" s="105" t="str">
        <f t="shared" si="63"/>
        <v/>
      </c>
      <c r="AF54" s="105" t="str">
        <f t="shared" si="63"/>
        <v/>
      </c>
      <c r="AG54" s="105" t="str">
        <f t="shared" si="63"/>
        <v/>
      </c>
      <c r="AH54" s="105" t="str">
        <f t="shared" si="63"/>
        <v/>
      </c>
      <c r="AI54" s="105" t="str">
        <f t="shared" si="63"/>
        <v/>
      </c>
      <c r="AJ54" s="105" t="str">
        <f t="shared" si="63"/>
        <v/>
      </c>
      <c r="AK54" s="105" t="str">
        <f t="shared" si="28"/>
        <v/>
      </c>
      <c r="AL54" s="105" t="str">
        <f t="shared" si="28"/>
        <v/>
      </c>
      <c r="AM54" s="105" t="str">
        <f t="shared" si="68"/>
        <v/>
      </c>
      <c r="AN54" s="105" t="str">
        <f t="shared" si="68"/>
        <v/>
      </c>
      <c r="AO54" s="105" t="str">
        <f t="shared" si="68"/>
        <v/>
      </c>
      <c r="AP54" s="105" t="str">
        <f t="shared" si="68"/>
        <v/>
      </c>
      <c r="AQ54" s="105" t="str">
        <f t="shared" si="68"/>
        <v/>
      </c>
      <c r="AR54" s="105" t="e">
        <f t="shared" si="29"/>
        <v>#N/A</v>
      </c>
      <c r="AS54" s="105" t="str">
        <f t="shared" si="29"/>
        <v>AVBN</v>
      </c>
      <c r="AT54" s="105" t="str">
        <f t="shared" si="29"/>
        <v/>
      </c>
      <c r="AU54" s="105" t="str">
        <f t="shared" ref="AU54:BJ54" si="89">IF(AU20="","",VLOOKUP(AU20,DanhSach,4,FALSE))</f>
        <v>HẢI ( SỬ)</v>
      </c>
      <c r="AV54" s="105" t="str">
        <f t="shared" si="89"/>
        <v>HƯNG</v>
      </c>
      <c r="AW54" s="105" t="str">
        <f t="shared" si="89"/>
        <v>Nguyện</v>
      </c>
      <c r="AX54" s="105" t="str">
        <f t="shared" si="89"/>
        <v>YẾN</v>
      </c>
      <c r="AY54" s="105" t="str">
        <f t="shared" si="89"/>
        <v>MINH (H)</v>
      </c>
      <c r="AZ54" s="105" t="str">
        <f t="shared" si="89"/>
        <v>DIỄM</v>
      </c>
      <c r="BA54" s="105" t="str">
        <f t="shared" si="89"/>
        <v>KHOA (TIN)</v>
      </c>
      <c r="BB54" s="105" t="str">
        <f t="shared" si="89"/>
        <v>V.PHƯƠNG</v>
      </c>
      <c r="BC54" s="105" t="str">
        <f t="shared" si="89"/>
        <v>T.GIANG</v>
      </c>
      <c r="BD54" s="105" t="str">
        <f t="shared" si="89"/>
        <v>HẰNG (KTPL)</v>
      </c>
      <c r="BE54" s="105" t="str">
        <f t="shared" si="89"/>
        <v>TIÊN</v>
      </c>
      <c r="BF54" s="105" t="str">
        <f t="shared" si="89"/>
        <v/>
      </c>
      <c r="BG54" s="105" t="str">
        <f t="shared" si="31"/>
        <v/>
      </c>
      <c r="BH54" s="105" t="str">
        <f t="shared" si="31"/>
        <v/>
      </c>
      <c r="BI54" s="105" t="str">
        <f t="shared" si="89"/>
        <v/>
      </c>
      <c r="BJ54" s="105" t="str">
        <f t="shared" si="89"/>
        <v/>
      </c>
      <c r="BK54" s="105" t="str">
        <f t="shared" ref="BK54:BU54" si="90">IF(BK20="","",VLOOKUP(BK20,DanhSach,4,FALSE))</f>
        <v/>
      </c>
      <c r="BL54" s="105" t="str">
        <f t="shared" si="90"/>
        <v/>
      </c>
      <c r="BM54" s="105" t="str">
        <f t="shared" si="90"/>
        <v/>
      </c>
      <c r="BN54" s="105" t="str">
        <f t="shared" si="90"/>
        <v/>
      </c>
      <c r="BO54" s="105" t="str">
        <f t="shared" si="90"/>
        <v/>
      </c>
      <c r="BP54" s="105" t="str">
        <f t="shared" si="90"/>
        <v/>
      </c>
      <c r="BQ54" s="105" t="str">
        <f t="shared" si="90"/>
        <v/>
      </c>
      <c r="BR54" s="105" t="str">
        <f t="shared" si="90"/>
        <v/>
      </c>
      <c r="BS54" s="105" t="str">
        <f t="shared" si="90"/>
        <v/>
      </c>
      <c r="BT54" s="105" t="str">
        <f t="shared" si="90"/>
        <v/>
      </c>
      <c r="BU54" s="105" t="str">
        <f t="shared" si="90"/>
        <v/>
      </c>
      <c r="BV54" s="105" t="str">
        <f t="shared" si="71"/>
        <v/>
      </c>
      <c r="BW54" s="105" t="str">
        <f t="shared" si="71"/>
        <v/>
      </c>
      <c r="BX54" s="105" t="str">
        <f t="shared" si="71"/>
        <v/>
      </c>
      <c r="BY54" s="105" t="str">
        <f t="shared" si="71"/>
        <v/>
      </c>
      <c r="BZ54" s="105" t="str">
        <f t="shared" si="71"/>
        <v/>
      </c>
      <c r="CA54" s="106" t="str">
        <f t="shared" si="71"/>
        <v/>
      </c>
      <c r="CB54" s="106" t="str">
        <f t="shared" si="71"/>
        <v/>
      </c>
    </row>
    <row r="55" spans="1:80" s="89" customFormat="1" ht="15.75" customHeight="1" x14ac:dyDescent="0.2">
      <c r="A55" s="99" t="s">
        <v>223</v>
      </c>
      <c r="B55" s="113">
        <v>3</v>
      </c>
      <c r="C55" s="105" t="str">
        <f t="shared" ref="C55:X55" si="91">IF(C21="","",VLOOKUP(C21,DanhSach,4,FALSE))</f>
        <v/>
      </c>
      <c r="D55" s="105" t="str">
        <f t="shared" si="91"/>
        <v>AVBN</v>
      </c>
      <c r="E55" s="105" t="str">
        <f t="shared" si="91"/>
        <v>PHÚC(TH)</v>
      </c>
      <c r="F55" s="105" t="str">
        <f t="shared" si="91"/>
        <v/>
      </c>
      <c r="G55" s="105" t="str">
        <f t="shared" si="91"/>
        <v/>
      </c>
      <c r="H55" s="105" t="e">
        <f t="shared" si="91"/>
        <v>#N/A</v>
      </c>
      <c r="I55" s="105" t="str">
        <f t="shared" si="91"/>
        <v/>
      </c>
      <c r="J55" s="105" t="str">
        <f t="shared" si="91"/>
        <v>CƯỜNG (QT)</v>
      </c>
      <c r="K55" s="105" t="str">
        <f t="shared" si="91"/>
        <v/>
      </c>
      <c r="L55" s="105" t="str">
        <f t="shared" si="91"/>
        <v>TUAN (TD)</v>
      </c>
      <c r="M55" s="105" t="e">
        <f t="shared" si="91"/>
        <v>#N/A</v>
      </c>
      <c r="N55" s="105" t="str">
        <f t="shared" si="91"/>
        <v>CƯỜNG (TD)</v>
      </c>
      <c r="O55" s="105" t="str">
        <f t="shared" si="91"/>
        <v/>
      </c>
      <c r="P55" s="105" t="str">
        <f t="shared" si="91"/>
        <v>KHANG</v>
      </c>
      <c r="Q55" s="105" t="e">
        <f t="shared" si="91"/>
        <v>#N/A</v>
      </c>
      <c r="R55" s="105" t="str">
        <f t="shared" si="91"/>
        <v/>
      </c>
      <c r="S55" s="105" t="str">
        <f t="shared" si="91"/>
        <v>HƯNG</v>
      </c>
      <c r="T55" s="105" t="str">
        <f t="shared" si="88"/>
        <v/>
      </c>
      <c r="U55" s="105" t="str">
        <f t="shared" si="88"/>
        <v/>
      </c>
      <c r="V55" s="105" t="str">
        <f t="shared" si="88"/>
        <v>TUAN (TD)</v>
      </c>
      <c r="W55" s="105" t="str">
        <f t="shared" si="88"/>
        <v/>
      </c>
      <c r="X55" s="105" t="str">
        <f t="shared" si="91"/>
        <v/>
      </c>
      <c r="Y55" s="105" t="str">
        <f t="shared" si="26"/>
        <v/>
      </c>
      <c r="Z55" s="105" t="str">
        <f t="shared" si="63"/>
        <v/>
      </c>
      <c r="AA55" s="105" t="str">
        <f t="shared" si="63"/>
        <v/>
      </c>
      <c r="AB55" s="105" t="str">
        <f t="shared" si="63"/>
        <v/>
      </c>
      <c r="AC55" s="105" t="str">
        <f t="shared" si="63"/>
        <v/>
      </c>
      <c r="AD55" s="105" t="str">
        <f t="shared" si="63"/>
        <v/>
      </c>
      <c r="AE55" s="105" t="str">
        <f t="shared" si="63"/>
        <v/>
      </c>
      <c r="AF55" s="105" t="str">
        <f t="shared" si="63"/>
        <v/>
      </c>
      <c r="AG55" s="105" t="str">
        <f t="shared" si="63"/>
        <v/>
      </c>
      <c r="AH55" s="105" t="str">
        <f t="shared" si="63"/>
        <v/>
      </c>
      <c r="AI55" s="105" t="str">
        <f t="shared" si="63"/>
        <v/>
      </c>
      <c r="AJ55" s="105" t="str">
        <f t="shared" si="63"/>
        <v/>
      </c>
      <c r="AK55" s="105" t="str">
        <f t="shared" ref="AK55:AL67" si="92">IF(AK21="","",VLOOKUP(AK21,DanhSach,4,FALSE))</f>
        <v/>
      </c>
      <c r="AL55" s="105" t="str">
        <f t="shared" si="92"/>
        <v/>
      </c>
      <c r="AM55" s="105" t="str">
        <f t="shared" si="68"/>
        <v/>
      </c>
      <c r="AN55" s="105" t="str">
        <f t="shared" si="68"/>
        <v/>
      </c>
      <c r="AO55" s="105" t="str">
        <f t="shared" si="68"/>
        <v/>
      </c>
      <c r="AP55" s="105" t="str">
        <f t="shared" si="68"/>
        <v/>
      </c>
      <c r="AQ55" s="105" t="str">
        <f t="shared" si="68"/>
        <v/>
      </c>
      <c r="AR55" s="105" t="str">
        <f t="shared" ref="AR55:AT62" si="93">IF(AR21="","",VLOOKUP(AR21,DanhSach,4,FALSE))</f>
        <v/>
      </c>
      <c r="AS55" s="105" t="str">
        <f t="shared" si="93"/>
        <v/>
      </c>
      <c r="AT55" s="105" t="e">
        <f t="shared" si="93"/>
        <v>#N/A</v>
      </c>
      <c r="AU55" s="105" t="e">
        <f t="shared" ref="AU55:BJ55" si="94">IF(AU21="","",VLOOKUP(AU21,DanhSach,4,FALSE))</f>
        <v>#N/A</v>
      </c>
      <c r="AV55" s="105" t="str">
        <f t="shared" si="94"/>
        <v>KHOA (THQT)</v>
      </c>
      <c r="AW55" s="105" t="str">
        <f t="shared" si="94"/>
        <v>HẰNG (KTPL)</v>
      </c>
      <c r="AX55" s="105" t="str">
        <f t="shared" si="94"/>
        <v>YẾN</v>
      </c>
      <c r="AY55" s="105" t="e">
        <f t="shared" si="94"/>
        <v>#N/A</v>
      </c>
      <c r="AZ55" s="105" t="str">
        <f t="shared" si="94"/>
        <v>DIỄM</v>
      </c>
      <c r="BA55" s="105" t="str">
        <f t="shared" si="94"/>
        <v>CHẤT</v>
      </c>
      <c r="BB55" s="105" t="str">
        <f t="shared" si="94"/>
        <v>HẬU</v>
      </c>
      <c r="BC55" s="105" t="str">
        <f t="shared" si="94"/>
        <v>THẢO</v>
      </c>
      <c r="BD55" s="105" t="e">
        <f t="shared" si="94"/>
        <v>#N/A</v>
      </c>
      <c r="BE55" s="105" t="str">
        <f t="shared" si="94"/>
        <v>H.THANH</v>
      </c>
      <c r="BF55" s="105" t="str">
        <f t="shared" si="94"/>
        <v/>
      </c>
      <c r="BG55" s="105" t="str">
        <f t="shared" ref="BG55:BH62" si="95">IF(BG21="","",VLOOKUP(BG21,DanhSach,4,FALSE))</f>
        <v/>
      </c>
      <c r="BH55" s="105" t="str">
        <f t="shared" si="95"/>
        <v/>
      </c>
      <c r="BI55" s="105" t="str">
        <f t="shared" si="94"/>
        <v/>
      </c>
      <c r="BJ55" s="105" t="str">
        <f t="shared" si="94"/>
        <v/>
      </c>
      <c r="BK55" s="105" t="str">
        <f t="shared" ref="BK55:BU55" si="96">IF(BK21="","",VLOOKUP(BK21,DanhSach,4,FALSE))</f>
        <v/>
      </c>
      <c r="BL55" s="105" t="str">
        <f t="shared" si="96"/>
        <v/>
      </c>
      <c r="BM55" s="105" t="str">
        <f t="shared" si="96"/>
        <v/>
      </c>
      <c r="BN55" s="105" t="str">
        <f t="shared" si="96"/>
        <v/>
      </c>
      <c r="BO55" s="105" t="str">
        <f t="shared" si="96"/>
        <v/>
      </c>
      <c r="BP55" s="105" t="str">
        <f t="shared" si="96"/>
        <v/>
      </c>
      <c r="BQ55" s="105" t="str">
        <f t="shared" si="96"/>
        <v/>
      </c>
      <c r="BR55" s="105" t="str">
        <f t="shared" si="96"/>
        <v/>
      </c>
      <c r="BS55" s="105" t="str">
        <f t="shared" si="96"/>
        <v/>
      </c>
      <c r="BT55" s="105" t="str">
        <f t="shared" si="96"/>
        <v/>
      </c>
      <c r="BU55" s="105" t="str">
        <f t="shared" si="96"/>
        <v/>
      </c>
      <c r="BV55" s="105" t="str">
        <f t="shared" si="71"/>
        <v/>
      </c>
      <c r="BW55" s="105" t="str">
        <f t="shared" si="71"/>
        <v/>
      </c>
      <c r="BX55" s="105" t="str">
        <f t="shared" si="71"/>
        <v/>
      </c>
      <c r="BY55" s="105" t="str">
        <f t="shared" si="71"/>
        <v/>
      </c>
      <c r="BZ55" s="105" t="str">
        <f t="shared" si="71"/>
        <v/>
      </c>
      <c r="CA55" s="106" t="str">
        <f t="shared" si="71"/>
        <v/>
      </c>
      <c r="CB55" s="106" t="str">
        <f t="shared" si="71"/>
        <v/>
      </c>
    </row>
    <row r="56" spans="1:80" s="89" customFormat="1" ht="15.75" customHeight="1" x14ac:dyDescent="0.2">
      <c r="A56" s="99"/>
      <c r="B56" s="113">
        <v>4</v>
      </c>
      <c r="C56" s="105" t="str">
        <f t="shared" ref="C56:X56" si="97">IF(C22="","",VLOOKUP(C22,DanhSach,4,FALSE))</f>
        <v/>
      </c>
      <c r="D56" s="105" t="str">
        <f t="shared" si="97"/>
        <v>AVBN</v>
      </c>
      <c r="E56" s="105" t="str">
        <f t="shared" si="97"/>
        <v>PHÚC(TH)</v>
      </c>
      <c r="F56" s="105" t="str">
        <f t="shared" si="97"/>
        <v/>
      </c>
      <c r="G56" s="105" t="str">
        <f t="shared" si="97"/>
        <v/>
      </c>
      <c r="H56" s="105" t="e">
        <f t="shared" si="97"/>
        <v>#N/A</v>
      </c>
      <c r="I56" s="105" t="str">
        <f t="shared" si="97"/>
        <v/>
      </c>
      <c r="J56" s="105" t="str">
        <f t="shared" si="97"/>
        <v>CƯỜNG (QT)</v>
      </c>
      <c r="K56" s="105" t="str">
        <f t="shared" si="97"/>
        <v/>
      </c>
      <c r="L56" s="105" t="str">
        <f t="shared" si="97"/>
        <v>TUAN (TD)</v>
      </c>
      <c r="M56" s="105" t="e">
        <f t="shared" si="97"/>
        <v>#N/A</v>
      </c>
      <c r="N56" s="105" t="str">
        <f t="shared" si="97"/>
        <v>CƯỜNG (TD)</v>
      </c>
      <c r="O56" s="105" t="str">
        <f t="shared" si="97"/>
        <v/>
      </c>
      <c r="P56" s="105" t="str">
        <f t="shared" si="97"/>
        <v>KHANG</v>
      </c>
      <c r="Q56" s="105" t="e">
        <f t="shared" si="97"/>
        <v>#N/A</v>
      </c>
      <c r="R56" s="105" t="str">
        <f t="shared" si="97"/>
        <v/>
      </c>
      <c r="S56" s="105" t="str">
        <f t="shared" si="97"/>
        <v>HƯNG</v>
      </c>
      <c r="T56" s="105" t="str">
        <f t="shared" si="88"/>
        <v/>
      </c>
      <c r="U56" s="105" t="str">
        <f t="shared" si="88"/>
        <v/>
      </c>
      <c r="V56" s="105" t="str">
        <f t="shared" si="88"/>
        <v>TUAN (TD)</v>
      </c>
      <c r="W56" s="105" t="str">
        <f t="shared" si="88"/>
        <v/>
      </c>
      <c r="X56" s="105" t="str">
        <f t="shared" si="97"/>
        <v/>
      </c>
      <c r="Y56" s="105" t="str">
        <f t="shared" si="26"/>
        <v/>
      </c>
      <c r="Z56" s="105" t="str">
        <f t="shared" si="63"/>
        <v/>
      </c>
      <c r="AA56" s="105" t="str">
        <f t="shared" si="63"/>
        <v/>
      </c>
      <c r="AB56" s="105" t="str">
        <f t="shared" si="63"/>
        <v/>
      </c>
      <c r="AC56" s="105" t="str">
        <f t="shared" si="63"/>
        <v/>
      </c>
      <c r="AD56" s="105" t="str">
        <f t="shared" si="63"/>
        <v/>
      </c>
      <c r="AE56" s="105" t="str">
        <f t="shared" si="63"/>
        <v/>
      </c>
      <c r="AF56" s="105" t="str">
        <f t="shared" si="63"/>
        <v/>
      </c>
      <c r="AG56" s="105" t="str">
        <f t="shared" si="63"/>
        <v/>
      </c>
      <c r="AH56" s="105" t="str">
        <f t="shared" si="63"/>
        <v/>
      </c>
      <c r="AI56" s="105" t="str">
        <f t="shared" si="63"/>
        <v/>
      </c>
      <c r="AJ56" s="105" t="str">
        <f t="shared" si="63"/>
        <v/>
      </c>
      <c r="AK56" s="105" t="str">
        <f t="shared" si="92"/>
        <v/>
      </c>
      <c r="AL56" s="105" t="str">
        <f t="shared" si="92"/>
        <v/>
      </c>
      <c r="AM56" s="105" t="str">
        <f t="shared" si="68"/>
        <v/>
      </c>
      <c r="AN56" s="105" t="str">
        <f t="shared" si="68"/>
        <v/>
      </c>
      <c r="AO56" s="105" t="str">
        <f t="shared" si="68"/>
        <v/>
      </c>
      <c r="AP56" s="105" t="str">
        <f t="shared" si="68"/>
        <v/>
      </c>
      <c r="AQ56" s="105" t="str">
        <f t="shared" si="68"/>
        <v/>
      </c>
      <c r="AR56" s="105" t="str">
        <f t="shared" si="93"/>
        <v/>
      </c>
      <c r="AS56" s="105" t="str">
        <f t="shared" si="93"/>
        <v/>
      </c>
      <c r="AT56" s="105" t="e">
        <f t="shared" si="93"/>
        <v>#N/A</v>
      </c>
      <c r="AU56" s="105" t="e">
        <f t="shared" ref="AU56:BJ56" si="98">IF(AU22="","",VLOOKUP(AU22,DanhSach,4,FALSE))</f>
        <v>#N/A</v>
      </c>
      <c r="AV56" s="105" t="str">
        <f t="shared" si="98"/>
        <v>KHOA (THQT)</v>
      </c>
      <c r="AW56" s="105" t="str">
        <f t="shared" si="98"/>
        <v/>
      </c>
      <c r="AX56" s="105" t="str">
        <f t="shared" si="98"/>
        <v/>
      </c>
      <c r="AY56" s="105" t="e">
        <f t="shared" si="98"/>
        <v>#N/A</v>
      </c>
      <c r="AZ56" s="105" t="str">
        <f t="shared" si="98"/>
        <v/>
      </c>
      <c r="BA56" s="105" t="str">
        <f t="shared" si="98"/>
        <v/>
      </c>
      <c r="BB56" s="105" t="str">
        <f t="shared" si="98"/>
        <v/>
      </c>
      <c r="BC56" s="105" t="str">
        <f t="shared" si="98"/>
        <v/>
      </c>
      <c r="BD56" s="105" t="e">
        <f t="shared" si="98"/>
        <v>#N/A</v>
      </c>
      <c r="BE56" s="105" t="str">
        <f t="shared" si="98"/>
        <v/>
      </c>
      <c r="BF56" s="105" t="str">
        <f t="shared" si="98"/>
        <v/>
      </c>
      <c r="BG56" s="105" t="str">
        <f t="shared" si="95"/>
        <v/>
      </c>
      <c r="BH56" s="105" t="str">
        <f t="shared" si="95"/>
        <v/>
      </c>
      <c r="BI56" s="105" t="str">
        <f t="shared" si="98"/>
        <v/>
      </c>
      <c r="BJ56" s="105" t="str">
        <f t="shared" si="98"/>
        <v/>
      </c>
      <c r="BK56" s="105" t="str">
        <f t="shared" ref="BK56:BU56" si="99">IF(BK22="","",VLOOKUP(BK22,DanhSach,4,FALSE))</f>
        <v/>
      </c>
      <c r="BL56" s="105" t="str">
        <f t="shared" si="99"/>
        <v/>
      </c>
      <c r="BM56" s="105" t="str">
        <f t="shared" si="99"/>
        <v/>
      </c>
      <c r="BN56" s="105" t="str">
        <f t="shared" si="99"/>
        <v/>
      </c>
      <c r="BO56" s="105" t="str">
        <f t="shared" si="99"/>
        <v/>
      </c>
      <c r="BP56" s="105" t="str">
        <f t="shared" si="99"/>
        <v/>
      </c>
      <c r="BQ56" s="105" t="str">
        <f t="shared" si="99"/>
        <v/>
      </c>
      <c r="BR56" s="105" t="str">
        <f t="shared" si="99"/>
        <v/>
      </c>
      <c r="BS56" s="105" t="str">
        <f t="shared" si="99"/>
        <v/>
      </c>
      <c r="BT56" s="105" t="str">
        <f t="shared" si="99"/>
        <v/>
      </c>
      <c r="BU56" s="105" t="str">
        <f t="shared" si="99"/>
        <v/>
      </c>
      <c r="BV56" s="105" t="str">
        <f t="shared" si="71"/>
        <v/>
      </c>
      <c r="BW56" s="105" t="str">
        <f t="shared" si="71"/>
        <v/>
      </c>
      <c r="BX56" s="105" t="str">
        <f t="shared" si="71"/>
        <v/>
      </c>
      <c r="BY56" s="105" t="str">
        <f t="shared" si="71"/>
        <v/>
      </c>
      <c r="BZ56" s="105" t="str">
        <f t="shared" si="71"/>
        <v/>
      </c>
      <c r="CA56" s="106" t="str">
        <f t="shared" si="71"/>
        <v/>
      </c>
      <c r="CB56" s="106" t="str">
        <f t="shared" si="71"/>
        <v/>
      </c>
    </row>
    <row r="57" spans="1:80" s="89" customFormat="1" ht="15.75" customHeight="1" thickBot="1" x14ac:dyDescent="0.25">
      <c r="A57" s="107"/>
      <c r="B57" s="114">
        <v>5</v>
      </c>
      <c r="C57" s="109" t="str">
        <f t="shared" ref="C57:X57" si="100">IF(C23="","",VLOOKUP(C23,DanhSach,4,FALSE))</f>
        <v/>
      </c>
      <c r="D57" s="109" t="str">
        <f t="shared" si="100"/>
        <v/>
      </c>
      <c r="E57" s="109" t="str">
        <f t="shared" si="100"/>
        <v/>
      </c>
      <c r="F57" s="109" t="str">
        <f t="shared" si="100"/>
        <v/>
      </c>
      <c r="G57" s="109" t="str">
        <f t="shared" si="100"/>
        <v/>
      </c>
      <c r="H57" s="109" t="str">
        <f t="shared" si="100"/>
        <v/>
      </c>
      <c r="I57" s="109" t="str">
        <f t="shared" si="100"/>
        <v/>
      </c>
      <c r="J57" s="109" t="str">
        <f t="shared" si="100"/>
        <v/>
      </c>
      <c r="K57" s="109" t="str">
        <f t="shared" si="100"/>
        <v/>
      </c>
      <c r="L57" s="109" t="str">
        <f t="shared" si="100"/>
        <v/>
      </c>
      <c r="M57" s="109" t="str">
        <f t="shared" si="100"/>
        <v/>
      </c>
      <c r="N57" s="109" t="str">
        <f t="shared" si="100"/>
        <v/>
      </c>
      <c r="O57" s="109" t="str">
        <f t="shared" si="100"/>
        <v/>
      </c>
      <c r="P57" s="109" t="str">
        <f t="shared" si="100"/>
        <v/>
      </c>
      <c r="Q57" s="109" t="str">
        <f t="shared" si="100"/>
        <v/>
      </c>
      <c r="R57" s="109" t="str">
        <f t="shared" si="100"/>
        <v/>
      </c>
      <c r="S57" s="109" t="str">
        <f t="shared" si="100"/>
        <v/>
      </c>
      <c r="T57" s="109" t="str">
        <f t="shared" si="88"/>
        <v/>
      </c>
      <c r="U57" s="109" t="str">
        <f t="shared" si="88"/>
        <v/>
      </c>
      <c r="V57" s="109" t="str">
        <f t="shared" si="88"/>
        <v/>
      </c>
      <c r="W57" s="109" t="str">
        <f t="shared" si="88"/>
        <v/>
      </c>
      <c r="X57" s="109" t="str">
        <f t="shared" si="100"/>
        <v/>
      </c>
      <c r="Y57" s="109" t="str">
        <f t="shared" si="26"/>
        <v/>
      </c>
      <c r="Z57" s="109" t="str">
        <f t="shared" si="63"/>
        <v/>
      </c>
      <c r="AA57" s="109" t="str">
        <f t="shared" si="63"/>
        <v/>
      </c>
      <c r="AB57" s="109" t="str">
        <f t="shared" si="63"/>
        <v/>
      </c>
      <c r="AC57" s="109" t="str">
        <f t="shared" si="63"/>
        <v/>
      </c>
      <c r="AD57" s="109" t="str">
        <f t="shared" si="63"/>
        <v/>
      </c>
      <c r="AE57" s="109" t="str">
        <f t="shared" si="63"/>
        <v/>
      </c>
      <c r="AF57" s="109" t="str">
        <f t="shared" si="63"/>
        <v/>
      </c>
      <c r="AG57" s="109" t="str">
        <f t="shared" si="63"/>
        <v/>
      </c>
      <c r="AH57" s="109" t="str">
        <f t="shared" si="63"/>
        <v/>
      </c>
      <c r="AI57" s="109" t="str">
        <f t="shared" si="63"/>
        <v/>
      </c>
      <c r="AJ57" s="109" t="str">
        <f t="shared" si="63"/>
        <v/>
      </c>
      <c r="AK57" s="109" t="str">
        <f t="shared" si="92"/>
        <v/>
      </c>
      <c r="AL57" s="109" t="str">
        <f t="shared" si="92"/>
        <v/>
      </c>
      <c r="AM57" s="109" t="str">
        <f t="shared" si="68"/>
        <v/>
      </c>
      <c r="AN57" s="109" t="str">
        <f t="shared" si="68"/>
        <v/>
      </c>
      <c r="AO57" s="109" t="str">
        <f t="shared" si="68"/>
        <v/>
      </c>
      <c r="AP57" s="109" t="str">
        <f t="shared" si="68"/>
        <v/>
      </c>
      <c r="AQ57" s="109" t="str">
        <f t="shared" si="68"/>
        <v/>
      </c>
      <c r="AR57" s="109" t="str">
        <f t="shared" si="93"/>
        <v/>
      </c>
      <c r="AS57" s="109" t="str">
        <f t="shared" si="93"/>
        <v/>
      </c>
      <c r="AT57" s="109" t="str">
        <f t="shared" si="93"/>
        <v/>
      </c>
      <c r="AU57" s="109" t="str">
        <f t="shared" ref="AU57:BJ57" si="101">IF(AU23="","",VLOOKUP(AU23,DanhSach,4,FALSE))</f>
        <v/>
      </c>
      <c r="AV57" s="109" t="str">
        <f t="shared" si="101"/>
        <v/>
      </c>
      <c r="AW57" s="109" t="str">
        <f t="shared" si="101"/>
        <v/>
      </c>
      <c r="AX57" s="109" t="str">
        <f t="shared" si="101"/>
        <v/>
      </c>
      <c r="AY57" s="109" t="str">
        <f t="shared" si="101"/>
        <v/>
      </c>
      <c r="AZ57" s="109" t="str">
        <f t="shared" si="101"/>
        <v/>
      </c>
      <c r="BA57" s="109" t="str">
        <f t="shared" si="101"/>
        <v/>
      </c>
      <c r="BB57" s="109" t="str">
        <f t="shared" si="101"/>
        <v/>
      </c>
      <c r="BC57" s="109" t="str">
        <f t="shared" si="101"/>
        <v/>
      </c>
      <c r="BD57" s="109" t="str">
        <f t="shared" si="101"/>
        <v/>
      </c>
      <c r="BE57" s="109" t="str">
        <f t="shared" si="101"/>
        <v/>
      </c>
      <c r="BF57" s="109" t="str">
        <f t="shared" si="101"/>
        <v/>
      </c>
      <c r="BG57" s="109" t="str">
        <f t="shared" si="95"/>
        <v/>
      </c>
      <c r="BH57" s="109" t="str">
        <f t="shared" si="95"/>
        <v/>
      </c>
      <c r="BI57" s="109" t="str">
        <f t="shared" si="101"/>
        <v/>
      </c>
      <c r="BJ57" s="109" t="str">
        <f t="shared" si="101"/>
        <v/>
      </c>
      <c r="BK57" s="109" t="str">
        <f t="shared" ref="BK57:BU57" si="102">IF(BK23="","",VLOOKUP(BK23,DanhSach,4,FALSE))</f>
        <v/>
      </c>
      <c r="BL57" s="109" t="str">
        <f t="shared" si="102"/>
        <v/>
      </c>
      <c r="BM57" s="109" t="str">
        <f t="shared" si="102"/>
        <v/>
      </c>
      <c r="BN57" s="109" t="str">
        <f t="shared" si="102"/>
        <v/>
      </c>
      <c r="BO57" s="109" t="str">
        <f t="shared" si="102"/>
        <v/>
      </c>
      <c r="BP57" s="109" t="str">
        <f t="shared" si="102"/>
        <v/>
      </c>
      <c r="BQ57" s="109" t="str">
        <f t="shared" si="102"/>
        <v/>
      </c>
      <c r="BR57" s="109" t="str">
        <f t="shared" si="102"/>
        <v/>
      </c>
      <c r="BS57" s="109" t="str">
        <f t="shared" si="102"/>
        <v/>
      </c>
      <c r="BT57" s="109" t="str">
        <f t="shared" si="102"/>
        <v/>
      </c>
      <c r="BU57" s="109" t="str">
        <f t="shared" si="102"/>
        <v/>
      </c>
      <c r="BV57" s="109" t="str">
        <f t="shared" si="71"/>
        <v/>
      </c>
      <c r="BW57" s="109" t="str">
        <f t="shared" si="71"/>
        <v/>
      </c>
      <c r="BX57" s="109" t="str">
        <f t="shared" si="71"/>
        <v/>
      </c>
      <c r="BY57" s="109" t="str">
        <f t="shared" si="71"/>
        <v/>
      </c>
      <c r="BZ57" s="109" t="str">
        <f t="shared" si="71"/>
        <v/>
      </c>
      <c r="CA57" s="110" t="str">
        <f t="shared" si="71"/>
        <v/>
      </c>
      <c r="CB57" s="110" t="str">
        <f t="shared" si="71"/>
        <v/>
      </c>
    </row>
    <row r="58" spans="1:80" s="89" customFormat="1" ht="15.75" customHeight="1" x14ac:dyDescent="0.2">
      <c r="A58" s="111" t="s">
        <v>226</v>
      </c>
      <c r="B58" s="112">
        <v>1</v>
      </c>
      <c r="C58" s="101" t="str">
        <f t="shared" ref="C58:P58" si="103">IF(C24="","",VLOOKUP(C24,DanhSach,4,FALSE))</f>
        <v/>
      </c>
      <c r="D58" s="101" t="str">
        <f t="shared" si="103"/>
        <v/>
      </c>
      <c r="E58" s="101" t="str">
        <f t="shared" si="103"/>
        <v/>
      </c>
      <c r="F58" s="101" t="str">
        <f t="shared" si="103"/>
        <v>VĨNH</v>
      </c>
      <c r="G58" s="101" t="str">
        <f t="shared" si="103"/>
        <v/>
      </c>
      <c r="H58" s="101" t="str">
        <f t="shared" si="103"/>
        <v>CƯỜNG (TD)</v>
      </c>
      <c r="I58" s="101" t="str">
        <f t="shared" si="103"/>
        <v>THƠ</v>
      </c>
      <c r="J58" s="101" t="str">
        <f t="shared" si="103"/>
        <v>KHANG</v>
      </c>
      <c r="K58" s="101" t="str">
        <f t="shared" si="103"/>
        <v>HIỆP(TD)</v>
      </c>
      <c r="L58" s="101" t="str">
        <f t="shared" si="103"/>
        <v>THÊM</v>
      </c>
      <c r="M58" s="101" t="str">
        <f t="shared" si="103"/>
        <v/>
      </c>
      <c r="N58" s="101" t="str">
        <f t="shared" si="103"/>
        <v>D.LINH (T)</v>
      </c>
      <c r="O58" s="101" t="str">
        <f t="shared" si="103"/>
        <v>THƠ</v>
      </c>
      <c r="P58" s="101" t="str">
        <f t="shared" si="103"/>
        <v>AVBN</v>
      </c>
      <c r="Q58" s="101" t="str">
        <f t="shared" ref="Q58:Y67" si="104">IF(Q24="","",VLOOKUP(Q24,DanhSach,4,FALSE))</f>
        <v>CƯỜNG (QT)</v>
      </c>
      <c r="R58" s="101" t="e">
        <f t="shared" si="104"/>
        <v>#N/A</v>
      </c>
      <c r="S58" s="101" t="str">
        <f t="shared" si="104"/>
        <v>TUAN (TD)</v>
      </c>
      <c r="T58" s="101" t="e">
        <f t="shared" si="88"/>
        <v>#N/A</v>
      </c>
      <c r="U58" s="101" t="str">
        <f t="shared" si="88"/>
        <v>HUYỀN</v>
      </c>
      <c r="V58" s="101" t="str">
        <f t="shared" si="88"/>
        <v>THU (KTPL)</v>
      </c>
      <c r="W58" s="101" t="e">
        <f t="shared" si="88"/>
        <v>#N/A</v>
      </c>
      <c r="X58" s="101" t="str">
        <f t="shared" si="104"/>
        <v/>
      </c>
      <c r="Y58" s="101" t="str">
        <f t="shared" si="104"/>
        <v/>
      </c>
      <c r="Z58" s="101" t="str">
        <f t="shared" ref="Z58:AJ58" si="105">IF(Z24="","",VLOOKUP(Z24,DanhSach,4,FALSE))</f>
        <v>Duy</v>
      </c>
      <c r="AA58" s="101" t="str">
        <f t="shared" si="105"/>
        <v/>
      </c>
      <c r="AB58" s="101" t="e">
        <f t="shared" si="105"/>
        <v>#N/A</v>
      </c>
      <c r="AC58" s="101" t="str">
        <f t="shared" si="105"/>
        <v>THU BA</v>
      </c>
      <c r="AD58" s="101" t="str">
        <f t="shared" si="105"/>
        <v>THÀNH (Đ)</v>
      </c>
      <c r="AE58" s="101" t="str">
        <f t="shared" si="105"/>
        <v>THƯ (V)</v>
      </c>
      <c r="AF58" s="101" t="str">
        <f t="shared" si="105"/>
        <v>TRÂN</v>
      </c>
      <c r="AG58" s="101" t="str">
        <f t="shared" si="105"/>
        <v>HÙNG (TH)</v>
      </c>
      <c r="AH58" s="101" t="str">
        <f t="shared" si="105"/>
        <v>ĐÀO</v>
      </c>
      <c r="AI58" s="101" t="str">
        <f t="shared" si="105"/>
        <v>VĨNH</v>
      </c>
      <c r="AJ58" s="101" t="str">
        <f t="shared" si="105"/>
        <v>QUẢNG(T)</v>
      </c>
      <c r="AK58" s="101" t="str">
        <f t="shared" si="92"/>
        <v>THẢO (CN)</v>
      </c>
      <c r="AL58" s="101" t="str">
        <f t="shared" si="92"/>
        <v>NGÂN</v>
      </c>
      <c r="AM58" s="101" t="str">
        <f t="shared" ref="AM58:AQ62" si="106">IF(AM24="","",VLOOKUP(AM24,DanhSach,4,FALSE))</f>
        <v>TỨ</v>
      </c>
      <c r="AN58" s="101" t="str">
        <f t="shared" si="106"/>
        <v/>
      </c>
      <c r="AO58" s="101" t="str">
        <f t="shared" si="106"/>
        <v/>
      </c>
      <c r="AP58" s="101" t="str">
        <f t="shared" si="106"/>
        <v/>
      </c>
      <c r="AQ58" s="101" t="str">
        <f t="shared" si="106"/>
        <v/>
      </c>
      <c r="AR58" s="101" t="str">
        <f t="shared" si="93"/>
        <v>Bao Phuong</v>
      </c>
      <c r="AS58" s="101" t="e">
        <f t="shared" si="93"/>
        <v>#N/A</v>
      </c>
      <c r="AT58" s="101" t="e">
        <f t="shared" si="93"/>
        <v>#N/A</v>
      </c>
      <c r="AU58" s="101" t="str">
        <f t="shared" ref="AU58:BJ58" si="107">IF(AU24="","",VLOOKUP(AU24,DanhSach,4,FALSE))</f>
        <v>H.GIANG</v>
      </c>
      <c r="AV58" s="101" t="str">
        <f t="shared" si="107"/>
        <v>L.HỒNG</v>
      </c>
      <c r="AW58" s="101" t="str">
        <f t="shared" si="107"/>
        <v>AVBN</v>
      </c>
      <c r="AX58" s="101" t="str">
        <f t="shared" si="107"/>
        <v>KHOA (THQT)</v>
      </c>
      <c r="AY58" s="101" t="e">
        <f t="shared" si="107"/>
        <v>#N/A</v>
      </c>
      <c r="AZ58" s="101" t="e">
        <f t="shared" si="107"/>
        <v>#N/A</v>
      </c>
      <c r="BA58" s="101" t="e">
        <f t="shared" si="107"/>
        <v>#N/A</v>
      </c>
      <c r="BB58" s="101" t="str">
        <f t="shared" si="107"/>
        <v>THẢO</v>
      </c>
      <c r="BC58" s="101" t="e">
        <f t="shared" si="107"/>
        <v>#N/A</v>
      </c>
      <c r="BD58" s="101" t="str">
        <f t="shared" si="107"/>
        <v/>
      </c>
      <c r="BE58" s="101" t="str">
        <f t="shared" si="107"/>
        <v>YẾN</v>
      </c>
      <c r="BF58" s="101" t="str">
        <f t="shared" si="107"/>
        <v/>
      </c>
      <c r="BG58" s="101" t="str">
        <f t="shared" si="95"/>
        <v/>
      </c>
      <c r="BH58" s="101" t="str">
        <f t="shared" si="95"/>
        <v/>
      </c>
      <c r="BI58" s="101" t="str">
        <f t="shared" si="107"/>
        <v/>
      </c>
      <c r="BJ58" s="101" t="str">
        <f t="shared" si="107"/>
        <v/>
      </c>
      <c r="BK58" s="101" t="str">
        <f t="shared" ref="BK58:BU58" si="108">IF(BK24="","",VLOOKUP(BK24,DanhSach,4,FALSE))</f>
        <v/>
      </c>
      <c r="BL58" s="101" t="str">
        <f t="shared" si="108"/>
        <v/>
      </c>
      <c r="BM58" s="101" t="str">
        <f t="shared" si="108"/>
        <v/>
      </c>
      <c r="BN58" s="101" t="str">
        <f t="shared" si="108"/>
        <v/>
      </c>
      <c r="BO58" s="101" t="str">
        <f t="shared" si="108"/>
        <v/>
      </c>
      <c r="BP58" s="101" t="str">
        <f t="shared" si="108"/>
        <v/>
      </c>
      <c r="BQ58" s="101" t="str">
        <f t="shared" si="108"/>
        <v/>
      </c>
      <c r="BR58" s="101" t="str">
        <f t="shared" si="108"/>
        <v/>
      </c>
      <c r="BS58" s="101" t="str">
        <f t="shared" si="108"/>
        <v/>
      </c>
      <c r="BT58" s="101" t="str">
        <f t="shared" si="108"/>
        <v/>
      </c>
      <c r="BU58" s="101" t="str">
        <f t="shared" si="108"/>
        <v/>
      </c>
      <c r="BV58" s="101" t="str">
        <f t="shared" ref="BV58:CB67" si="109">IF(BV24="","",VLOOKUP(BV24,DanhSach,4,FALSE))</f>
        <v/>
      </c>
      <c r="BW58" s="101" t="str">
        <f t="shared" si="109"/>
        <v/>
      </c>
      <c r="BX58" s="101" t="str">
        <f t="shared" si="109"/>
        <v/>
      </c>
      <c r="BY58" s="101" t="str">
        <f t="shared" si="109"/>
        <v/>
      </c>
      <c r="BZ58" s="101" t="str">
        <f t="shared" si="109"/>
        <v/>
      </c>
      <c r="CA58" s="103" t="str">
        <f t="shared" si="109"/>
        <v/>
      </c>
      <c r="CB58" s="103" t="str">
        <f t="shared" si="109"/>
        <v/>
      </c>
    </row>
    <row r="59" spans="1:80" s="89" customFormat="1" ht="15.75" customHeight="1" x14ac:dyDescent="0.2">
      <c r="A59" s="99" t="s">
        <v>193</v>
      </c>
      <c r="B59" s="113">
        <v>2</v>
      </c>
      <c r="C59" s="105" t="str">
        <f t="shared" ref="C59:P59" si="110">IF(C25="","",VLOOKUP(C25,DanhSach,4,FALSE))</f>
        <v/>
      </c>
      <c r="D59" s="105" t="str">
        <f t="shared" si="110"/>
        <v/>
      </c>
      <c r="E59" s="105" t="str">
        <f t="shared" si="110"/>
        <v/>
      </c>
      <c r="F59" s="105" t="str">
        <f t="shared" si="110"/>
        <v>L.HỒNG</v>
      </c>
      <c r="G59" s="105" t="str">
        <f t="shared" si="110"/>
        <v/>
      </c>
      <c r="H59" s="105" t="str">
        <f t="shared" si="110"/>
        <v>CƯỜNG (TD)</v>
      </c>
      <c r="I59" s="105" t="str">
        <f t="shared" si="110"/>
        <v>THƠ</v>
      </c>
      <c r="J59" s="105" t="str">
        <f t="shared" si="110"/>
        <v>KHANG</v>
      </c>
      <c r="K59" s="105" t="str">
        <f t="shared" si="110"/>
        <v>HIỆP(TD)</v>
      </c>
      <c r="L59" s="105" t="str">
        <f t="shared" si="110"/>
        <v>THÊM</v>
      </c>
      <c r="M59" s="105" t="str">
        <f t="shared" si="110"/>
        <v/>
      </c>
      <c r="N59" s="105" t="str">
        <f t="shared" si="110"/>
        <v>D.LINH (T)</v>
      </c>
      <c r="O59" s="105" t="str">
        <f t="shared" si="110"/>
        <v>THƠ</v>
      </c>
      <c r="P59" s="105" t="str">
        <f t="shared" si="110"/>
        <v>AVBN</v>
      </c>
      <c r="Q59" s="105" t="str">
        <f t="shared" si="104"/>
        <v>CƯỜNG (QT)</v>
      </c>
      <c r="R59" s="105" t="str">
        <f t="shared" si="104"/>
        <v>B.Trang</v>
      </c>
      <c r="S59" s="105" t="str">
        <f t="shared" si="104"/>
        <v>TUAN (TD)</v>
      </c>
      <c r="T59" s="105" t="e">
        <f t="shared" si="88"/>
        <v>#N/A</v>
      </c>
      <c r="U59" s="105" t="str">
        <f t="shared" si="88"/>
        <v>ĐÀO</v>
      </c>
      <c r="V59" s="105" t="str">
        <f t="shared" si="88"/>
        <v>HUYỀN</v>
      </c>
      <c r="W59" s="105" t="e">
        <f t="shared" si="88"/>
        <v>#N/A</v>
      </c>
      <c r="X59" s="105" t="str">
        <f t="shared" si="104"/>
        <v/>
      </c>
      <c r="Y59" s="105" t="str">
        <f t="shared" si="104"/>
        <v/>
      </c>
      <c r="Z59" s="105" t="str">
        <f t="shared" ref="Z59:AJ59" si="111">IF(Z25="","",VLOOKUP(Z25,DanhSach,4,FALSE))</f>
        <v>Duy</v>
      </c>
      <c r="AA59" s="105" t="str">
        <f t="shared" si="111"/>
        <v>TỨ</v>
      </c>
      <c r="AB59" s="105" t="e">
        <f t="shared" si="111"/>
        <v>#N/A</v>
      </c>
      <c r="AC59" s="105" t="str">
        <f t="shared" si="111"/>
        <v>THU BA</v>
      </c>
      <c r="AD59" s="105" t="str">
        <f t="shared" si="111"/>
        <v>THẢO</v>
      </c>
      <c r="AE59" s="105" t="str">
        <f t="shared" si="111"/>
        <v>THƯ (V)</v>
      </c>
      <c r="AF59" s="105" t="str">
        <f t="shared" si="111"/>
        <v>TRÂN</v>
      </c>
      <c r="AG59" s="105" t="str">
        <f t="shared" si="111"/>
        <v>HÙNG (TH)</v>
      </c>
      <c r="AH59" s="105" t="str">
        <f t="shared" si="111"/>
        <v>THẮM</v>
      </c>
      <c r="AI59" s="105" t="str">
        <f t="shared" si="111"/>
        <v>THU (AV)</v>
      </c>
      <c r="AJ59" s="105" t="str">
        <f t="shared" si="111"/>
        <v>QUẢNG(T)</v>
      </c>
      <c r="AK59" s="105" t="str">
        <f t="shared" si="92"/>
        <v>HẠNH (T)</v>
      </c>
      <c r="AL59" s="105" t="str">
        <f t="shared" si="92"/>
        <v>NGÂN</v>
      </c>
      <c r="AM59" s="105" t="str">
        <f t="shared" si="106"/>
        <v>THU (KTPL)</v>
      </c>
      <c r="AN59" s="105" t="str">
        <f t="shared" si="106"/>
        <v/>
      </c>
      <c r="AO59" s="105" t="str">
        <f t="shared" si="106"/>
        <v/>
      </c>
      <c r="AP59" s="105" t="str">
        <f t="shared" si="106"/>
        <v/>
      </c>
      <c r="AQ59" s="105" t="str">
        <f t="shared" si="106"/>
        <v/>
      </c>
      <c r="AR59" s="105" t="str">
        <f t="shared" si="93"/>
        <v>THẢO (CN)</v>
      </c>
      <c r="AS59" s="105" t="e">
        <f t="shared" si="93"/>
        <v>#N/A</v>
      </c>
      <c r="AT59" s="105" t="e">
        <f t="shared" si="93"/>
        <v>#N/A</v>
      </c>
      <c r="AU59" s="105" t="str">
        <f t="shared" ref="AU59:BJ59" si="112">IF(AU25="","",VLOOKUP(AU25,DanhSach,4,FALSE))</f>
        <v>H.GIANG</v>
      </c>
      <c r="AV59" s="105" t="str">
        <f t="shared" si="112"/>
        <v>HƯNG</v>
      </c>
      <c r="AW59" s="105" t="str">
        <f t="shared" si="112"/>
        <v>AVBN</v>
      </c>
      <c r="AX59" s="105" t="str">
        <f t="shared" si="112"/>
        <v>KHOA (THQT)</v>
      </c>
      <c r="AY59" s="105" t="e">
        <f t="shared" si="112"/>
        <v>#N/A</v>
      </c>
      <c r="AZ59" s="105" t="e">
        <f t="shared" si="112"/>
        <v>#N/A</v>
      </c>
      <c r="BA59" s="105" t="e">
        <f t="shared" si="112"/>
        <v>#N/A</v>
      </c>
      <c r="BB59" s="105" t="str">
        <f t="shared" si="112"/>
        <v>HƯỜNG</v>
      </c>
      <c r="BC59" s="105" t="e">
        <f t="shared" si="112"/>
        <v>#N/A</v>
      </c>
      <c r="BD59" s="105" t="str">
        <f t="shared" si="112"/>
        <v/>
      </c>
      <c r="BE59" s="105" t="str">
        <f t="shared" si="112"/>
        <v>YẾN</v>
      </c>
      <c r="BF59" s="105" t="str">
        <f t="shared" si="112"/>
        <v/>
      </c>
      <c r="BG59" s="105" t="str">
        <f t="shared" si="95"/>
        <v/>
      </c>
      <c r="BH59" s="105" t="str">
        <f t="shared" si="95"/>
        <v/>
      </c>
      <c r="BI59" s="105" t="str">
        <f t="shared" si="112"/>
        <v/>
      </c>
      <c r="BJ59" s="105" t="str">
        <f t="shared" si="112"/>
        <v/>
      </c>
      <c r="BK59" s="105" t="str">
        <f t="shared" ref="BK59:BU59" si="113">IF(BK25="","",VLOOKUP(BK25,DanhSach,4,FALSE))</f>
        <v/>
      </c>
      <c r="BL59" s="105" t="str">
        <f t="shared" si="113"/>
        <v/>
      </c>
      <c r="BM59" s="105" t="str">
        <f t="shared" si="113"/>
        <v/>
      </c>
      <c r="BN59" s="105" t="str">
        <f t="shared" si="113"/>
        <v/>
      </c>
      <c r="BO59" s="105" t="str">
        <f t="shared" si="113"/>
        <v/>
      </c>
      <c r="BP59" s="105" t="str">
        <f t="shared" si="113"/>
        <v/>
      </c>
      <c r="BQ59" s="105" t="str">
        <f t="shared" si="113"/>
        <v/>
      </c>
      <c r="BR59" s="105" t="str">
        <f t="shared" si="113"/>
        <v/>
      </c>
      <c r="BS59" s="105" t="str">
        <f t="shared" si="113"/>
        <v/>
      </c>
      <c r="BT59" s="105" t="str">
        <f t="shared" si="113"/>
        <v/>
      </c>
      <c r="BU59" s="105" t="str">
        <f t="shared" si="113"/>
        <v/>
      </c>
      <c r="BV59" s="105" t="str">
        <f t="shared" si="109"/>
        <v/>
      </c>
      <c r="BW59" s="105" t="str">
        <f t="shared" si="109"/>
        <v/>
      </c>
      <c r="BX59" s="105" t="str">
        <f t="shared" si="109"/>
        <v/>
      </c>
      <c r="BY59" s="105" t="str">
        <f t="shared" si="109"/>
        <v/>
      </c>
      <c r="BZ59" s="105" t="str">
        <f t="shared" si="109"/>
        <v/>
      </c>
      <c r="CA59" s="106" t="str">
        <f t="shared" si="109"/>
        <v/>
      </c>
      <c r="CB59" s="106" t="str">
        <f t="shared" si="109"/>
        <v/>
      </c>
    </row>
    <row r="60" spans="1:80" s="89" customFormat="1" ht="15.75" customHeight="1" x14ac:dyDescent="0.2">
      <c r="A60" s="99" t="s">
        <v>230</v>
      </c>
      <c r="B60" s="113">
        <v>3</v>
      </c>
      <c r="C60" s="105" t="str">
        <f t="shared" ref="C60:P60" si="114">IF(C26="","",VLOOKUP(C26,DanhSach,4,FALSE))</f>
        <v>THƠ</v>
      </c>
      <c r="D60" s="105" t="str">
        <f t="shared" si="114"/>
        <v>KHANG</v>
      </c>
      <c r="E60" s="105" t="str">
        <f t="shared" si="114"/>
        <v>HIỆP(TD)</v>
      </c>
      <c r="F60" s="105" t="str">
        <f t="shared" si="114"/>
        <v>Nguyện</v>
      </c>
      <c r="G60" s="105" t="str">
        <f t="shared" si="114"/>
        <v>HẢI (TD)</v>
      </c>
      <c r="H60" s="105" t="str">
        <f t="shared" si="114"/>
        <v/>
      </c>
      <c r="I60" s="105" t="str">
        <f t="shared" si="114"/>
        <v/>
      </c>
      <c r="J60" s="105" t="str">
        <f t="shared" si="114"/>
        <v/>
      </c>
      <c r="K60" s="105" t="str">
        <f t="shared" si="114"/>
        <v/>
      </c>
      <c r="L60" s="105" t="str">
        <f t="shared" si="114"/>
        <v>AVBN</v>
      </c>
      <c r="M60" s="105" t="str">
        <f t="shared" si="114"/>
        <v>HẢI (TD)</v>
      </c>
      <c r="N60" s="105" t="str">
        <f t="shared" si="114"/>
        <v/>
      </c>
      <c r="O60" s="105" t="str">
        <f t="shared" si="114"/>
        <v/>
      </c>
      <c r="P60" s="105" t="str">
        <f t="shared" si="114"/>
        <v>BẮC</v>
      </c>
      <c r="Q60" s="105" t="str">
        <f t="shared" si="104"/>
        <v/>
      </c>
      <c r="R60" s="105" t="str">
        <f t="shared" si="104"/>
        <v>THẢO (CN)</v>
      </c>
      <c r="S60" s="105" t="str">
        <f t="shared" si="104"/>
        <v/>
      </c>
      <c r="T60" s="105" t="str">
        <f t="shared" si="88"/>
        <v/>
      </c>
      <c r="U60" s="105" t="str">
        <f t="shared" si="88"/>
        <v/>
      </c>
      <c r="V60" s="105" t="e">
        <f t="shared" si="88"/>
        <v>#N/A</v>
      </c>
      <c r="W60" s="105" t="str">
        <f t="shared" si="88"/>
        <v/>
      </c>
      <c r="X60" s="105" t="str">
        <f t="shared" si="104"/>
        <v/>
      </c>
      <c r="Y60" s="105" t="str">
        <f t="shared" si="104"/>
        <v>THƯ (V)</v>
      </c>
      <c r="Z60" s="105" t="str">
        <f t="shared" ref="Z60:AJ60" si="115">IF(Z26="","",VLOOKUP(Z26,DanhSach,4,FALSE))</f>
        <v>HÙNG (TH)</v>
      </c>
      <c r="AA60" s="105" t="str">
        <f t="shared" si="115"/>
        <v>THU (AV)</v>
      </c>
      <c r="AB60" s="105" t="str">
        <f t="shared" si="115"/>
        <v>LÀI</v>
      </c>
      <c r="AC60" s="105" t="e">
        <f t="shared" si="115"/>
        <v>#N/A</v>
      </c>
      <c r="AD60" s="105" t="str">
        <f t="shared" si="115"/>
        <v>THU (KTPL)</v>
      </c>
      <c r="AE60" s="105" t="str">
        <f t="shared" si="115"/>
        <v>HUYỀN</v>
      </c>
      <c r="AF60" s="105" t="str">
        <f t="shared" si="115"/>
        <v>Duy</v>
      </c>
      <c r="AG60" s="105" t="str">
        <f t="shared" si="115"/>
        <v>NGÂN</v>
      </c>
      <c r="AH60" s="105" t="str">
        <f t="shared" si="115"/>
        <v>THẮM</v>
      </c>
      <c r="AI60" s="105" t="str">
        <f t="shared" si="115"/>
        <v>THÀNH (Đ)</v>
      </c>
      <c r="AJ60" s="105" t="str">
        <f t="shared" si="115"/>
        <v>CƯỜNG (QT)</v>
      </c>
      <c r="AK60" s="105" t="str">
        <f t="shared" si="92"/>
        <v>HẠNH (T)</v>
      </c>
      <c r="AL60" s="105" t="str">
        <f t="shared" si="92"/>
        <v>TRÂN</v>
      </c>
      <c r="AM60" s="105" t="e">
        <f t="shared" si="106"/>
        <v>#N/A</v>
      </c>
      <c r="AN60" s="105" t="str">
        <f t="shared" si="106"/>
        <v/>
      </c>
      <c r="AO60" s="105" t="str">
        <f t="shared" si="106"/>
        <v/>
      </c>
      <c r="AP60" s="105" t="str">
        <f t="shared" si="106"/>
        <v/>
      </c>
      <c r="AQ60" s="105" t="str">
        <f t="shared" si="106"/>
        <v/>
      </c>
      <c r="AR60" s="105" t="str">
        <f t="shared" si="93"/>
        <v>HẠNH (L)</v>
      </c>
      <c r="AS60" s="105" t="str">
        <f t="shared" si="93"/>
        <v>HƯỜNG</v>
      </c>
      <c r="AT60" s="105" t="str">
        <f t="shared" si="93"/>
        <v/>
      </c>
      <c r="AU60" s="105" t="str">
        <f t="shared" ref="AU60:BJ60" si="116">IF(AU26="","",VLOOKUP(AU26,DanhSach,4,FALSE))</f>
        <v>CHẤT</v>
      </c>
      <c r="AV60" s="105" t="str">
        <f t="shared" si="116"/>
        <v>HƯNG</v>
      </c>
      <c r="AW60" s="105" t="str">
        <f t="shared" si="116"/>
        <v>KHOA (THQT)</v>
      </c>
      <c r="AX60" s="105" t="str">
        <f t="shared" si="116"/>
        <v/>
      </c>
      <c r="AY60" s="105" t="str">
        <f t="shared" si="116"/>
        <v/>
      </c>
      <c r="AZ60" s="105" t="str">
        <f t="shared" si="116"/>
        <v>Bao Phuong</v>
      </c>
      <c r="BA60" s="105" t="str">
        <f t="shared" si="116"/>
        <v/>
      </c>
      <c r="BB60" s="105" t="str">
        <f t="shared" si="116"/>
        <v>AVBN</v>
      </c>
      <c r="BC60" s="105" t="e">
        <f t="shared" si="116"/>
        <v>#N/A</v>
      </c>
      <c r="BD60" s="105" t="e">
        <f t="shared" si="116"/>
        <v>#N/A</v>
      </c>
      <c r="BE60" s="105" t="e">
        <f t="shared" si="116"/>
        <v>#N/A</v>
      </c>
      <c r="BF60" s="105" t="str">
        <f t="shared" si="116"/>
        <v/>
      </c>
      <c r="BG60" s="105" t="str">
        <f t="shared" si="95"/>
        <v/>
      </c>
      <c r="BH60" s="105" t="str">
        <f t="shared" si="95"/>
        <v/>
      </c>
      <c r="BI60" s="105" t="str">
        <f t="shared" si="116"/>
        <v/>
      </c>
      <c r="BJ60" s="105" t="str">
        <f t="shared" si="116"/>
        <v/>
      </c>
      <c r="BK60" s="105" t="str">
        <f t="shared" ref="BK60:BU60" si="117">IF(BK26="","",VLOOKUP(BK26,DanhSach,4,FALSE))</f>
        <v/>
      </c>
      <c r="BL60" s="105" t="str">
        <f t="shared" si="117"/>
        <v/>
      </c>
      <c r="BM60" s="105" t="str">
        <f t="shared" si="117"/>
        <v/>
      </c>
      <c r="BN60" s="105" t="str">
        <f t="shared" si="117"/>
        <v/>
      </c>
      <c r="BO60" s="105" t="str">
        <f t="shared" si="117"/>
        <v/>
      </c>
      <c r="BP60" s="105" t="str">
        <f t="shared" si="117"/>
        <v/>
      </c>
      <c r="BQ60" s="105" t="str">
        <f t="shared" si="117"/>
        <v/>
      </c>
      <c r="BR60" s="105" t="str">
        <f t="shared" si="117"/>
        <v/>
      </c>
      <c r="BS60" s="105" t="str">
        <f t="shared" si="117"/>
        <v/>
      </c>
      <c r="BT60" s="105" t="str">
        <f t="shared" si="117"/>
        <v/>
      </c>
      <c r="BU60" s="105" t="str">
        <f t="shared" si="117"/>
        <v/>
      </c>
      <c r="BV60" s="105" t="str">
        <f t="shared" si="109"/>
        <v/>
      </c>
      <c r="BW60" s="105" t="str">
        <f t="shared" si="109"/>
        <v/>
      </c>
      <c r="BX60" s="105" t="str">
        <f t="shared" si="109"/>
        <v/>
      </c>
      <c r="BY60" s="105" t="str">
        <f t="shared" si="109"/>
        <v/>
      </c>
      <c r="BZ60" s="105" t="str">
        <f t="shared" si="109"/>
        <v/>
      </c>
      <c r="CA60" s="106" t="str">
        <f t="shared" si="109"/>
        <v/>
      </c>
      <c r="CB60" s="106" t="str">
        <f t="shared" si="109"/>
        <v/>
      </c>
    </row>
    <row r="61" spans="1:80" s="89" customFormat="1" ht="15.75" customHeight="1" x14ac:dyDescent="0.2">
      <c r="A61" s="99"/>
      <c r="B61" s="113">
        <v>4</v>
      </c>
      <c r="C61" s="105" t="str">
        <f t="shared" ref="C61:P61" si="118">IF(C27="","",VLOOKUP(C27,DanhSach,4,FALSE))</f>
        <v>THƠ</v>
      </c>
      <c r="D61" s="105" t="str">
        <f t="shared" si="118"/>
        <v>KHANG</v>
      </c>
      <c r="E61" s="105" t="str">
        <f t="shared" si="118"/>
        <v>HIỆP(TD)</v>
      </c>
      <c r="F61" s="105" t="str">
        <f t="shared" si="118"/>
        <v>Nguyện</v>
      </c>
      <c r="G61" s="105" t="str">
        <f t="shared" si="118"/>
        <v>HẢI (TD)</v>
      </c>
      <c r="H61" s="105" t="str">
        <f t="shared" si="118"/>
        <v/>
      </c>
      <c r="I61" s="105" t="str">
        <f t="shared" si="118"/>
        <v/>
      </c>
      <c r="J61" s="105" t="str">
        <f t="shared" si="118"/>
        <v/>
      </c>
      <c r="K61" s="105" t="str">
        <f t="shared" si="118"/>
        <v/>
      </c>
      <c r="L61" s="105" t="str">
        <f t="shared" si="118"/>
        <v>AVBN</v>
      </c>
      <c r="M61" s="105" t="str">
        <f t="shared" si="118"/>
        <v>HẢI (TD)</v>
      </c>
      <c r="N61" s="105" t="str">
        <f t="shared" si="118"/>
        <v/>
      </c>
      <c r="O61" s="105" t="str">
        <f t="shared" si="118"/>
        <v/>
      </c>
      <c r="P61" s="105" t="str">
        <f t="shared" si="118"/>
        <v>BẮC</v>
      </c>
      <c r="Q61" s="105" t="str">
        <f t="shared" si="104"/>
        <v/>
      </c>
      <c r="R61" s="105" t="str">
        <f t="shared" si="104"/>
        <v/>
      </c>
      <c r="S61" s="105" t="str">
        <f t="shared" si="104"/>
        <v/>
      </c>
      <c r="T61" s="105" t="str">
        <f t="shared" si="88"/>
        <v/>
      </c>
      <c r="U61" s="105" t="str">
        <f t="shared" si="88"/>
        <v/>
      </c>
      <c r="V61" s="105" t="e">
        <f t="shared" si="88"/>
        <v>#N/A</v>
      </c>
      <c r="W61" s="105" t="str">
        <f t="shared" si="88"/>
        <v/>
      </c>
      <c r="X61" s="105" t="str">
        <f t="shared" si="104"/>
        <v/>
      </c>
      <c r="Y61" s="105" t="str">
        <f t="shared" si="104"/>
        <v>THƯ (V)</v>
      </c>
      <c r="Z61" s="105" t="str">
        <f t="shared" ref="Z61:AJ61" si="119">IF(Z27="","",VLOOKUP(Z27,DanhSach,4,FALSE))</f>
        <v>HÙNG (TH)</v>
      </c>
      <c r="AA61" s="105" t="str">
        <f t="shared" si="119"/>
        <v>THẢO (CN)</v>
      </c>
      <c r="AB61" s="105" t="str">
        <f t="shared" si="119"/>
        <v>LÀI</v>
      </c>
      <c r="AC61" s="105" t="e">
        <f t="shared" si="119"/>
        <v>#N/A</v>
      </c>
      <c r="AD61" s="105" t="str">
        <f t="shared" si="119"/>
        <v/>
      </c>
      <c r="AE61" s="105" t="str">
        <f t="shared" si="119"/>
        <v>THẢO</v>
      </c>
      <c r="AF61" s="105" t="str">
        <f t="shared" si="119"/>
        <v>VĨNH</v>
      </c>
      <c r="AG61" s="105" t="str">
        <f t="shared" si="119"/>
        <v>Duy</v>
      </c>
      <c r="AH61" s="105" t="str">
        <f t="shared" si="119"/>
        <v/>
      </c>
      <c r="AI61" s="105" t="str">
        <f t="shared" si="119"/>
        <v>HẠNH (T)</v>
      </c>
      <c r="AJ61" s="105" t="str">
        <f t="shared" si="119"/>
        <v>CƯỜNG (QT)</v>
      </c>
      <c r="AK61" s="105" t="str">
        <f t="shared" si="92"/>
        <v/>
      </c>
      <c r="AL61" s="105" t="str">
        <f t="shared" si="92"/>
        <v>TRÂN</v>
      </c>
      <c r="AM61" s="105" t="e">
        <f t="shared" si="106"/>
        <v>#N/A</v>
      </c>
      <c r="AN61" s="105" t="str">
        <f t="shared" si="106"/>
        <v/>
      </c>
      <c r="AO61" s="105" t="str">
        <f t="shared" si="106"/>
        <v/>
      </c>
      <c r="AP61" s="105" t="str">
        <f t="shared" si="106"/>
        <v/>
      </c>
      <c r="AQ61" s="105" t="str">
        <f t="shared" si="106"/>
        <v/>
      </c>
      <c r="AR61" s="105" t="str">
        <f t="shared" si="93"/>
        <v/>
      </c>
      <c r="AS61" s="105" t="str">
        <f t="shared" si="93"/>
        <v>HƯỜNG</v>
      </c>
      <c r="AT61" s="105" t="str">
        <f t="shared" si="93"/>
        <v/>
      </c>
      <c r="AU61" s="105" t="str">
        <f t="shared" ref="AU61:BJ61" si="120">IF(AU27="","",VLOOKUP(AU27,DanhSach,4,FALSE))</f>
        <v/>
      </c>
      <c r="AV61" s="105" t="str">
        <f t="shared" si="120"/>
        <v/>
      </c>
      <c r="AW61" s="105" t="str">
        <f t="shared" si="120"/>
        <v>KHOA (THQT)</v>
      </c>
      <c r="AX61" s="105" t="str">
        <f t="shared" si="120"/>
        <v/>
      </c>
      <c r="AY61" s="105" t="str">
        <f t="shared" si="120"/>
        <v/>
      </c>
      <c r="AZ61" s="105" t="str">
        <f t="shared" si="120"/>
        <v>HẠNH (L)</v>
      </c>
      <c r="BA61" s="105" t="str">
        <f t="shared" si="120"/>
        <v/>
      </c>
      <c r="BB61" s="105" t="str">
        <f t="shared" si="120"/>
        <v>AVBN</v>
      </c>
      <c r="BC61" s="105" t="e">
        <f t="shared" si="120"/>
        <v>#N/A</v>
      </c>
      <c r="BD61" s="105" t="e">
        <f t="shared" si="120"/>
        <v>#N/A</v>
      </c>
      <c r="BE61" s="105" t="e">
        <f t="shared" si="120"/>
        <v>#N/A</v>
      </c>
      <c r="BF61" s="105" t="str">
        <f t="shared" si="120"/>
        <v/>
      </c>
      <c r="BG61" s="105" t="str">
        <f t="shared" si="95"/>
        <v/>
      </c>
      <c r="BH61" s="105" t="str">
        <f t="shared" si="95"/>
        <v/>
      </c>
      <c r="BI61" s="105" t="str">
        <f t="shared" si="120"/>
        <v/>
      </c>
      <c r="BJ61" s="105" t="str">
        <f t="shared" si="120"/>
        <v/>
      </c>
      <c r="BK61" s="105" t="str">
        <f t="shared" ref="BK61:BU61" si="121">IF(BK27="","",VLOOKUP(BK27,DanhSach,4,FALSE))</f>
        <v/>
      </c>
      <c r="BL61" s="105" t="str">
        <f t="shared" si="121"/>
        <v/>
      </c>
      <c r="BM61" s="105" t="str">
        <f t="shared" si="121"/>
        <v/>
      </c>
      <c r="BN61" s="105" t="str">
        <f t="shared" si="121"/>
        <v/>
      </c>
      <c r="BO61" s="105" t="str">
        <f t="shared" si="121"/>
        <v/>
      </c>
      <c r="BP61" s="105" t="str">
        <f t="shared" si="121"/>
        <v/>
      </c>
      <c r="BQ61" s="105" t="str">
        <f t="shared" si="121"/>
        <v/>
      </c>
      <c r="BR61" s="105" t="str">
        <f t="shared" si="121"/>
        <v/>
      </c>
      <c r="BS61" s="105" t="str">
        <f t="shared" si="121"/>
        <v/>
      </c>
      <c r="BT61" s="105" t="str">
        <f t="shared" si="121"/>
        <v/>
      </c>
      <c r="BU61" s="105" t="str">
        <f t="shared" si="121"/>
        <v/>
      </c>
      <c r="BV61" s="105" t="str">
        <f t="shared" si="109"/>
        <v/>
      </c>
      <c r="BW61" s="105" t="str">
        <f t="shared" si="109"/>
        <v/>
      </c>
      <c r="BX61" s="105" t="str">
        <f t="shared" si="109"/>
        <v/>
      </c>
      <c r="BY61" s="105" t="str">
        <f t="shared" si="109"/>
        <v/>
      </c>
      <c r="BZ61" s="105" t="str">
        <f t="shared" si="109"/>
        <v/>
      </c>
      <c r="CA61" s="106" t="str">
        <f t="shared" si="109"/>
        <v/>
      </c>
      <c r="CB61" s="106" t="str">
        <f t="shared" si="109"/>
        <v/>
      </c>
    </row>
    <row r="62" spans="1:80" s="89" customFormat="1" ht="15.75" customHeight="1" thickBot="1" x14ac:dyDescent="0.25">
      <c r="A62" s="107"/>
      <c r="B62" s="114">
        <v>5</v>
      </c>
      <c r="C62" s="109" t="str">
        <f t="shared" ref="C62:P62" si="122">IF(C28="","",VLOOKUP(C28,DanhSach,4,FALSE))</f>
        <v/>
      </c>
      <c r="D62" s="109" t="str">
        <f t="shared" si="122"/>
        <v/>
      </c>
      <c r="E62" s="109" t="str">
        <f t="shared" si="122"/>
        <v/>
      </c>
      <c r="F62" s="109" t="str">
        <f t="shared" si="122"/>
        <v/>
      </c>
      <c r="G62" s="109" t="str">
        <f t="shared" si="122"/>
        <v/>
      </c>
      <c r="H62" s="109" t="str">
        <f t="shared" si="122"/>
        <v/>
      </c>
      <c r="I62" s="109" t="str">
        <f t="shared" si="122"/>
        <v/>
      </c>
      <c r="J62" s="109" t="str">
        <f t="shared" si="122"/>
        <v/>
      </c>
      <c r="K62" s="109" t="str">
        <f t="shared" si="122"/>
        <v/>
      </c>
      <c r="L62" s="109" t="str">
        <f t="shared" si="122"/>
        <v/>
      </c>
      <c r="M62" s="109" t="str">
        <f t="shared" si="122"/>
        <v/>
      </c>
      <c r="N62" s="109" t="str">
        <f t="shared" si="122"/>
        <v/>
      </c>
      <c r="O62" s="109" t="str">
        <f t="shared" si="122"/>
        <v/>
      </c>
      <c r="P62" s="109" t="str">
        <f t="shared" si="122"/>
        <v/>
      </c>
      <c r="Q62" s="109" t="str">
        <f t="shared" si="104"/>
        <v/>
      </c>
      <c r="R62" s="109" t="str">
        <f t="shared" si="104"/>
        <v/>
      </c>
      <c r="S62" s="109" t="str">
        <f t="shared" si="104"/>
        <v/>
      </c>
      <c r="T62" s="109" t="str">
        <f t="shared" si="88"/>
        <v/>
      </c>
      <c r="U62" s="109" t="str">
        <f t="shared" si="88"/>
        <v/>
      </c>
      <c r="V62" s="109" t="str">
        <f t="shared" si="88"/>
        <v/>
      </c>
      <c r="W62" s="109" t="str">
        <f t="shared" si="88"/>
        <v/>
      </c>
      <c r="X62" s="109" t="str">
        <f t="shared" si="104"/>
        <v/>
      </c>
      <c r="Y62" s="109" t="str">
        <f t="shared" si="104"/>
        <v/>
      </c>
      <c r="Z62" s="109" t="str">
        <f t="shared" ref="Z62:AJ62" si="123">IF(Z28="","",VLOOKUP(Z28,DanhSach,4,FALSE))</f>
        <v/>
      </c>
      <c r="AA62" s="109" t="str">
        <f t="shared" si="123"/>
        <v/>
      </c>
      <c r="AB62" s="109" t="str">
        <f t="shared" si="123"/>
        <v/>
      </c>
      <c r="AC62" s="109" t="str">
        <f t="shared" si="123"/>
        <v/>
      </c>
      <c r="AD62" s="109" t="str">
        <f t="shared" si="123"/>
        <v/>
      </c>
      <c r="AE62" s="109" t="str">
        <f t="shared" si="123"/>
        <v/>
      </c>
      <c r="AF62" s="109" t="str">
        <f t="shared" si="123"/>
        <v/>
      </c>
      <c r="AG62" s="109" t="str">
        <f t="shared" si="123"/>
        <v/>
      </c>
      <c r="AH62" s="109" t="str">
        <f t="shared" si="123"/>
        <v/>
      </c>
      <c r="AI62" s="109" t="str">
        <f t="shared" si="123"/>
        <v/>
      </c>
      <c r="AJ62" s="109" t="str">
        <f t="shared" si="123"/>
        <v/>
      </c>
      <c r="AK62" s="109" t="str">
        <f t="shared" si="92"/>
        <v/>
      </c>
      <c r="AL62" s="109" t="str">
        <f t="shared" si="92"/>
        <v/>
      </c>
      <c r="AM62" s="109" t="str">
        <f t="shared" si="106"/>
        <v/>
      </c>
      <c r="AN62" s="109" t="str">
        <f t="shared" si="106"/>
        <v/>
      </c>
      <c r="AO62" s="109" t="str">
        <f t="shared" si="106"/>
        <v/>
      </c>
      <c r="AP62" s="109" t="str">
        <f t="shared" si="106"/>
        <v/>
      </c>
      <c r="AQ62" s="109" t="str">
        <f t="shared" si="106"/>
        <v/>
      </c>
      <c r="AR62" s="109" t="str">
        <f t="shared" si="93"/>
        <v/>
      </c>
      <c r="AS62" s="109" t="str">
        <f t="shared" si="93"/>
        <v/>
      </c>
      <c r="AT62" s="109" t="str">
        <f t="shared" si="93"/>
        <v/>
      </c>
      <c r="AU62" s="109" t="str">
        <f t="shared" ref="AU62:BJ62" si="124">IF(AU28="","",VLOOKUP(AU28,DanhSach,4,FALSE))</f>
        <v/>
      </c>
      <c r="AV62" s="109" t="str">
        <f t="shared" si="124"/>
        <v/>
      </c>
      <c r="AW62" s="109" t="str">
        <f t="shared" si="124"/>
        <v/>
      </c>
      <c r="AX62" s="109" t="str">
        <f t="shared" si="124"/>
        <v/>
      </c>
      <c r="AY62" s="109" t="str">
        <f t="shared" si="124"/>
        <v/>
      </c>
      <c r="AZ62" s="109" t="str">
        <f t="shared" si="124"/>
        <v/>
      </c>
      <c r="BA62" s="109" t="str">
        <f t="shared" si="124"/>
        <v/>
      </c>
      <c r="BB62" s="109" t="str">
        <f t="shared" si="124"/>
        <v/>
      </c>
      <c r="BC62" s="109" t="str">
        <f t="shared" si="124"/>
        <v/>
      </c>
      <c r="BD62" s="109" t="str">
        <f t="shared" si="124"/>
        <v/>
      </c>
      <c r="BE62" s="109" t="str">
        <f t="shared" si="124"/>
        <v/>
      </c>
      <c r="BF62" s="109" t="str">
        <f t="shared" si="124"/>
        <v/>
      </c>
      <c r="BG62" s="109" t="str">
        <f t="shared" si="95"/>
        <v/>
      </c>
      <c r="BH62" s="109" t="str">
        <f t="shared" si="95"/>
        <v/>
      </c>
      <c r="BI62" s="109" t="str">
        <f t="shared" si="124"/>
        <v/>
      </c>
      <c r="BJ62" s="109" t="str">
        <f t="shared" si="124"/>
        <v/>
      </c>
      <c r="BK62" s="109" t="str">
        <f t="shared" ref="BK62:BU62" si="125">IF(BK28="","",VLOOKUP(BK28,DanhSach,4,FALSE))</f>
        <v/>
      </c>
      <c r="BL62" s="109" t="str">
        <f t="shared" si="125"/>
        <v/>
      </c>
      <c r="BM62" s="109" t="str">
        <f t="shared" si="125"/>
        <v/>
      </c>
      <c r="BN62" s="109" t="str">
        <f t="shared" si="125"/>
        <v/>
      </c>
      <c r="BO62" s="109" t="str">
        <f t="shared" si="125"/>
        <v/>
      </c>
      <c r="BP62" s="109" t="str">
        <f t="shared" si="125"/>
        <v/>
      </c>
      <c r="BQ62" s="109" t="str">
        <f t="shared" si="125"/>
        <v/>
      </c>
      <c r="BR62" s="109" t="str">
        <f t="shared" si="125"/>
        <v/>
      </c>
      <c r="BS62" s="109" t="str">
        <f t="shared" si="125"/>
        <v/>
      </c>
      <c r="BT62" s="109" t="str">
        <f t="shared" si="125"/>
        <v/>
      </c>
      <c r="BU62" s="109" t="str">
        <f t="shared" si="125"/>
        <v/>
      </c>
      <c r="BV62" s="109" t="str">
        <f t="shared" si="109"/>
        <v/>
      </c>
      <c r="BW62" s="109" t="str">
        <f t="shared" si="109"/>
        <v/>
      </c>
      <c r="BX62" s="109" t="str">
        <f t="shared" si="109"/>
        <v/>
      </c>
      <c r="BY62" s="109" t="str">
        <f t="shared" si="109"/>
        <v/>
      </c>
      <c r="BZ62" s="109" t="str">
        <f t="shared" si="109"/>
        <v/>
      </c>
      <c r="CA62" s="110" t="str">
        <f t="shared" si="109"/>
        <v/>
      </c>
      <c r="CB62" s="110" t="str">
        <f t="shared" si="109"/>
        <v/>
      </c>
    </row>
    <row r="63" spans="1:80" s="89" customFormat="1" ht="15.75" customHeight="1" x14ac:dyDescent="0.2">
      <c r="A63" s="111" t="s">
        <v>231</v>
      </c>
      <c r="B63" s="112">
        <v>1</v>
      </c>
      <c r="C63" s="101" t="str">
        <f t="shared" ref="C63:P63" si="126">IF(C29="","",VLOOKUP(C29,DanhSach,4,FALSE))</f>
        <v/>
      </c>
      <c r="D63" s="101" t="str">
        <f t="shared" si="126"/>
        <v/>
      </c>
      <c r="E63" s="101" t="str">
        <f t="shared" si="126"/>
        <v/>
      </c>
      <c r="F63" s="101" t="str">
        <f t="shared" si="126"/>
        <v/>
      </c>
      <c r="G63" s="101" t="str">
        <f t="shared" si="126"/>
        <v/>
      </c>
      <c r="H63" s="101" t="str">
        <f t="shared" si="126"/>
        <v/>
      </c>
      <c r="I63" s="101" t="str">
        <f t="shared" si="126"/>
        <v/>
      </c>
      <c r="J63" s="101" t="str">
        <f t="shared" si="126"/>
        <v/>
      </c>
      <c r="K63" s="101" t="str">
        <f t="shared" si="126"/>
        <v/>
      </c>
      <c r="L63" s="101" t="str">
        <f t="shared" si="126"/>
        <v/>
      </c>
      <c r="M63" s="101" t="str">
        <f t="shared" si="126"/>
        <v/>
      </c>
      <c r="N63" s="101" t="str">
        <f t="shared" si="126"/>
        <v/>
      </c>
      <c r="O63" s="101" t="str">
        <f t="shared" si="126"/>
        <v/>
      </c>
      <c r="P63" s="101" t="str">
        <f t="shared" si="126"/>
        <v/>
      </c>
      <c r="Q63" s="101" t="str">
        <f t="shared" si="104"/>
        <v/>
      </c>
      <c r="R63" s="101" t="str">
        <f t="shared" si="104"/>
        <v/>
      </c>
      <c r="S63" s="101" t="str">
        <f t="shared" si="104"/>
        <v/>
      </c>
      <c r="T63" s="101" t="str">
        <f t="shared" si="88"/>
        <v/>
      </c>
      <c r="U63" s="101" t="str">
        <f t="shared" si="88"/>
        <v/>
      </c>
      <c r="V63" s="101" t="str">
        <f t="shared" si="88"/>
        <v/>
      </c>
      <c r="W63" s="101" t="str">
        <f t="shared" si="88"/>
        <v/>
      </c>
      <c r="X63" s="101" t="str">
        <f t="shared" si="104"/>
        <v/>
      </c>
      <c r="Y63" s="101" t="str">
        <f t="shared" si="104"/>
        <v/>
      </c>
      <c r="Z63" s="101" t="str">
        <f t="shared" ref="Z63:AJ63" si="127">IF(Z29="","",VLOOKUP(Z29,DanhSach,4,FALSE))</f>
        <v/>
      </c>
      <c r="AA63" s="101" t="str">
        <f t="shared" si="127"/>
        <v/>
      </c>
      <c r="AB63" s="101" t="str">
        <f t="shared" si="127"/>
        <v/>
      </c>
      <c r="AC63" s="101" t="str">
        <f t="shared" si="127"/>
        <v/>
      </c>
      <c r="AD63" s="101" t="str">
        <f t="shared" si="127"/>
        <v/>
      </c>
      <c r="AE63" s="101" t="str">
        <f t="shared" si="127"/>
        <v/>
      </c>
      <c r="AF63" s="101" t="str">
        <f t="shared" si="127"/>
        <v/>
      </c>
      <c r="AG63" s="101" t="str">
        <f t="shared" si="127"/>
        <v/>
      </c>
      <c r="AH63" s="101" t="str">
        <f t="shared" si="127"/>
        <v/>
      </c>
      <c r="AI63" s="101" t="str">
        <f t="shared" si="127"/>
        <v/>
      </c>
      <c r="AJ63" s="101" t="str">
        <f t="shared" si="127"/>
        <v/>
      </c>
      <c r="AK63" s="101" t="str">
        <f t="shared" si="92"/>
        <v/>
      </c>
      <c r="AL63" s="101"/>
      <c r="AM63" s="101"/>
      <c r="AN63" s="101"/>
      <c r="AO63" s="101"/>
      <c r="AP63" s="101"/>
      <c r="AQ63" s="101"/>
      <c r="AR63" s="101" t="str">
        <f t="shared" ref="AR63:BE63" si="128">IF(AR29="","",VLOOKUP(AR29,DanhSach,4,FALSE))</f>
        <v/>
      </c>
      <c r="AS63" s="101" t="str">
        <f t="shared" si="128"/>
        <v/>
      </c>
      <c r="AT63" s="101" t="str">
        <f t="shared" si="128"/>
        <v/>
      </c>
      <c r="AU63" s="101" t="str">
        <f t="shared" si="128"/>
        <v/>
      </c>
      <c r="AV63" s="101" t="str">
        <f t="shared" si="128"/>
        <v/>
      </c>
      <c r="AW63" s="101" t="str">
        <f t="shared" si="128"/>
        <v/>
      </c>
      <c r="AX63" s="101" t="str">
        <f t="shared" si="128"/>
        <v/>
      </c>
      <c r="AY63" s="101" t="str">
        <f t="shared" si="128"/>
        <v/>
      </c>
      <c r="AZ63" s="101" t="str">
        <f t="shared" si="128"/>
        <v/>
      </c>
      <c r="BA63" s="101" t="str">
        <f t="shared" si="128"/>
        <v/>
      </c>
      <c r="BB63" s="101" t="str">
        <f t="shared" si="128"/>
        <v/>
      </c>
      <c r="BC63" s="101" t="str">
        <f t="shared" si="128"/>
        <v/>
      </c>
      <c r="BD63" s="101" t="str">
        <f t="shared" si="128"/>
        <v/>
      </c>
      <c r="BE63" s="101" t="str">
        <f t="shared" si="128"/>
        <v/>
      </c>
      <c r="BF63" s="101"/>
      <c r="BG63" s="101"/>
      <c r="BH63" s="101"/>
      <c r="BI63" s="101" t="str">
        <f>IF(BI29="","",VLOOKUP(BI29,DanhSach,4,FALSE))</f>
        <v/>
      </c>
      <c r="BJ63" s="101" t="str">
        <f t="shared" ref="BJ63:BU63" si="129">IF(BJ29="","",VLOOKUP(BJ29,DanhSach,4,FALSE))</f>
        <v/>
      </c>
      <c r="BK63" s="101" t="str">
        <f t="shared" si="129"/>
        <v/>
      </c>
      <c r="BL63" s="101" t="str">
        <f t="shared" si="129"/>
        <v/>
      </c>
      <c r="BM63" s="101" t="str">
        <f t="shared" si="129"/>
        <v/>
      </c>
      <c r="BN63" s="101" t="str">
        <f t="shared" si="129"/>
        <v/>
      </c>
      <c r="BO63" s="101" t="str">
        <f t="shared" si="129"/>
        <v/>
      </c>
      <c r="BP63" s="101" t="str">
        <f t="shared" si="129"/>
        <v/>
      </c>
      <c r="BQ63" s="101" t="str">
        <f t="shared" si="129"/>
        <v/>
      </c>
      <c r="BR63" s="101" t="str">
        <f t="shared" si="129"/>
        <v/>
      </c>
      <c r="BS63" s="101" t="str">
        <f t="shared" si="129"/>
        <v/>
      </c>
      <c r="BT63" s="101" t="str">
        <f t="shared" si="129"/>
        <v/>
      </c>
      <c r="BU63" s="101" t="str">
        <f t="shared" si="129"/>
        <v/>
      </c>
      <c r="BV63" s="103" t="str">
        <f t="shared" si="109"/>
        <v/>
      </c>
      <c r="BW63" s="103" t="str">
        <f t="shared" si="109"/>
        <v/>
      </c>
      <c r="BX63" s="103" t="str">
        <f t="shared" si="109"/>
        <v/>
      </c>
      <c r="BY63" s="103" t="str">
        <f t="shared" si="109"/>
        <v/>
      </c>
      <c r="BZ63" s="103" t="str">
        <f t="shared" si="109"/>
        <v/>
      </c>
      <c r="CA63" s="103" t="str">
        <f t="shared" si="109"/>
        <v/>
      </c>
      <c r="CB63" s="103" t="str">
        <f t="shared" si="109"/>
        <v/>
      </c>
    </row>
    <row r="64" spans="1:80" s="89" customFormat="1" ht="15.75" customHeight="1" x14ac:dyDescent="0.2">
      <c r="A64" s="99" t="s">
        <v>193</v>
      </c>
      <c r="B64" s="113">
        <v>2</v>
      </c>
      <c r="C64" s="105" t="str">
        <f t="shared" ref="C64:P64" si="130">IF(C30="","",VLOOKUP(C30,DanhSach,4,FALSE))</f>
        <v/>
      </c>
      <c r="D64" s="105" t="str">
        <f t="shared" si="130"/>
        <v/>
      </c>
      <c r="E64" s="105" t="str">
        <f t="shared" si="130"/>
        <v/>
      </c>
      <c r="F64" s="105" t="str">
        <f t="shared" si="130"/>
        <v/>
      </c>
      <c r="G64" s="105" t="str">
        <f t="shared" si="130"/>
        <v/>
      </c>
      <c r="H64" s="105" t="str">
        <f t="shared" si="130"/>
        <v/>
      </c>
      <c r="I64" s="105" t="str">
        <f t="shared" si="130"/>
        <v/>
      </c>
      <c r="J64" s="105" t="str">
        <f t="shared" si="130"/>
        <v/>
      </c>
      <c r="K64" s="105" t="str">
        <f t="shared" si="130"/>
        <v/>
      </c>
      <c r="L64" s="105" t="str">
        <f t="shared" si="130"/>
        <v/>
      </c>
      <c r="M64" s="105" t="str">
        <f t="shared" si="130"/>
        <v/>
      </c>
      <c r="N64" s="105" t="str">
        <f t="shared" si="130"/>
        <v/>
      </c>
      <c r="O64" s="105" t="str">
        <f t="shared" si="130"/>
        <v/>
      </c>
      <c r="P64" s="105" t="str">
        <f t="shared" si="130"/>
        <v/>
      </c>
      <c r="Q64" s="105" t="str">
        <f t="shared" si="104"/>
        <v/>
      </c>
      <c r="R64" s="105" t="str">
        <f t="shared" si="104"/>
        <v/>
      </c>
      <c r="S64" s="105" t="str">
        <f t="shared" si="104"/>
        <v/>
      </c>
      <c r="T64" s="105" t="str">
        <f t="shared" si="88"/>
        <v/>
      </c>
      <c r="U64" s="105" t="str">
        <f t="shared" si="88"/>
        <v/>
      </c>
      <c r="V64" s="105" t="str">
        <f t="shared" si="88"/>
        <v/>
      </c>
      <c r="W64" s="105" t="str">
        <f t="shared" si="88"/>
        <v/>
      </c>
      <c r="X64" s="105" t="str">
        <f t="shared" si="104"/>
        <v/>
      </c>
      <c r="Y64" s="105" t="str">
        <f t="shared" si="104"/>
        <v/>
      </c>
      <c r="Z64" s="105" t="str">
        <f t="shared" ref="Z64:AJ64" si="131">IF(Z30="","",VLOOKUP(Z30,DanhSach,4,FALSE))</f>
        <v/>
      </c>
      <c r="AA64" s="105" t="str">
        <f t="shared" si="131"/>
        <v/>
      </c>
      <c r="AB64" s="105" t="str">
        <f t="shared" si="131"/>
        <v/>
      </c>
      <c r="AC64" s="105" t="str">
        <f t="shared" si="131"/>
        <v/>
      </c>
      <c r="AD64" s="105" t="str">
        <f t="shared" si="131"/>
        <v/>
      </c>
      <c r="AE64" s="105" t="str">
        <f t="shared" si="131"/>
        <v/>
      </c>
      <c r="AF64" s="105" t="str">
        <f t="shared" si="131"/>
        <v/>
      </c>
      <c r="AG64" s="105" t="str">
        <f t="shared" si="131"/>
        <v/>
      </c>
      <c r="AH64" s="105" t="str">
        <f t="shared" si="131"/>
        <v/>
      </c>
      <c r="AI64" s="105" t="str">
        <f t="shared" si="131"/>
        <v/>
      </c>
      <c r="AJ64" s="105" t="str">
        <f t="shared" si="131"/>
        <v/>
      </c>
      <c r="AK64" s="105" t="str">
        <f t="shared" si="92"/>
        <v/>
      </c>
      <c r="AL64" s="105"/>
      <c r="AM64" s="105"/>
      <c r="AN64" s="105"/>
      <c r="AO64" s="105"/>
      <c r="AP64" s="105"/>
      <c r="AQ64" s="105"/>
      <c r="AR64" s="105" t="str">
        <f t="shared" ref="AR64:BE64" si="132">IF(AR30="","",VLOOKUP(AR30,DanhSach,4,FALSE))</f>
        <v/>
      </c>
      <c r="AS64" s="105" t="str">
        <f t="shared" si="132"/>
        <v/>
      </c>
      <c r="AT64" s="105" t="str">
        <f t="shared" si="132"/>
        <v/>
      </c>
      <c r="AU64" s="105" t="str">
        <f t="shared" si="132"/>
        <v/>
      </c>
      <c r="AV64" s="105" t="str">
        <f t="shared" si="132"/>
        <v/>
      </c>
      <c r="AW64" s="105" t="str">
        <f t="shared" si="132"/>
        <v/>
      </c>
      <c r="AX64" s="105" t="str">
        <f t="shared" si="132"/>
        <v/>
      </c>
      <c r="AY64" s="105" t="str">
        <f t="shared" si="132"/>
        <v/>
      </c>
      <c r="AZ64" s="105" t="str">
        <f t="shared" si="132"/>
        <v/>
      </c>
      <c r="BA64" s="105" t="str">
        <f t="shared" si="132"/>
        <v/>
      </c>
      <c r="BB64" s="105" t="str">
        <f t="shared" si="132"/>
        <v/>
      </c>
      <c r="BC64" s="105" t="str">
        <f t="shared" si="132"/>
        <v/>
      </c>
      <c r="BD64" s="105" t="str">
        <f t="shared" si="132"/>
        <v/>
      </c>
      <c r="BE64" s="105" t="str">
        <f t="shared" si="132"/>
        <v/>
      </c>
      <c r="BF64" s="105"/>
      <c r="BG64" s="105"/>
      <c r="BH64" s="105"/>
      <c r="BI64" s="105" t="str">
        <f>IF(BI30="","",VLOOKUP(BI30,DanhSach,4,FALSE))</f>
        <v/>
      </c>
      <c r="BJ64" s="105" t="str">
        <f t="shared" ref="BJ64:BU64" si="133">IF(BJ30="","",VLOOKUP(BJ30,DanhSach,4,FALSE))</f>
        <v/>
      </c>
      <c r="BK64" s="105" t="str">
        <f t="shared" si="133"/>
        <v/>
      </c>
      <c r="BL64" s="105" t="str">
        <f t="shared" si="133"/>
        <v/>
      </c>
      <c r="BM64" s="105" t="str">
        <f t="shared" si="133"/>
        <v/>
      </c>
      <c r="BN64" s="105" t="str">
        <f t="shared" si="133"/>
        <v/>
      </c>
      <c r="BO64" s="105" t="str">
        <f t="shared" si="133"/>
        <v/>
      </c>
      <c r="BP64" s="105" t="str">
        <f t="shared" si="133"/>
        <v/>
      </c>
      <c r="BQ64" s="105" t="str">
        <f t="shared" si="133"/>
        <v/>
      </c>
      <c r="BR64" s="105" t="str">
        <f t="shared" si="133"/>
        <v/>
      </c>
      <c r="BS64" s="105" t="str">
        <f t="shared" si="133"/>
        <v/>
      </c>
      <c r="BT64" s="105" t="str">
        <f t="shared" si="133"/>
        <v/>
      </c>
      <c r="BU64" s="105" t="str">
        <f t="shared" si="133"/>
        <v/>
      </c>
      <c r="BV64" s="106" t="str">
        <f t="shared" si="109"/>
        <v/>
      </c>
      <c r="BW64" s="106" t="str">
        <f t="shared" si="109"/>
        <v/>
      </c>
      <c r="BX64" s="106" t="str">
        <f t="shared" si="109"/>
        <v/>
      </c>
      <c r="BY64" s="106" t="str">
        <f t="shared" si="109"/>
        <v/>
      </c>
      <c r="BZ64" s="106" t="str">
        <f t="shared" si="109"/>
        <v/>
      </c>
      <c r="CA64" s="106" t="str">
        <f t="shared" si="109"/>
        <v/>
      </c>
      <c r="CB64" s="106" t="str">
        <f t="shared" si="109"/>
        <v/>
      </c>
    </row>
    <row r="65" spans="1:80" s="89" customFormat="1" ht="15.75" customHeight="1" x14ac:dyDescent="0.2">
      <c r="A65" s="99" t="s">
        <v>233</v>
      </c>
      <c r="B65" s="113">
        <v>3</v>
      </c>
      <c r="C65" s="105" t="str">
        <f t="shared" ref="C65:P65" si="134">IF(C31="","",VLOOKUP(C31,DanhSach,4,FALSE))</f>
        <v/>
      </c>
      <c r="D65" s="105" t="str">
        <f t="shared" si="134"/>
        <v/>
      </c>
      <c r="E65" s="105" t="str">
        <f t="shared" si="134"/>
        <v/>
      </c>
      <c r="F65" s="105" t="str">
        <f t="shared" si="134"/>
        <v/>
      </c>
      <c r="G65" s="105" t="str">
        <f t="shared" si="134"/>
        <v/>
      </c>
      <c r="H65" s="105" t="str">
        <f t="shared" si="134"/>
        <v/>
      </c>
      <c r="I65" s="105" t="str">
        <f t="shared" si="134"/>
        <v/>
      </c>
      <c r="J65" s="105" t="str">
        <f t="shared" si="134"/>
        <v/>
      </c>
      <c r="K65" s="105" t="str">
        <f t="shared" si="134"/>
        <v/>
      </c>
      <c r="L65" s="105" t="str">
        <f t="shared" si="134"/>
        <v/>
      </c>
      <c r="M65" s="105" t="str">
        <f t="shared" si="134"/>
        <v/>
      </c>
      <c r="N65" s="105" t="str">
        <f t="shared" si="134"/>
        <v/>
      </c>
      <c r="O65" s="105" t="str">
        <f t="shared" si="134"/>
        <v/>
      </c>
      <c r="P65" s="105" t="str">
        <f t="shared" si="134"/>
        <v/>
      </c>
      <c r="Q65" s="105" t="str">
        <f t="shared" si="104"/>
        <v/>
      </c>
      <c r="R65" s="105" t="str">
        <f t="shared" si="104"/>
        <v/>
      </c>
      <c r="S65" s="105" t="str">
        <f t="shared" si="104"/>
        <v/>
      </c>
      <c r="T65" s="105" t="str">
        <f t="shared" si="88"/>
        <v/>
      </c>
      <c r="U65" s="105" t="str">
        <f t="shared" si="88"/>
        <v/>
      </c>
      <c r="V65" s="105" t="str">
        <f t="shared" si="88"/>
        <v/>
      </c>
      <c r="W65" s="105" t="str">
        <f t="shared" si="88"/>
        <v/>
      </c>
      <c r="X65" s="105" t="str">
        <f t="shared" si="104"/>
        <v/>
      </c>
      <c r="Y65" s="105" t="str">
        <f t="shared" si="104"/>
        <v/>
      </c>
      <c r="Z65" s="105" t="str">
        <f t="shared" ref="Z65:AJ65" si="135">IF(Z31="","",VLOOKUP(Z31,DanhSach,4,FALSE))</f>
        <v/>
      </c>
      <c r="AA65" s="105" t="str">
        <f t="shared" si="135"/>
        <v/>
      </c>
      <c r="AB65" s="105" t="str">
        <f t="shared" si="135"/>
        <v/>
      </c>
      <c r="AC65" s="105" t="str">
        <f t="shared" si="135"/>
        <v/>
      </c>
      <c r="AD65" s="105" t="str">
        <f t="shared" si="135"/>
        <v/>
      </c>
      <c r="AE65" s="105" t="str">
        <f t="shared" si="135"/>
        <v/>
      </c>
      <c r="AF65" s="105" t="str">
        <f t="shared" si="135"/>
        <v/>
      </c>
      <c r="AG65" s="105" t="str">
        <f t="shared" si="135"/>
        <v/>
      </c>
      <c r="AH65" s="105" t="str">
        <f t="shared" si="135"/>
        <v/>
      </c>
      <c r="AI65" s="105" t="str">
        <f t="shared" si="135"/>
        <v/>
      </c>
      <c r="AJ65" s="105" t="str">
        <f t="shared" si="135"/>
        <v/>
      </c>
      <c r="AK65" s="105" t="str">
        <f t="shared" si="92"/>
        <v/>
      </c>
      <c r="AL65" s="105"/>
      <c r="AM65" s="105"/>
      <c r="AN65" s="105"/>
      <c r="AO65" s="105"/>
      <c r="AP65" s="105"/>
      <c r="AQ65" s="105"/>
      <c r="AR65" s="105" t="str">
        <f t="shared" ref="AR65:BE65" si="136">IF(AR31="","",VLOOKUP(AR31,DanhSach,4,FALSE))</f>
        <v/>
      </c>
      <c r="AS65" s="105" t="str">
        <f t="shared" si="136"/>
        <v/>
      </c>
      <c r="AT65" s="105" t="str">
        <f t="shared" si="136"/>
        <v/>
      </c>
      <c r="AU65" s="105" t="str">
        <f t="shared" si="136"/>
        <v/>
      </c>
      <c r="AV65" s="105" t="str">
        <f t="shared" si="136"/>
        <v/>
      </c>
      <c r="AW65" s="105" t="str">
        <f t="shared" si="136"/>
        <v/>
      </c>
      <c r="AX65" s="105" t="str">
        <f t="shared" si="136"/>
        <v/>
      </c>
      <c r="AY65" s="105" t="str">
        <f t="shared" si="136"/>
        <v/>
      </c>
      <c r="AZ65" s="105" t="str">
        <f t="shared" si="136"/>
        <v/>
      </c>
      <c r="BA65" s="105" t="str">
        <f t="shared" si="136"/>
        <v/>
      </c>
      <c r="BB65" s="105" t="str">
        <f t="shared" si="136"/>
        <v/>
      </c>
      <c r="BC65" s="105" t="str">
        <f t="shared" si="136"/>
        <v/>
      </c>
      <c r="BD65" s="105" t="str">
        <f t="shared" si="136"/>
        <v/>
      </c>
      <c r="BE65" s="105" t="str">
        <f t="shared" si="136"/>
        <v/>
      </c>
      <c r="BF65" s="105"/>
      <c r="BG65" s="105"/>
      <c r="BH65" s="105"/>
      <c r="BI65" s="105" t="str">
        <f>IF(BI31="","",VLOOKUP(BI31,DanhSach,4,FALSE))</f>
        <v/>
      </c>
      <c r="BJ65" s="105" t="str">
        <f t="shared" ref="BJ65:BU65" si="137">IF(BJ31="","",VLOOKUP(BJ31,DanhSach,4,FALSE))</f>
        <v/>
      </c>
      <c r="BK65" s="105" t="str">
        <f t="shared" si="137"/>
        <v/>
      </c>
      <c r="BL65" s="105" t="str">
        <f t="shared" si="137"/>
        <v/>
      </c>
      <c r="BM65" s="105" t="str">
        <f t="shared" si="137"/>
        <v/>
      </c>
      <c r="BN65" s="105" t="str">
        <f t="shared" si="137"/>
        <v/>
      </c>
      <c r="BO65" s="105" t="str">
        <f t="shared" si="137"/>
        <v/>
      </c>
      <c r="BP65" s="105" t="str">
        <f t="shared" si="137"/>
        <v/>
      </c>
      <c r="BQ65" s="105" t="str">
        <f t="shared" si="137"/>
        <v/>
      </c>
      <c r="BR65" s="105" t="str">
        <f t="shared" si="137"/>
        <v/>
      </c>
      <c r="BS65" s="105" t="str">
        <f t="shared" si="137"/>
        <v/>
      </c>
      <c r="BT65" s="105" t="str">
        <f t="shared" si="137"/>
        <v/>
      </c>
      <c r="BU65" s="105" t="str">
        <f t="shared" si="137"/>
        <v/>
      </c>
      <c r="BV65" s="106" t="str">
        <f t="shared" si="109"/>
        <v/>
      </c>
      <c r="BW65" s="106" t="str">
        <f t="shared" si="109"/>
        <v/>
      </c>
      <c r="BX65" s="106" t="str">
        <f t="shared" si="109"/>
        <v/>
      </c>
      <c r="BY65" s="106" t="str">
        <f t="shared" si="109"/>
        <v/>
      </c>
      <c r="BZ65" s="106" t="str">
        <f t="shared" si="109"/>
        <v/>
      </c>
      <c r="CA65" s="106" t="str">
        <f t="shared" si="109"/>
        <v/>
      </c>
      <c r="CB65" s="106" t="str">
        <f t="shared" si="109"/>
        <v/>
      </c>
    </row>
    <row r="66" spans="1:80" s="89" customFormat="1" ht="15.75" customHeight="1" x14ac:dyDescent="0.2">
      <c r="A66" s="99"/>
      <c r="B66" s="113">
        <v>4</v>
      </c>
      <c r="C66" s="105" t="str">
        <f t="shared" ref="C66:P66" si="138">IF(C32="","",VLOOKUP(C32,DanhSach,4,FALSE))</f>
        <v/>
      </c>
      <c r="D66" s="105" t="str">
        <f t="shared" si="138"/>
        <v/>
      </c>
      <c r="E66" s="105" t="str">
        <f t="shared" si="138"/>
        <v/>
      </c>
      <c r="F66" s="105" t="str">
        <f t="shared" si="138"/>
        <v/>
      </c>
      <c r="G66" s="105" t="str">
        <f t="shared" si="138"/>
        <v/>
      </c>
      <c r="H66" s="105" t="str">
        <f t="shared" si="138"/>
        <v/>
      </c>
      <c r="I66" s="105" t="str">
        <f t="shared" si="138"/>
        <v/>
      </c>
      <c r="J66" s="105" t="str">
        <f t="shared" si="138"/>
        <v/>
      </c>
      <c r="K66" s="105" t="str">
        <f t="shared" si="138"/>
        <v/>
      </c>
      <c r="L66" s="105" t="str">
        <f t="shared" si="138"/>
        <v/>
      </c>
      <c r="M66" s="105" t="str">
        <f t="shared" si="138"/>
        <v/>
      </c>
      <c r="N66" s="105" t="str">
        <f t="shared" si="138"/>
        <v/>
      </c>
      <c r="O66" s="105" t="str">
        <f t="shared" si="138"/>
        <v/>
      </c>
      <c r="P66" s="105" t="str">
        <f t="shared" si="138"/>
        <v/>
      </c>
      <c r="Q66" s="105" t="str">
        <f t="shared" si="104"/>
        <v/>
      </c>
      <c r="R66" s="105" t="str">
        <f t="shared" si="104"/>
        <v/>
      </c>
      <c r="S66" s="105" t="str">
        <f t="shared" si="104"/>
        <v/>
      </c>
      <c r="T66" s="105" t="str">
        <f t="shared" si="88"/>
        <v/>
      </c>
      <c r="U66" s="105" t="str">
        <f t="shared" si="88"/>
        <v/>
      </c>
      <c r="V66" s="105" t="str">
        <f t="shared" si="88"/>
        <v/>
      </c>
      <c r="W66" s="105" t="str">
        <f t="shared" si="88"/>
        <v/>
      </c>
      <c r="X66" s="105" t="str">
        <f t="shared" si="104"/>
        <v/>
      </c>
      <c r="Y66" s="105" t="str">
        <f t="shared" si="104"/>
        <v/>
      </c>
      <c r="Z66" s="105" t="str">
        <f t="shared" ref="Z66:AJ66" si="139">IF(Z32="","",VLOOKUP(Z32,DanhSach,4,FALSE))</f>
        <v/>
      </c>
      <c r="AA66" s="105" t="str">
        <f t="shared" si="139"/>
        <v/>
      </c>
      <c r="AB66" s="105" t="str">
        <f t="shared" si="139"/>
        <v/>
      </c>
      <c r="AC66" s="105" t="str">
        <f t="shared" si="139"/>
        <v/>
      </c>
      <c r="AD66" s="105" t="str">
        <f t="shared" si="139"/>
        <v/>
      </c>
      <c r="AE66" s="105" t="str">
        <f t="shared" si="139"/>
        <v/>
      </c>
      <c r="AF66" s="105" t="str">
        <f t="shared" si="139"/>
        <v/>
      </c>
      <c r="AG66" s="105" t="str">
        <f t="shared" si="139"/>
        <v/>
      </c>
      <c r="AH66" s="105" t="str">
        <f t="shared" si="139"/>
        <v/>
      </c>
      <c r="AI66" s="105" t="str">
        <f t="shared" si="139"/>
        <v/>
      </c>
      <c r="AJ66" s="105" t="str">
        <f t="shared" si="139"/>
        <v/>
      </c>
      <c r="AK66" s="105" t="str">
        <f t="shared" si="92"/>
        <v/>
      </c>
      <c r="AL66" s="105"/>
      <c r="AM66" s="105"/>
      <c r="AN66" s="105"/>
      <c r="AO66" s="105"/>
      <c r="AP66" s="105"/>
      <c r="AQ66" s="105"/>
      <c r="AR66" s="105" t="str">
        <f t="shared" ref="AR66:BE66" si="140">IF(AR32="","",VLOOKUP(AR32,DanhSach,4,FALSE))</f>
        <v/>
      </c>
      <c r="AS66" s="105" t="str">
        <f t="shared" si="140"/>
        <v/>
      </c>
      <c r="AT66" s="105" t="str">
        <f t="shared" si="140"/>
        <v/>
      </c>
      <c r="AU66" s="105" t="str">
        <f t="shared" si="140"/>
        <v/>
      </c>
      <c r="AV66" s="105" t="str">
        <f t="shared" si="140"/>
        <v/>
      </c>
      <c r="AW66" s="105" t="str">
        <f t="shared" si="140"/>
        <v/>
      </c>
      <c r="AX66" s="105" t="str">
        <f t="shared" si="140"/>
        <v/>
      </c>
      <c r="AY66" s="105" t="str">
        <f t="shared" si="140"/>
        <v/>
      </c>
      <c r="AZ66" s="105" t="str">
        <f t="shared" si="140"/>
        <v/>
      </c>
      <c r="BA66" s="105" t="str">
        <f t="shared" si="140"/>
        <v/>
      </c>
      <c r="BB66" s="105" t="str">
        <f t="shared" si="140"/>
        <v/>
      </c>
      <c r="BC66" s="105" t="str">
        <f t="shared" si="140"/>
        <v/>
      </c>
      <c r="BD66" s="105" t="str">
        <f t="shared" si="140"/>
        <v/>
      </c>
      <c r="BE66" s="105" t="str">
        <f t="shared" si="140"/>
        <v/>
      </c>
      <c r="BF66" s="105"/>
      <c r="BG66" s="105"/>
      <c r="BH66" s="105"/>
      <c r="BI66" s="105" t="str">
        <f>IF(BI32="","",VLOOKUP(BI32,DanhSach,4,FALSE))</f>
        <v/>
      </c>
      <c r="BJ66" s="105" t="str">
        <f t="shared" ref="BJ66:BU66" si="141">IF(BJ32="","",VLOOKUP(BJ32,DanhSach,4,FALSE))</f>
        <v/>
      </c>
      <c r="BK66" s="105" t="str">
        <f t="shared" si="141"/>
        <v/>
      </c>
      <c r="BL66" s="105" t="str">
        <f t="shared" si="141"/>
        <v/>
      </c>
      <c r="BM66" s="105" t="str">
        <f t="shared" si="141"/>
        <v/>
      </c>
      <c r="BN66" s="105" t="str">
        <f t="shared" si="141"/>
        <v/>
      </c>
      <c r="BO66" s="105" t="str">
        <f t="shared" si="141"/>
        <v/>
      </c>
      <c r="BP66" s="105" t="str">
        <f t="shared" si="141"/>
        <v/>
      </c>
      <c r="BQ66" s="105" t="str">
        <f t="shared" si="141"/>
        <v/>
      </c>
      <c r="BR66" s="105" t="str">
        <f t="shared" si="141"/>
        <v/>
      </c>
      <c r="BS66" s="105" t="str">
        <f t="shared" si="141"/>
        <v/>
      </c>
      <c r="BT66" s="105" t="str">
        <f t="shared" si="141"/>
        <v/>
      </c>
      <c r="BU66" s="105" t="str">
        <f t="shared" si="141"/>
        <v/>
      </c>
      <c r="BV66" s="106" t="str">
        <f t="shared" si="109"/>
        <v/>
      </c>
      <c r="BW66" s="106" t="str">
        <f t="shared" si="109"/>
        <v/>
      </c>
      <c r="BX66" s="106" t="str">
        <f t="shared" si="109"/>
        <v/>
      </c>
      <c r="BY66" s="106" t="str">
        <f t="shared" si="109"/>
        <v/>
      </c>
      <c r="BZ66" s="106" t="str">
        <f t="shared" si="109"/>
        <v/>
      </c>
      <c r="CA66" s="106" t="str">
        <f t="shared" si="109"/>
        <v/>
      </c>
      <c r="CB66" s="106" t="str">
        <f t="shared" si="109"/>
        <v/>
      </c>
    </row>
    <row r="67" spans="1:80" s="89" customFormat="1" ht="15.75" customHeight="1" thickBot="1" x14ac:dyDescent="0.25">
      <c r="A67" s="107"/>
      <c r="B67" s="114">
        <v>5</v>
      </c>
      <c r="C67" s="109" t="str">
        <f t="shared" ref="C67:P67" si="142">IF(C33="","",VLOOKUP(C33,DanhSach,4,FALSE))</f>
        <v/>
      </c>
      <c r="D67" s="109" t="str">
        <f t="shared" si="142"/>
        <v/>
      </c>
      <c r="E67" s="109" t="str">
        <f t="shared" si="142"/>
        <v/>
      </c>
      <c r="F67" s="109" t="str">
        <f t="shared" si="142"/>
        <v/>
      </c>
      <c r="G67" s="109" t="str">
        <f t="shared" si="142"/>
        <v/>
      </c>
      <c r="H67" s="109" t="str">
        <f t="shared" si="142"/>
        <v/>
      </c>
      <c r="I67" s="109" t="str">
        <f t="shared" si="142"/>
        <v/>
      </c>
      <c r="J67" s="109" t="str">
        <f t="shared" si="142"/>
        <v/>
      </c>
      <c r="K67" s="109" t="str">
        <f t="shared" si="142"/>
        <v/>
      </c>
      <c r="L67" s="109" t="str">
        <f t="shared" si="142"/>
        <v/>
      </c>
      <c r="M67" s="109" t="str">
        <f t="shared" si="142"/>
        <v/>
      </c>
      <c r="N67" s="109" t="str">
        <f t="shared" si="142"/>
        <v/>
      </c>
      <c r="O67" s="109" t="str">
        <f t="shared" si="142"/>
        <v/>
      </c>
      <c r="P67" s="109" t="str">
        <f t="shared" si="142"/>
        <v/>
      </c>
      <c r="Q67" s="109" t="str">
        <f t="shared" si="104"/>
        <v/>
      </c>
      <c r="R67" s="109" t="str">
        <f t="shared" si="104"/>
        <v/>
      </c>
      <c r="S67" s="109" t="str">
        <f t="shared" si="104"/>
        <v/>
      </c>
      <c r="T67" s="109" t="str">
        <f t="shared" si="88"/>
        <v/>
      </c>
      <c r="U67" s="109" t="str">
        <f t="shared" si="88"/>
        <v/>
      </c>
      <c r="V67" s="109" t="str">
        <f t="shared" si="88"/>
        <v/>
      </c>
      <c r="W67" s="109" t="str">
        <f t="shared" si="88"/>
        <v/>
      </c>
      <c r="X67" s="109" t="str">
        <f t="shared" si="104"/>
        <v/>
      </c>
      <c r="Y67" s="109" t="str">
        <f t="shared" si="104"/>
        <v/>
      </c>
      <c r="Z67" s="109" t="str">
        <f t="shared" ref="Z67:AJ67" si="143">IF(Z33="","",VLOOKUP(Z33,DanhSach,4,FALSE))</f>
        <v/>
      </c>
      <c r="AA67" s="109" t="str">
        <f t="shared" si="143"/>
        <v/>
      </c>
      <c r="AB67" s="109" t="str">
        <f t="shared" si="143"/>
        <v/>
      </c>
      <c r="AC67" s="109" t="str">
        <f t="shared" si="143"/>
        <v/>
      </c>
      <c r="AD67" s="109" t="str">
        <f t="shared" si="143"/>
        <v/>
      </c>
      <c r="AE67" s="109" t="str">
        <f t="shared" si="143"/>
        <v/>
      </c>
      <c r="AF67" s="109" t="str">
        <f t="shared" si="143"/>
        <v/>
      </c>
      <c r="AG67" s="109" t="str">
        <f t="shared" si="143"/>
        <v/>
      </c>
      <c r="AH67" s="109" t="str">
        <f t="shared" si="143"/>
        <v/>
      </c>
      <c r="AI67" s="109" t="str">
        <f t="shared" si="143"/>
        <v/>
      </c>
      <c r="AJ67" s="109" t="str">
        <f t="shared" si="143"/>
        <v/>
      </c>
      <c r="AK67" s="109" t="str">
        <f t="shared" si="92"/>
        <v/>
      </c>
      <c r="AL67" s="109"/>
      <c r="AM67" s="109"/>
      <c r="AN67" s="109"/>
      <c r="AO67" s="109"/>
      <c r="AP67" s="109"/>
      <c r="AQ67" s="109"/>
      <c r="AR67" s="109"/>
      <c r="AS67" s="109"/>
      <c r="AT67" s="109" t="str">
        <f>IF(AT33="","",VLOOKUP(AT33,DanhSach,4,FALSE))</f>
        <v/>
      </c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 t="str">
        <f>IF(BI33="","",VLOOKUP(BI33,DanhSach,4,FALSE))</f>
        <v/>
      </c>
      <c r="BJ67" s="109" t="str">
        <f t="shared" ref="BJ67:BU67" si="144">IF(BJ33="","",VLOOKUP(BJ33,DanhSach,4,FALSE))</f>
        <v/>
      </c>
      <c r="BK67" s="109" t="str">
        <f t="shared" si="144"/>
        <v/>
      </c>
      <c r="BL67" s="109" t="str">
        <f t="shared" si="144"/>
        <v/>
      </c>
      <c r="BM67" s="109" t="str">
        <f t="shared" si="144"/>
        <v/>
      </c>
      <c r="BN67" s="109" t="str">
        <f t="shared" si="144"/>
        <v/>
      </c>
      <c r="BO67" s="109" t="str">
        <f t="shared" si="144"/>
        <v/>
      </c>
      <c r="BP67" s="109" t="str">
        <f t="shared" si="144"/>
        <v/>
      </c>
      <c r="BQ67" s="109" t="str">
        <f t="shared" si="144"/>
        <v/>
      </c>
      <c r="BR67" s="109" t="str">
        <f t="shared" si="144"/>
        <v/>
      </c>
      <c r="BS67" s="109" t="str">
        <f t="shared" si="144"/>
        <v/>
      </c>
      <c r="BT67" s="109" t="str">
        <f t="shared" si="144"/>
        <v/>
      </c>
      <c r="BU67" s="109" t="str">
        <f t="shared" si="144"/>
        <v/>
      </c>
      <c r="BV67" s="110" t="str">
        <f t="shared" si="109"/>
        <v/>
      </c>
      <c r="BW67" s="110" t="str">
        <f t="shared" si="109"/>
        <v/>
      </c>
      <c r="BX67" s="110" t="str">
        <f t="shared" si="109"/>
        <v/>
      </c>
      <c r="BY67" s="110" t="str">
        <f t="shared" si="109"/>
        <v/>
      </c>
      <c r="BZ67" s="110" t="str">
        <f t="shared" si="109"/>
        <v/>
      </c>
      <c r="CA67" s="110" t="str">
        <f t="shared" si="109"/>
        <v/>
      </c>
      <c r="CB67" s="110" t="str">
        <f t="shared" si="109"/>
        <v/>
      </c>
    </row>
  </sheetData>
  <mergeCells count="12">
    <mergeCell ref="A38:A42"/>
    <mergeCell ref="A43:A47"/>
    <mergeCell ref="A48:A52"/>
    <mergeCell ref="A53:A57"/>
    <mergeCell ref="A58:A62"/>
    <mergeCell ref="A63:A67"/>
    <mergeCell ref="A4:A8"/>
    <mergeCell ref="A9:A13"/>
    <mergeCell ref="A14:A18"/>
    <mergeCell ref="A19:A23"/>
    <mergeCell ref="A24:A28"/>
    <mergeCell ref="A29:A33"/>
  </mergeCells>
  <conditionalFormatting sqref="B4:B33">
    <cfRule type="cellIs" dxfId="0" priority="1" stopIfTrue="1" operator="equal">
      <formula>0</formula>
    </cfRule>
  </conditionalFormatting>
  <printOptions horizontalCentered="1"/>
  <pageMargins left="0.51" right="0.24" top="0.59" bottom="0.63" header="0" footer="0.63"/>
  <pageSetup paperSize="9" scale="9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InTKBC">
                <anchor>
                  <from>
                    <xdr:col>0</xdr:col>
                    <xdr:colOff>28575</xdr:colOff>
                    <xdr:row>0</xdr:row>
                    <xdr:rowOff>28575</xdr:rowOff>
                  </from>
                  <to>
                    <xdr:col>2</xdr:col>
                    <xdr:colOff>133350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TKBS</vt:lpstr>
      <vt:lpstr>TKBC</vt:lpstr>
      <vt:lpstr>TKBC!_10A1</vt:lpstr>
      <vt:lpstr>TKBC!Print_Area</vt:lpstr>
      <vt:lpstr>TKBS!Print_Area</vt:lpstr>
      <vt:lpstr>TKBC!Print_Titles</vt:lpstr>
      <vt:lpstr>TKBS!Print_Titles</vt:lpstr>
      <vt:lpstr>TKBC</vt:lpstr>
      <vt:lpstr>TKBS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2026-10-13T08:05:20Z</dcterms:created>
  <dcterms:modified xsi:type="dcterms:W3CDTF">2026-10-13T08:07:47Z</dcterms:modified>
</cp:coreProperties>
</file>