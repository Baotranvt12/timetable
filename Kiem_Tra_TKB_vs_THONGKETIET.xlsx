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baotran/Projects/Timetable/"/>
    </mc:Choice>
  </mc:AlternateContent>
  <xr:revisionPtr revIDLastSave="0" documentId="13_ncr:1_{E4D53635-F865-3A48-BE21-A33DB24478B9}" xr6:coauthVersionLast="47" xr6:coauthVersionMax="47" xr10:uidLastSave="{00000000-0000-0000-0000-000000000000}"/>
  <bookViews>
    <workbookView xWindow="29640" yWindow="1580" windowWidth="28800" windowHeight="16140" activeTab="3" xr2:uid="{00000000-000D-0000-FFFF-FFFF00000000}"/>
  </bookViews>
  <sheets>
    <sheet name="12_THONG_KE_TIET" sheetId="4" r:id="rId1"/>
    <sheet name="Tóm tắt theo lớp" sheetId="1" r:id="rId2"/>
    <sheet name="Sheet2" sheetId="6" r:id="rId3"/>
    <sheet name="CTNT-THQT-STEM-AVBN" sheetId="8" r:id="rId4"/>
    <sheet name="TKB-S-C-GV" sheetId="7" r:id="rId5"/>
    <sheet name="TKB-S-C-GV (gốc)" sheetId="12" r:id="rId6"/>
    <sheet name="TKB-S-C-LOP" sheetId="11" r:id="rId7"/>
    <sheet name="MAGV" sheetId="9" r:id="rId8"/>
    <sheet name="Chi tiết" sheetId="2" r:id="rId9"/>
    <sheet name="Toàn bộ" sheetId="3" r:id="rId10"/>
    <sheet name="Thống kê CĐ" sheetId="5" r:id="rId11"/>
    <sheet name="Thống kê lỗi N-A" sheetId="10" r:id="rId12"/>
  </sheets>
  <externalReferences>
    <externalReference r:id="rId13"/>
    <externalReference r:id="rId14"/>
  </externalReferences>
  <definedNames>
    <definedName name="_xlnm._FilterDatabase" localSheetId="10" hidden="1">'Thống kê CĐ'!$A$15:$K$66</definedName>
    <definedName name="DanhSach">[1]DanhSach!$C$4:$H$205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0" l="1"/>
  <c r="K31" i="10"/>
  <c r="K9" i="10"/>
  <c r="L9" i="10" a="1"/>
  <c r="L9" i="10" s="1"/>
  <c r="K10" i="10"/>
  <c r="L10" i="10" a="1"/>
  <c r="L10" i="10" s="1"/>
  <c r="K11" i="10"/>
  <c r="L11" i="10" a="1"/>
  <c r="L11" i="10" s="1"/>
  <c r="K12" i="10"/>
  <c r="L12" i="10" a="1"/>
  <c r="L12" i="10" s="1"/>
  <c r="K13" i="10"/>
  <c r="L13" i="10" a="1"/>
  <c r="L13" i="10" s="1"/>
  <c r="K14" i="10"/>
  <c r="L14" i="10" a="1"/>
  <c r="L14" i="10" s="1"/>
  <c r="K15" i="10"/>
  <c r="L15" i="10" a="1"/>
  <c r="L15" i="10" s="1"/>
  <c r="K16" i="10"/>
  <c r="L16" i="10" a="1"/>
  <c r="L16" i="10"/>
  <c r="K17" i="10"/>
  <c r="L17" i="10" a="1"/>
  <c r="L17" i="10"/>
  <c r="K18" i="10"/>
  <c r="L18" i="10" a="1"/>
  <c r="L18" i="10" s="1"/>
  <c r="K19" i="10"/>
  <c r="L19" i="10" a="1"/>
  <c r="L19" i="10" s="1"/>
  <c r="K20" i="10"/>
  <c r="L20" i="10" a="1"/>
  <c r="L20" i="10" s="1"/>
  <c r="K21" i="10"/>
  <c r="L21" i="10" a="1"/>
  <c r="L21" i="10"/>
  <c r="K22" i="10"/>
  <c r="L22" i="10" a="1"/>
  <c r="L22" i="10" s="1"/>
  <c r="K23" i="10"/>
  <c r="L23" i="10" a="1"/>
  <c r="L23" i="10"/>
  <c r="K24" i="10"/>
  <c r="L24" i="10" a="1"/>
  <c r="L24" i="10" s="1"/>
  <c r="K25" i="10"/>
  <c r="L25" i="10" a="1"/>
  <c r="L25" i="10"/>
  <c r="K26" i="10"/>
  <c r="L26" i="10" a="1"/>
  <c r="L26" i="10" s="1"/>
  <c r="K27" i="10"/>
  <c r="L27" i="10" a="1"/>
  <c r="L27" i="10" s="1"/>
  <c r="K28" i="10"/>
  <c r="L28" i="10" a="1"/>
  <c r="L28" i="10" s="1"/>
  <c r="K29" i="10"/>
  <c r="L29" i="10" a="1"/>
  <c r="L29" i="10" s="1"/>
  <c r="K30" i="10"/>
  <c r="L30" i="10" a="1"/>
  <c r="L30" i="10" s="1"/>
  <c r="B5" i="10"/>
  <c r="E64" i="8" a="1"/>
  <c r="E64" i="8" s="1"/>
  <c r="E63" i="8" a="1"/>
  <c r="E63" i="8" s="1"/>
  <c r="E61" i="8" a="1"/>
  <c r="E61" i="8" s="1"/>
  <c r="E60" i="8" a="1"/>
  <c r="E60" i="8" s="1"/>
  <c r="E59" i="8" a="1"/>
  <c r="E59" i="8" s="1"/>
  <c r="E58" i="8" a="1"/>
  <c r="E58" i="8" s="1"/>
  <c r="E57" i="8" a="1"/>
  <c r="E57" i="8" s="1"/>
  <c r="E56" i="8" a="1"/>
  <c r="E56" i="8" s="1"/>
  <c r="E51" i="8" a="1"/>
  <c r="E51" i="8" s="1"/>
  <c r="E50" i="8" a="1"/>
  <c r="E50" i="8" s="1"/>
  <c r="E49" i="8" a="1"/>
  <c r="E49" i="8" s="1"/>
  <c r="E48" i="8" a="1"/>
  <c r="E48" i="8" s="1"/>
  <c r="E47" i="8" a="1"/>
  <c r="E47" i="8" s="1"/>
  <c r="E45" i="8" a="1"/>
  <c r="E45" i="8" s="1"/>
  <c r="E44" i="8" a="1"/>
  <c r="E44" i="8" s="1"/>
  <c r="E43" i="8" a="1"/>
  <c r="E43" i="8" s="1"/>
  <c r="E42" i="8" a="1"/>
  <c r="E42" i="8" s="1"/>
  <c r="E41" i="8" a="1"/>
  <c r="E41" i="8" s="1"/>
  <c r="E40" i="8" a="1"/>
  <c r="E40" i="8" s="1"/>
  <c r="E39" i="8" a="1"/>
  <c r="E39" i="8" s="1"/>
  <c r="E38" i="8" a="1"/>
  <c r="E38" i="8" s="1"/>
  <c r="E37" i="8" a="1"/>
  <c r="E37" i="8" s="1"/>
  <c r="E36" i="8" a="1"/>
  <c r="E36" i="8" s="1"/>
  <c r="E35" i="8" a="1"/>
  <c r="E35" i="8" s="1"/>
  <c r="E34" i="8" a="1"/>
  <c r="E34" i="8" s="1"/>
  <c r="E29" i="8" a="1"/>
  <c r="E29" i="8" s="1"/>
  <c r="E28" i="8" a="1"/>
  <c r="E28" i="8" s="1"/>
  <c r="E27" i="8" a="1"/>
  <c r="E27" i="8" s="1"/>
  <c r="E26" i="8" a="1"/>
  <c r="E26" i="8" s="1"/>
  <c r="E25" i="8" a="1"/>
  <c r="E25" i="8" s="1"/>
  <c r="E24" i="8" a="1"/>
  <c r="E24" i="8" s="1"/>
  <c r="E21" i="8" a="1"/>
  <c r="E21" i="8" s="1"/>
  <c r="E20" i="8" a="1"/>
  <c r="E20" i="8" s="1"/>
  <c r="E19" i="8" a="1"/>
  <c r="E19" i="8" s="1"/>
  <c r="E18" i="8" a="1"/>
  <c r="E18" i="8" s="1"/>
  <c r="E17" i="8" a="1"/>
  <c r="E17" i="8" s="1"/>
  <c r="E14" i="8" a="1"/>
  <c r="E14" i="8" s="1"/>
  <c r="E13" i="8" a="1"/>
  <c r="E13" i="8" s="1"/>
  <c r="E12" i="8" a="1"/>
  <c r="E12" i="8" s="1"/>
  <c r="E11" i="8" a="1"/>
  <c r="E11" i="8" s="1"/>
  <c r="E10" i="8" a="1"/>
  <c r="E10" i="8" s="1"/>
  <c r="E9" i="8" a="1"/>
  <c r="E9" i="8" s="1"/>
  <c r="E8" i="8" a="1"/>
  <c r="E8" i="8" s="1"/>
  <c r="E7" i="8" a="1"/>
  <c r="E7" i="8" s="1"/>
  <c r="E6" i="8" a="1"/>
  <c r="E6" i="8" s="1"/>
  <c r="E5" i="8" a="1"/>
  <c r="E5" i="8" s="1"/>
  <c r="E4" i="8" a="1"/>
  <c r="E4" i="8" s="1"/>
  <c r="D29" i="8" l="1"/>
  <c r="C29" i="8"/>
  <c r="B29" i="8" a="1"/>
  <c r="B29" i="8" s="1"/>
  <c r="D28" i="8"/>
  <c r="C28" i="8"/>
  <c r="B28" i="8" a="1"/>
  <c r="B28" i="8" s="1"/>
  <c r="D27" i="8"/>
  <c r="C27" i="8"/>
  <c r="B27" i="8" a="1"/>
  <c r="B27" i="8" s="1"/>
  <c r="D26" i="8"/>
  <c r="C26" i="8"/>
  <c r="B26" i="8" a="1"/>
  <c r="B26" i="8" s="1"/>
  <c r="D25" i="8"/>
  <c r="C25" i="8"/>
  <c r="B25" i="8" a="1"/>
  <c r="B25" i="8" s="1"/>
  <c r="D24" i="8"/>
  <c r="C24" i="8"/>
  <c r="B24" i="8" a="1"/>
  <c r="B24" i="8" s="1"/>
  <c r="D21" i="8"/>
  <c r="C21" i="8"/>
  <c r="B21" i="8" a="1"/>
  <c r="B21" i="8" s="1"/>
  <c r="D20" i="8"/>
  <c r="C20" i="8"/>
  <c r="B20" i="8" a="1"/>
  <c r="B20" i="8" s="1"/>
  <c r="D19" i="8"/>
  <c r="C19" i="8"/>
  <c r="B19" i="8" a="1"/>
  <c r="B19" i="8" s="1"/>
  <c r="D18" i="8"/>
  <c r="C18" i="8"/>
  <c r="B18" i="8" a="1"/>
  <c r="B18" i="8" s="1"/>
  <c r="D17" i="8"/>
  <c r="C17" i="8"/>
  <c r="B17" i="8" a="1"/>
  <c r="B17" i="8" s="1"/>
  <c r="D14" i="8"/>
  <c r="C14" i="8"/>
  <c r="B14" i="8" a="1"/>
  <c r="B14" i="8" s="1"/>
  <c r="D13" i="8"/>
  <c r="C13" i="8"/>
  <c r="B13" i="8" a="1"/>
  <c r="B13" i="8" s="1"/>
  <c r="D12" i="8"/>
  <c r="C12" i="8"/>
  <c r="B12" i="8" a="1"/>
  <c r="B12" i="8" s="1"/>
  <c r="D11" i="8"/>
  <c r="C11" i="8"/>
  <c r="B11" i="8" a="1"/>
  <c r="B11" i="8" s="1"/>
  <c r="D10" i="8"/>
  <c r="C10" i="8"/>
  <c r="B10" i="8" a="1"/>
  <c r="B10" i="8" s="1"/>
  <c r="D9" i="8"/>
  <c r="C9" i="8"/>
  <c r="B9" i="8" a="1"/>
  <c r="B9" i="8" s="1"/>
  <c r="D8" i="8"/>
  <c r="C8" i="8"/>
  <c r="B8" i="8" a="1"/>
  <c r="B8" i="8" s="1"/>
  <c r="D7" i="8"/>
  <c r="C7" i="8"/>
  <c r="B7" i="8" a="1"/>
  <c r="B7" i="8" s="1"/>
  <c r="D6" i="8"/>
  <c r="C6" i="8"/>
  <c r="B6" i="8" a="1"/>
  <c r="B6" i="8" s="1"/>
  <c r="D5" i="8"/>
  <c r="C5" i="8"/>
  <c r="B5" i="8" a="1"/>
  <c r="B5" i="8" s="1"/>
  <c r="D4" i="8"/>
  <c r="C4" i="8"/>
  <c r="B4" i="8" a="1"/>
  <c r="B4" i="8" s="1"/>
  <c r="C66" i="5" l="1"/>
  <c r="D66" i="5"/>
  <c r="E66" i="5"/>
  <c r="F66" i="5"/>
  <c r="G66" i="5"/>
  <c r="H66" i="5"/>
  <c r="I66" i="5"/>
  <c r="A16" i="5"/>
  <c r="B16" i="5"/>
  <c r="C16" i="5"/>
  <c r="D16" i="5"/>
  <c r="J16" i="5" s="1"/>
  <c r="E16" i="5"/>
  <c r="F16" i="5"/>
  <c r="G16" i="5"/>
  <c r="H16" i="5"/>
  <c r="I16" i="5"/>
  <c r="A17" i="5"/>
  <c r="B17" i="5"/>
  <c r="C17" i="5"/>
  <c r="J17" i="5" s="1"/>
  <c r="D17" i="5"/>
  <c r="E17" i="5"/>
  <c r="F17" i="5"/>
  <c r="G17" i="5"/>
  <c r="H17" i="5"/>
  <c r="I17" i="5"/>
  <c r="K17" i="5"/>
  <c r="A18" i="5"/>
  <c r="B18" i="5"/>
  <c r="C18" i="5"/>
  <c r="D18" i="5"/>
  <c r="K18" i="5" s="1"/>
  <c r="E18" i="5"/>
  <c r="F18" i="5"/>
  <c r="J18" i="5" s="1"/>
  <c r="G18" i="5"/>
  <c r="H18" i="5"/>
  <c r="I18" i="5"/>
  <c r="A19" i="5"/>
  <c r="B19" i="5"/>
  <c r="C19" i="5"/>
  <c r="J19" i="5" s="1"/>
  <c r="D19" i="5"/>
  <c r="K19" i="5" s="1"/>
  <c r="E19" i="5"/>
  <c r="F19" i="5"/>
  <c r="G19" i="5"/>
  <c r="H19" i="5"/>
  <c r="I19" i="5"/>
  <c r="A20" i="5"/>
  <c r="B20" i="5"/>
  <c r="C20" i="5"/>
  <c r="J20" i="5" s="1"/>
  <c r="D20" i="5"/>
  <c r="E20" i="5"/>
  <c r="F20" i="5"/>
  <c r="G20" i="5"/>
  <c r="H20" i="5"/>
  <c r="I20" i="5"/>
  <c r="A21" i="5"/>
  <c r="B21" i="5"/>
  <c r="C21" i="5"/>
  <c r="J21" i="5" s="1"/>
  <c r="D21" i="5"/>
  <c r="K21" i="5" s="1"/>
  <c r="E21" i="5"/>
  <c r="F21" i="5"/>
  <c r="G21" i="5"/>
  <c r="H21" i="5"/>
  <c r="I21" i="5"/>
  <c r="A22" i="5"/>
  <c r="B22" i="5"/>
  <c r="C22" i="5"/>
  <c r="J22" i="5" s="1"/>
  <c r="D22" i="5"/>
  <c r="K22" i="5" s="1"/>
  <c r="E22" i="5"/>
  <c r="F22" i="5"/>
  <c r="G22" i="5"/>
  <c r="H22" i="5"/>
  <c r="I22" i="5"/>
  <c r="A23" i="5"/>
  <c r="B23" i="5"/>
  <c r="C23" i="5"/>
  <c r="D23" i="5"/>
  <c r="E23" i="5"/>
  <c r="F23" i="5"/>
  <c r="G23" i="5"/>
  <c r="K23" i="5" s="1"/>
  <c r="H23" i="5"/>
  <c r="I23" i="5"/>
  <c r="J23" i="5"/>
  <c r="A24" i="5"/>
  <c r="B24" i="5"/>
  <c r="C24" i="5"/>
  <c r="J24" i="5" s="1"/>
  <c r="D24" i="5"/>
  <c r="K24" i="5" s="1"/>
  <c r="E24" i="5"/>
  <c r="F24" i="5"/>
  <c r="G24" i="5"/>
  <c r="H24" i="5"/>
  <c r="I24" i="5"/>
  <c r="A25" i="5"/>
  <c r="B25" i="5"/>
  <c r="C25" i="5"/>
  <c r="J25" i="5" s="1"/>
  <c r="D25" i="5"/>
  <c r="K25" i="5" s="1"/>
  <c r="E25" i="5"/>
  <c r="F25" i="5"/>
  <c r="G25" i="5"/>
  <c r="H25" i="5"/>
  <c r="I25" i="5"/>
  <c r="A26" i="5"/>
  <c r="B26" i="5"/>
  <c r="C26" i="5"/>
  <c r="D26" i="5"/>
  <c r="K26" i="5" s="1"/>
  <c r="E26" i="5"/>
  <c r="F26" i="5"/>
  <c r="J26" i="5" s="1"/>
  <c r="G26" i="5"/>
  <c r="H26" i="5"/>
  <c r="I26" i="5"/>
  <c r="A27" i="5"/>
  <c r="B27" i="5"/>
  <c r="C27" i="5"/>
  <c r="J27" i="5" s="1"/>
  <c r="D27" i="5"/>
  <c r="K27" i="5" s="1"/>
  <c r="E27" i="5"/>
  <c r="F27" i="5"/>
  <c r="G27" i="5"/>
  <c r="H27" i="5"/>
  <c r="I27" i="5"/>
  <c r="A28" i="5"/>
  <c r="B28" i="5"/>
  <c r="C28" i="5"/>
  <c r="J28" i="5" s="1"/>
  <c r="D28" i="5"/>
  <c r="E28" i="5"/>
  <c r="F28" i="5"/>
  <c r="G28" i="5"/>
  <c r="H28" i="5"/>
  <c r="I28" i="5"/>
  <c r="A29" i="5"/>
  <c r="B29" i="5"/>
  <c r="C29" i="5"/>
  <c r="J29" i="5" s="1"/>
  <c r="D29" i="5"/>
  <c r="K29" i="5" s="1"/>
  <c r="E29" i="5"/>
  <c r="F29" i="5"/>
  <c r="G29" i="5"/>
  <c r="H29" i="5"/>
  <c r="I29" i="5"/>
  <c r="A30" i="5"/>
  <c r="B30" i="5"/>
  <c r="C30" i="5"/>
  <c r="J30" i="5" s="1"/>
  <c r="D30" i="5"/>
  <c r="K30" i="5" s="1"/>
  <c r="E30" i="5"/>
  <c r="F30" i="5"/>
  <c r="G30" i="5"/>
  <c r="H30" i="5"/>
  <c r="I30" i="5"/>
  <c r="A31" i="5"/>
  <c r="B31" i="5"/>
  <c r="C31" i="5"/>
  <c r="D31" i="5"/>
  <c r="E31" i="5"/>
  <c r="F31" i="5"/>
  <c r="G31" i="5"/>
  <c r="K31" i="5" s="1"/>
  <c r="H31" i="5"/>
  <c r="I31" i="5"/>
  <c r="J31" i="5"/>
  <c r="A32" i="5"/>
  <c r="B32" i="5"/>
  <c r="C32" i="5"/>
  <c r="J32" i="5" s="1"/>
  <c r="D32" i="5"/>
  <c r="K32" i="5" s="1"/>
  <c r="E32" i="5"/>
  <c r="F32" i="5"/>
  <c r="G32" i="5"/>
  <c r="H32" i="5"/>
  <c r="I32" i="5"/>
  <c r="A33" i="5"/>
  <c r="B33" i="5"/>
  <c r="C33" i="5"/>
  <c r="J33" i="5" s="1"/>
  <c r="D33" i="5"/>
  <c r="K33" i="5" s="1"/>
  <c r="E33" i="5"/>
  <c r="F33" i="5"/>
  <c r="G33" i="5"/>
  <c r="H33" i="5"/>
  <c r="I33" i="5"/>
  <c r="A34" i="5"/>
  <c r="B34" i="5"/>
  <c r="C34" i="5"/>
  <c r="D34" i="5"/>
  <c r="K34" i="5" s="1"/>
  <c r="E34" i="5"/>
  <c r="F34" i="5"/>
  <c r="J34" i="5" s="1"/>
  <c r="G34" i="5"/>
  <c r="H34" i="5"/>
  <c r="I34" i="5"/>
  <c r="A35" i="5"/>
  <c r="B35" i="5"/>
  <c r="C35" i="5"/>
  <c r="J35" i="5" s="1"/>
  <c r="D35" i="5"/>
  <c r="K35" i="5" s="1"/>
  <c r="E35" i="5"/>
  <c r="F35" i="5"/>
  <c r="G35" i="5"/>
  <c r="H35" i="5"/>
  <c r="I35" i="5"/>
  <c r="A36" i="5"/>
  <c r="B36" i="5"/>
  <c r="C36" i="5"/>
  <c r="J36" i="5" s="1"/>
  <c r="D36" i="5"/>
  <c r="E36" i="5"/>
  <c r="F36" i="5"/>
  <c r="G36" i="5"/>
  <c r="H36" i="5"/>
  <c r="I36" i="5"/>
  <c r="K36" i="5"/>
  <c r="A37" i="5"/>
  <c r="B37" i="5"/>
  <c r="C37" i="5"/>
  <c r="J37" i="5" s="1"/>
  <c r="D37" i="5"/>
  <c r="K37" i="5" s="1"/>
  <c r="E37" i="5"/>
  <c r="F37" i="5"/>
  <c r="G37" i="5"/>
  <c r="H37" i="5"/>
  <c r="I37" i="5"/>
  <c r="A38" i="5"/>
  <c r="B38" i="5"/>
  <c r="C38" i="5"/>
  <c r="J38" i="5" s="1"/>
  <c r="D38" i="5"/>
  <c r="E38" i="5"/>
  <c r="F38" i="5"/>
  <c r="G38" i="5"/>
  <c r="H38" i="5"/>
  <c r="I38" i="5"/>
  <c r="A39" i="5"/>
  <c r="B39" i="5"/>
  <c r="C39" i="5"/>
  <c r="D39" i="5"/>
  <c r="E39" i="5"/>
  <c r="F39" i="5"/>
  <c r="G39" i="5"/>
  <c r="K39" i="5" s="1"/>
  <c r="H39" i="5"/>
  <c r="I39" i="5"/>
  <c r="J39" i="5"/>
  <c r="A40" i="5"/>
  <c r="B40" i="5"/>
  <c r="C40" i="5"/>
  <c r="J40" i="5" s="1"/>
  <c r="D40" i="5"/>
  <c r="K40" i="5" s="1"/>
  <c r="E40" i="5"/>
  <c r="F40" i="5"/>
  <c r="G40" i="5"/>
  <c r="H40" i="5"/>
  <c r="I40" i="5"/>
  <c r="A41" i="5"/>
  <c r="B41" i="5"/>
  <c r="C41" i="5"/>
  <c r="J41" i="5" s="1"/>
  <c r="D41" i="5"/>
  <c r="K41" i="5" s="1"/>
  <c r="E41" i="5"/>
  <c r="F41" i="5"/>
  <c r="G41" i="5"/>
  <c r="H41" i="5"/>
  <c r="I41" i="5"/>
  <c r="A42" i="5"/>
  <c r="B42" i="5"/>
  <c r="C42" i="5"/>
  <c r="D42" i="5"/>
  <c r="K42" i="5" s="1"/>
  <c r="E42" i="5"/>
  <c r="F42" i="5"/>
  <c r="J42" i="5" s="1"/>
  <c r="G42" i="5"/>
  <c r="H42" i="5"/>
  <c r="I42" i="5"/>
  <c r="A43" i="5"/>
  <c r="B43" i="5"/>
  <c r="C43" i="5"/>
  <c r="J43" i="5" s="1"/>
  <c r="D43" i="5"/>
  <c r="K43" i="5" s="1"/>
  <c r="E43" i="5"/>
  <c r="F43" i="5"/>
  <c r="G43" i="5"/>
  <c r="H43" i="5"/>
  <c r="I43" i="5"/>
  <c r="A44" i="5"/>
  <c r="B44" i="5"/>
  <c r="C44" i="5"/>
  <c r="J44" i="5" s="1"/>
  <c r="D44" i="5"/>
  <c r="E44" i="5"/>
  <c r="F44" i="5"/>
  <c r="G44" i="5"/>
  <c r="H44" i="5"/>
  <c r="I44" i="5"/>
  <c r="K44" i="5"/>
  <c r="A45" i="5"/>
  <c r="B45" i="5"/>
  <c r="C45" i="5"/>
  <c r="J45" i="5" s="1"/>
  <c r="D45" i="5"/>
  <c r="E45" i="5"/>
  <c r="F45" i="5"/>
  <c r="G45" i="5"/>
  <c r="H45" i="5"/>
  <c r="I45" i="5"/>
  <c r="A46" i="5"/>
  <c r="B46" i="5"/>
  <c r="C46" i="5"/>
  <c r="J46" i="5" s="1"/>
  <c r="D46" i="5"/>
  <c r="K46" i="5" s="1"/>
  <c r="E46" i="5"/>
  <c r="F46" i="5"/>
  <c r="G46" i="5"/>
  <c r="H46" i="5"/>
  <c r="I46" i="5"/>
  <c r="A47" i="5"/>
  <c r="B47" i="5"/>
  <c r="C47" i="5"/>
  <c r="D47" i="5"/>
  <c r="E47" i="5"/>
  <c r="F47" i="5"/>
  <c r="G47" i="5"/>
  <c r="K47" i="5" s="1"/>
  <c r="H47" i="5"/>
  <c r="I47" i="5"/>
  <c r="J47" i="5"/>
  <c r="A48" i="5"/>
  <c r="B48" i="5"/>
  <c r="C48" i="5"/>
  <c r="J48" i="5" s="1"/>
  <c r="D48" i="5"/>
  <c r="K48" i="5" s="1"/>
  <c r="E48" i="5"/>
  <c r="F48" i="5"/>
  <c r="G48" i="5"/>
  <c r="H48" i="5"/>
  <c r="I48" i="5"/>
  <c r="A49" i="5"/>
  <c r="B49" i="5"/>
  <c r="C49" i="5"/>
  <c r="J49" i="5" s="1"/>
  <c r="D49" i="5"/>
  <c r="K49" i="5" s="1"/>
  <c r="E49" i="5"/>
  <c r="F49" i="5"/>
  <c r="G49" i="5"/>
  <c r="H49" i="5"/>
  <c r="I49" i="5"/>
  <c r="A50" i="5"/>
  <c r="B50" i="5"/>
  <c r="C50" i="5"/>
  <c r="D50" i="5"/>
  <c r="K50" i="5" s="1"/>
  <c r="E50" i="5"/>
  <c r="F50" i="5"/>
  <c r="J50" i="5" s="1"/>
  <c r="G50" i="5"/>
  <c r="H50" i="5"/>
  <c r="I50" i="5"/>
  <c r="A51" i="5"/>
  <c r="B51" i="5"/>
  <c r="C51" i="5"/>
  <c r="J51" i="5" s="1"/>
  <c r="D51" i="5"/>
  <c r="K51" i="5" s="1"/>
  <c r="E51" i="5"/>
  <c r="F51" i="5"/>
  <c r="G51" i="5"/>
  <c r="H51" i="5"/>
  <c r="I51" i="5"/>
  <c r="A52" i="5"/>
  <c r="B52" i="5"/>
  <c r="C52" i="5"/>
  <c r="J52" i="5" s="1"/>
  <c r="D52" i="5"/>
  <c r="E52" i="5"/>
  <c r="F52" i="5"/>
  <c r="G52" i="5"/>
  <c r="H52" i="5"/>
  <c r="I52" i="5"/>
  <c r="K52" i="5"/>
  <c r="A53" i="5"/>
  <c r="B53" i="5"/>
  <c r="C53" i="5"/>
  <c r="J53" i="5" s="1"/>
  <c r="D53" i="5"/>
  <c r="K53" i="5" s="1"/>
  <c r="E53" i="5"/>
  <c r="F53" i="5"/>
  <c r="G53" i="5"/>
  <c r="H53" i="5"/>
  <c r="I53" i="5"/>
  <c r="A54" i="5"/>
  <c r="B54" i="5"/>
  <c r="C54" i="5"/>
  <c r="J54" i="5" s="1"/>
  <c r="D54" i="5"/>
  <c r="K54" i="5" s="1"/>
  <c r="E54" i="5"/>
  <c r="F54" i="5"/>
  <c r="G54" i="5"/>
  <c r="H54" i="5"/>
  <c r="I54" i="5"/>
  <c r="A55" i="5"/>
  <c r="B55" i="5"/>
  <c r="C55" i="5"/>
  <c r="D55" i="5"/>
  <c r="E55" i="5"/>
  <c r="F55" i="5"/>
  <c r="G55" i="5"/>
  <c r="K55" i="5" s="1"/>
  <c r="H55" i="5"/>
  <c r="I55" i="5"/>
  <c r="J55" i="5"/>
  <c r="A56" i="5"/>
  <c r="B56" i="5"/>
  <c r="C56" i="5"/>
  <c r="J56" i="5" s="1"/>
  <c r="D56" i="5"/>
  <c r="E56" i="5"/>
  <c r="F56" i="5"/>
  <c r="G56" i="5"/>
  <c r="H56" i="5"/>
  <c r="I56" i="5"/>
  <c r="A57" i="5"/>
  <c r="B57" i="5"/>
  <c r="C57" i="5"/>
  <c r="J57" i="5" s="1"/>
  <c r="D57" i="5"/>
  <c r="K57" i="5" s="1"/>
  <c r="E57" i="5"/>
  <c r="F57" i="5"/>
  <c r="G57" i="5"/>
  <c r="H57" i="5"/>
  <c r="I57" i="5"/>
  <c r="A58" i="5"/>
  <c r="B58" i="5"/>
  <c r="C58" i="5"/>
  <c r="D58" i="5"/>
  <c r="K58" i="5" s="1"/>
  <c r="E58" i="5"/>
  <c r="F58" i="5"/>
  <c r="J58" i="5" s="1"/>
  <c r="G58" i="5"/>
  <c r="H58" i="5"/>
  <c r="I58" i="5"/>
  <c r="A59" i="5"/>
  <c r="B59" i="5"/>
  <c r="C59" i="5"/>
  <c r="J59" i="5" s="1"/>
  <c r="D59" i="5"/>
  <c r="K59" i="5" s="1"/>
  <c r="E59" i="5"/>
  <c r="F59" i="5"/>
  <c r="G59" i="5"/>
  <c r="H59" i="5"/>
  <c r="I59" i="5"/>
  <c r="A60" i="5"/>
  <c r="B60" i="5"/>
  <c r="C60" i="5"/>
  <c r="J60" i="5" s="1"/>
  <c r="D60" i="5"/>
  <c r="E60" i="5"/>
  <c r="F60" i="5"/>
  <c r="G60" i="5"/>
  <c r="H60" i="5"/>
  <c r="I60" i="5"/>
  <c r="K60" i="5"/>
  <c r="A61" i="5"/>
  <c r="B61" i="5"/>
  <c r="C61" i="5"/>
  <c r="J61" i="5" s="1"/>
  <c r="D61" i="5"/>
  <c r="K61" i="5" s="1"/>
  <c r="E61" i="5"/>
  <c r="F61" i="5"/>
  <c r="G61" i="5"/>
  <c r="H61" i="5"/>
  <c r="I61" i="5"/>
  <c r="A62" i="5"/>
  <c r="B62" i="5"/>
  <c r="C62" i="5"/>
  <c r="J62" i="5" s="1"/>
  <c r="D62" i="5"/>
  <c r="K62" i="5" s="1"/>
  <c r="E62" i="5"/>
  <c r="F62" i="5"/>
  <c r="G62" i="5"/>
  <c r="H62" i="5"/>
  <c r="I62" i="5"/>
  <c r="A63" i="5"/>
  <c r="B63" i="5"/>
  <c r="C63" i="5"/>
  <c r="D63" i="5"/>
  <c r="E63" i="5"/>
  <c r="F63" i="5"/>
  <c r="G63" i="5"/>
  <c r="K63" i="5" s="1"/>
  <c r="H63" i="5"/>
  <c r="I63" i="5"/>
  <c r="J63" i="5"/>
  <c r="A64" i="5"/>
  <c r="B64" i="5"/>
  <c r="C64" i="5"/>
  <c r="J64" i="5" s="1"/>
  <c r="D64" i="5"/>
  <c r="K64" i="5" s="1"/>
  <c r="E64" i="5"/>
  <c r="F64" i="5"/>
  <c r="G64" i="5"/>
  <c r="H64" i="5"/>
  <c r="I64" i="5"/>
  <c r="A65" i="5"/>
  <c r="B65" i="5"/>
  <c r="C65" i="5"/>
  <c r="J65" i="5" s="1"/>
  <c r="D65" i="5"/>
  <c r="K65" i="5" s="1"/>
  <c r="E65" i="5"/>
  <c r="F65" i="5"/>
  <c r="G65" i="5"/>
  <c r="H65" i="5"/>
  <c r="I65" i="5"/>
  <c r="C15" i="5"/>
  <c r="D15" i="5"/>
  <c r="E15" i="5"/>
  <c r="F15" i="5"/>
  <c r="G15" i="5"/>
  <c r="H15" i="5"/>
  <c r="I15" i="5"/>
  <c r="A15" i="5"/>
  <c r="B15" i="5"/>
  <c r="B12" i="5"/>
  <c r="C12" i="5"/>
  <c r="A5" i="5" a="1"/>
  <c r="A5" i="5" s="1"/>
  <c r="B5" i="5"/>
  <c r="D5" i="5" s="1"/>
  <c r="C5" i="5"/>
  <c r="E5" i="5" a="1"/>
  <c r="E5" i="5" s="1"/>
  <c r="A6" i="5" a="1"/>
  <c r="A6" i="5"/>
  <c r="B6" i="5"/>
  <c r="D6" i="5" s="1"/>
  <c r="C6" i="5"/>
  <c r="E6" i="5" a="1"/>
  <c r="E6" i="5" s="1"/>
  <c r="A7" i="5" a="1"/>
  <c r="A7" i="5" s="1"/>
  <c r="B7" i="5"/>
  <c r="D7" i="5" s="1"/>
  <c r="C7" i="5"/>
  <c r="E7" i="5" a="1"/>
  <c r="E7" i="5" s="1"/>
  <c r="A8" i="5" a="1"/>
  <c r="A8" i="5" s="1"/>
  <c r="B8" i="5"/>
  <c r="D8" i="5" s="1"/>
  <c r="C8" i="5"/>
  <c r="E8" i="5" a="1"/>
  <c r="E8" i="5" s="1"/>
  <c r="A9" i="5" a="1"/>
  <c r="A9" i="5"/>
  <c r="B9" i="5"/>
  <c r="D9" i="5" s="1"/>
  <c r="C9" i="5"/>
  <c r="E9" i="5" a="1"/>
  <c r="E9" i="5" s="1"/>
  <c r="A10" i="5" a="1"/>
  <c r="A10" i="5"/>
  <c r="B10" i="5"/>
  <c r="D10" i="5" s="1"/>
  <c r="C10" i="5"/>
  <c r="E10" i="5" a="1"/>
  <c r="E10" i="5" s="1"/>
  <c r="A11" i="5" a="1"/>
  <c r="A11" i="5"/>
  <c r="B11" i="5"/>
  <c r="D11" i="5" s="1"/>
  <c r="C11" i="5"/>
  <c r="E11" i="5" a="1"/>
  <c r="E11" i="5" s="1"/>
  <c r="J66" i="5" l="1"/>
  <c r="K28" i="5"/>
  <c r="K38" i="5"/>
  <c r="K20" i="5"/>
  <c r="K56" i="5"/>
  <c r="K16" i="5"/>
  <c r="K45" i="5"/>
  <c r="K66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<sst xmlns="http://schemas.openxmlformats.org/spreadsheetml/2006/main" count="13053" uniqueCount="1035">
  <si>
    <t>Lớp</t>
  </si>
  <si>
    <t>Thiếu (so với THONGKETIET)</t>
  </si>
  <si>
    <t>Dư</t>
  </si>
  <si>
    <t>10A1</t>
  </si>
  <si>
    <t>ANH −1; TOÁN −1</t>
  </si>
  <si>
    <t>SINH +2</t>
  </si>
  <si>
    <t>10A2</t>
  </si>
  <si>
    <t>LÝ −1</t>
  </si>
  <si>
    <t>SINH +1</t>
  </si>
  <si>
    <t>10A4</t>
  </si>
  <si>
    <t>KTPL −1</t>
  </si>
  <si>
    <t>HĐTN +1</t>
  </si>
  <si>
    <t>10A5</t>
  </si>
  <si>
    <t>TOÁN +1</t>
  </si>
  <si>
    <t>10A6</t>
  </si>
  <si>
    <t>LÝ −2; HĐTN −1; KTPL −1</t>
  </si>
  <si>
    <t>TOÁN +2; VĂN +2</t>
  </si>
  <si>
    <t>10A12</t>
  </si>
  <si>
    <t>VĂN −1</t>
  </si>
  <si>
    <t>LÝ +1</t>
  </si>
  <si>
    <t>10A13</t>
  </si>
  <si>
    <t>SỬ −2</t>
  </si>
  <si>
    <t>LÝ +1; QPAN +1</t>
  </si>
  <si>
    <t>10A14</t>
  </si>
  <si>
    <t>SỬ −1</t>
  </si>
  <si>
    <t>VĂN +1</t>
  </si>
  <si>
    <t>10A15</t>
  </si>
  <si>
    <t>SỬ +1</t>
  </si>
  <si>
    <t>10A17</t>
  </si>
  <si>
    <t>SINH −1</t>
  </si>
  <si>
    <t>10A18</t>
  </si>
  <si>
    <t>TOÁN −1</t>
  </si>
  <si>
    <t>ĐỊA +1</t>
  </si>
  <si>
    <t>10A19</t>
  </si>
  <si>
    <t>TOÁN −2</t>
  </si>
  <si>
    <t>QPAN +1; ĐỊA +1</t>
  </si>
  <si>
    <t>10A20</t>
  </si>
  <si>
    <t>10A21</t>
  </si>
  <si>
    <t>QPAN −1; TOÁN −1</t>
  </si>
  <si>
    <t>SỬ +1; ĐỊA +1</t>
  </si>
  <si>
    <t>11A1</t>
  </si>
  <si>
    <t>11A3</t>
  </si>
  <si>
    <t>11A4</t>
  </si>
  <si>
    <t>ANH +1</t>
  </si>
  <si>
    <t>11A5</t>
  </si>
  <si>
    <t>11A11</t>
  </si>
  <si>
    <t>ANH −1; KTPL −1</t>
  </si>
  <si>
    <t>TOÁN +2</t>
  </si>
  <si>
    <t>11A13</t>
  </si>
  <si>
    <t>12A1</t>
  </si>
  <si>
    <t>HÓA +1</t>
  </si>
  <si>
    <t>12A3</t>
  </si>
  <si>
    <t>CN −1; TOÁN −1</t>
  </si>
  <si>
    <t>GDĐP +1; VĂN +1</t>
  </si>
  <si>
    <t>12A4</t>
  </si>
  <si>
    <t>TIN −2; KTPL −1</t>
  </si>
  <si>
    <t>HÓA +1; VĂN +2</t>
  </si>
  <si>
    <t>12A5</t>
  </si>
  <si>
    <t>12A6</t>
  </si>
  <si>
    <t>12A8</t>
  </si>
  <si>
    <t>KTPL +1</t>
  </si>
  <si>
    <t>12A13</t>
  </si>
  <si>
    <t>12A15</t>
  </si>
  <si>
    <t>SỬ −1; VĂN −1</t>
  </si>
  <si>
    <t>CN +1; TOÁN +1</t>
  </si>
  <si>
    <t>Môn (gồm CĐ)</t>
  </si>
  <si>
    <t>THONGKETIET</t>
  </si>
  <si>
    <t>TKB mới</t>
  </si>
  <si>
    <t>Chênh lệch</t>
  </si>
  <si>
    <t>ANH</t>
  </si>
  <si>
    <t>TOÁN</t>
  </si>
  <si>
    <t>SINH</t>
  </si>
  <si>
    <t>LÝ</t>
  </si>
  <si>
    <t>KTPL</t>
  </si>
  <si>
    <t>HĐTN</t>
  </si>
  <si>
    <t>VĂN</t>
  </si>
  <si>
    <t>SỬ</t>
  </si>
  <si>
    <t>QPAN</t>
  </si>
  <si>
    <t>ĐỊA</t>
  </si>
  <si>
    <t>HÓA</t>
  </si>
  <si>
    <t>CN</t>
  </si>
  <si>
    <t>GDĐP</t>
  </si>
  <si>
    <t>TIN</t>
  </si>
  <si>
    <t>Môn</t>
  </si>
  <si>
    <t>CĐ HÓA</t>
  </si>
  <si>
    <t>CĐ LÝ</t>
  </si>
  <si>
    <t>CĐ SINH</t>
  </si>
  <si>
    <t>CĐ SỬ</t>
  </si>
  <si>
    <t>CĐ TOÁN</t>
  </si>
  <si>
    <t>CĐ VĂN</t>
  </si>
  <si>
    <t>CĐ ĐỊA</t>
  </si>
  <si>
    <t>10A10</t>
  </si>
  <si>
    <t>10A11</t>
  </si>
  <si>
    <t>10A16</t>
  </si>
  <si>
    <t>10A3</t>
  </si>
  <si>
    <t>10A7</t>
  </si>
  <si>
    <t>10A8</t>
  </si>
  <si>
    <t>10A9</t>
  </si>
  <si>
    <t>11A10</t>
  </si>
  <si>
    <t>11A12</t>
  </si>
  <si>
    <t>11A14</t>
  </si>
  <si>
    <t>11A2</t>
  </si>
  <si>
    <t>11A6</t>
  </si>
  <si>
    <t>11A7</t>
  </si>
  <si>
    <t>11A8</t>
  </si>
  <si>
    <t>11A9</t>
  </si>
  <si>
    <t>12A10</t>
  </si>
  <si>
    <t>12A11</t>
  </si>
  <si>
    <t>12A12</t>
  </si>
  <si>
    <t>12A14</t>
  </si>
  <si>
    <t>12A2</t>
  </si>
  <si>
    <t>12A7</t>
  </si>
  <si>
    <t>CĐ KTPL</t>
  </si>
  <si>
    <t>12A9</t>
  </si>
  <si>
    <t>TỔNG</t>
  </si>
  <si>
    <t>QUÁCH THỊ THỦY</t>
  </si>
  <si>
    <t>PHẠM THỊ PHƯƠNG ĐIỀN</t>
  </si>
  <si>
    <t>HOÀNG THỊ HẢI YẾN</t>
  </si>
  <si>
    <t>NGUYỄN THỊ THUỲ DƯƠNG</t>
  </si>
  <si>
    <t>ĐOÀN THỊ KIM HẠNH</t>
  </si>
  <si>
    <t>NGUYỄN THỊ TUYẾT NHUNG</t>
  </si>
  <si>
    <t>TRẦN THỊ MỸ THANH</t>
  </si>
  <si>
    <t>LÊ THỊ TƯỜNG VY</t>
  </si>
  <si>
    <t>LƯU THỊ ANH THƯ</t>
  </si>
  <si>
    <t>NGUYỄN HỮU BẮC</t>
  </si>
  <si>
    <t>NGUYỄN THỊ THU BA</t>
  </si>
  <si>
    <t>HỒ VĂN BÌNH</t>
  </si>
  <si>
    <t>TRƯƠNG THÚC QUẢNG</t>
  </si>
  <si>
    <t>TRẦN PHƯƠNG NHƯ</t>
  </si>
  <si>
    <t>TRƯƠNG NGỌC ANH LUÂN</t>
  </si>
  <si>
    <t>TRẦN THỊ HẰNG</t>
  </si>
  <si>
    <t>ĐỖ ỨC TUỆ</t>
  </si>
  <si>
    <t>TRẦN ĐẠI NGHĨA</t>
  </si>
  <si>
    <t>NGUYỄN HỒNG GIANG</t>
  </si>
  <si>
    <t>VŨ THANH VÂN</t>
  </si>
  <si>
    <t>TRẦN THỊ HẠNH</t>
  </si>
  <si>
    <t>NGUYỄN THỊ NGỌC MINH</t>
  </si>
  <si>
    <t>KIM VĨNH ANH KHOA</t>
  </si>
  <si>
    <t>NGUYỄN VĂN TRỌNG</t>
  </si>
  <si>
    <t>NGUYỄN DUY HƯNG</t>
  </si>
  <si>
    <t>NGUYỄN THỊ DIẾN</t>
  </si>
  <si>
    <t>MÃ THỊ MINH THI</t>
  </si>
  <si>
    <t>NGUYỄN THỊ NGÂN</t>
  </si>
  <si>
    <t>NGUYỄN PHƯỚC KHÔI</t>
  </si>
  <si>
    <t>HUỲNH THỊ DIỄM LINH</t>
  </si>
  <si>
    <t>LÊ THỊ TUYẾT THU</t>
  </si>
  <si>
    <t>PHẠM LÊ THÙY DUNG</t>
  </si>
  <si>
    <t>NGUYỄN VĂN TÂM</t>
  </si>
  <si>
    <t>NGUYỄN BẢO TRANG</t>
  </si>
  <si>
    <t>NGUYỄN VIỆT PHƯƠNG</t>
  </si>
  <si>
    <t>TRẦN HỒNG UYÊN</t>
  </si>
  <si>
    <t>PHAN QUANG ÁNH</t>
  </si>
  <si>
    <t>VĂN HUỲNH BẢO PHƯƠNG</t>
  </si>
  <si>
    <t>NGUYỄN THỊ XUÂN HƯƠNG</t>
  </si>
  <si>
    <t>TRƯƠNG THU TRANG</t>
  </si>
  <si>
    <t>LƯU BÍCH HOÀI THÊM</t>
  </si>
  <si>
    <t>HỒ PHƯƠNG THẢO</t>
  </si>
  <si>
    <t>MAI LAN ANH</t>
  </si>
  <si>
    <t>NGUYỄN TRẦN MAI THANH</t>
  </si>
  <si>
    <t>NGUYỄN XUÂN THU</t>
  </si>
  <si>
    <t>LÂM GIA HÂN</t>
  </si>
  <si>
    <t>TRẦN THỊ LAM HỒNG</t>
  </si>
  <si>
    <t>NGUYỄN MINH THANH TÙNG</t>
  </si>
  <si>
    <t>TRẦN THỊ KHUYÊN</t>
  </si>
  <si>
    <t>NGUYỄN THỊ QUỲNH DIỄM</t>
  </si>
  <si>
    <t>NHÓM: ÔN TN</t>
  </si>
  <si>
    <t>NHÓM: AVBN</t>
  </si>
  <si>
    <t>NHÓM: STEM</t>
  </si>
  <si>
    <t>NHÓM: THQT</t>
  </si>
  <si>
    <t>NHÓM: GDTC</t>
  </si>
  <si>
    <t>GVCN</t>
  </si>
  <si>
    <t>Bảng giá trị cố định (không còn công thức), lấy từ sheet 03_TKB_LOP. HĐTN = Chào cờ/HĐTN + HĐTN + HĐTN online. Cột NHÓM: đếm theo từng hoạt động. Ô "-" = không có môn.</t>
  </si>
  <si>
    <t>THỐNG KÊ SỐ TIẾT THEO MÔN – TỪNG LỚP</t>
  </si>
  <si>
    <t>THỐNG KÊ CÁC LỚP CÓ CHỦ ĐỀ (CĐ) THEO MÔN</t>
  </si>
  <si>
    <t>Số liệu liên kết trực tiếp từ sheet 12_THONG_KE_TIET (cột CĐ TOÁN → CĐ ĐỊA). Số tiết &gt; 0 = lớp có học chuyên đề môn đó.</t>
  </si>
  <si>
    <t>Môn CĐ</t>
  </si>
  <si>
    <t>Số lớp</t>
  </si>
  <si>
    <t>Tổng số tiết</t>
  </si>
  <si>
    <t>Tỉ lệ lớp có CĐ</t>
  </si>
  <si>
    <t>Danh sách lớp</t>
  </si>
  <si>
    <t>Chi tiết số tiết CĐ theo lớp</t>
  </si>
  <si>
    <t>Số CĐ</t>
  </si>
  <si>
    <t>Tổng tiết CĐ</t>
  </si>
  <si>
    <t>TỔNG LỚP CÓ CĐ</t>
  </si>
  <si>
    <t>KHỐI 12</t>
  </si>
  <si>
    <t>KHỐI 11</t>
  </si>
  <si>
    <t>KHỐI 10</t>
  </si>
  <si>
    <t>THỨ</t>
  </si>
  <si>
    <t>TIẾT</t>
  </si>
  <si>
    <t>HAI</t>
  </si>
  <si>
    <t>SH</t>
  </si>
  <si>
    <t>BA</t>
  </si>
  <si>
    <t>THÖÙ</t>
  </si>
  <si>
    <t>TƯ</t>
  </si>
  <si>
    <t>TÖ</t>
  </si>
  <si>
    <t>NĂM</t>
  </si>
  <si>
    <t>NAÊM</t>
  </si>
  <si>
    <t>SÁU</t>
  </si>
  <si>
    <t>SAÙU</t>
  </si>
  <si>
    <t>BẢY</t>
  </si>
  <si>
    <t>BAÛY</t>
  </si>
  <si>
    <t>THỜI KHÓA BIỂU BUỔI SÁNG ÁP DỤNG TỪ   12-10-2026</t>
  </si>
  <si>
    <t>11A15</t>
  </si>
  <si>
    <t>11A16</t>
  </si>
  <si>
    <t>11A17</t>
  </si>
  <si>
    <t>TNHN</t>
  </si>
  <si>
    <t>V.PHƯƠNG</t>
  </si>
  <si>
    <t>B. TRANG</t>
  </si>
  <si>
    <t>TÂM</t>
  </si>
  <si>
    <t>DUNG</t>
  </si>
  <si>
    <t>THU (KTPL)</t>
  </si>
  <si>
    <t>D.LINH (T)</t>
  </si>
  <si>
    <t/>
  </si>
  <si>
    <t>LUÂN</t>
  </si>
  <si>
    <t>NHƯ</t>
  </si>
  <si>
    <t>THUỶ</t>
  </si>
  <si>
    <t>BẮC</t>
  </si>
  <si>
    <t>Vy</t>
  </si>
  <si>
    <t>Tùng</t>
  </si>
  <si>
    <t>THƯ (V)</t>
  </si>
  <si>
    <t>QUANG (L)</t>
  </si>
  <si>
    <t>THU BA</t>
  </si>
  <si>
    <t>YẾN</t>
  </si>
  <si>
    <t>QUẢNG(T)</t>
  </si>
  <si>
    <t>NGÂN</t>
  </si>
  <si>
    <t>HÙNG (AV)</t>
  </si>
  <si>
    <t>MINH (H)</t>
  </si>
  <si>
    <t>HẰNG (KTPL)</t>
  </si>
  <si>
    <t>M.THI</t>
  </si>
  <si>
    <t>L.Anh</t>
  </si>
  <si>
    <t>TRỌNG</t>
  </si>
  <si>
    <t>THANH (H)</t>
  </si>
  <si>
    <t>ĐIỀN</t>
  </si>
  <si>
    <t>Bao Phuong</t>
  </si>
  <si>
    <t>THẢO (QP)</t>
  </si>
  <si>
    <t>M. THANH</t>
  </si>
  <si>
    <t>TUỆ</t>
  </si>
  <si>
    <t>DIỄM</t>
  </si>
  <si>
    <t>UYÊN</t>
  </si>
  <si>
    <t>T.GIANG</t>
  </si>
  <si>
    <t>L.HỒNG</t>
  </si>
  <si>
    <t>H.GIANG</t>
  </si>
  <si>
    <t>Nguyện</t>
  </si>
  <si>
    <t>HẠNH (L)</t>
  </si>
  <si>
    <t>TRANG</t>
  </si>
  <si>
    <t>THÊM</t>
  </si>
  <si>
    <t>MY</t>
  </si>
  <si>
    <t>CHẤT</t>
  </si>
  <si>
    <t>HƯƠNG (L)</t>
  </si>
  <si>
    <t>HẠNH (T)</t>
  </si>
  <si>
    <t>ÁNH</t>
  </si>
  <si>
    <t>KHUYÊN</t>
  </si>
  <si>
    <t>BÌNH</t>
  </si>
  <si>
    <t>NGHĨA</t>
  </si>
  <si>
    <t>HÂN</t>
  </si>
  <si>
    <t>THU (AV)</t>
  </si>
  <si>
    <t>HƯNG</t>
  </si>
  <si>
    <t>B.Trang</t>
  </si>
  <si>
    <t>KHOA (TIN)</t>
  </si>
  <si>
    <t>DƯƠNG</t>
  </si>
  <si>
    <t>DIẾN</t>
  </si>
  <si>
    <t>KHÔI</t>
  </si>
  <si>
    <t>HUYỀN</t>
  </si>
  <si>
    <t>Duy</t>
  </si>
  <si>
    <t>VÂN (L)</t>
  </si>
  <si>
    <t>VĨNH</t>
  </si>
  <si>
    <t>HOÀNG</t>
  </si>
  <si>
    <t>TỨ</t>
  </si>
  <si>
    <t>B.PHƯƠNG</t>
  </si>
  <si>
    <t>HẢI ( SỬ)</t>
  </si>
  <si>
    <t>LÀI</t>
  </si>
  <si>
    <t>THẮM</t>
  </si>
  <si>
    <t>SƯƠNG</t>
  </si>
  <si>
    <t>THẢO (CN)</t>
  </si>
  <si>
    <t>HƯỜNG</t>
  </si>
  <si>
    <t>CƯỜNG (TH)</t>
  </si>
  <si>
    <t>TIÊN</t>
  </si>
  <si>
    <t>TRAN</t>
  </si>
  <si>
    <t>THƯƠNG</t>
  </si>
  <si>
    <t>ĐÀO</t>
  </si>
  <si>
    <t>Phú</t>
  </si>
  <si>
    <t>DIỆM (DP)</t>
  </si>
  <si>
    <t>Linh (TV)(HN)</t>
  </si>
  <si>
    <t>DŨNG</t>
  </si>
  <si>
    <t>Linh (TV)</t>
  </si>
  <si>
    <t>THẢO</t>
  </si>
  <si>
    <t>HÙNG (TH)</t>
  </si>
  <si>
    <t>NHUNG</t>
  </si>
  <si>
    <t>THÀNH (Đ)</t>
  </si>
  <si>
    <t>TUAN (TD)</t>
  </si>
  <si>
    <t>HẢI (TD)</t>
  </si>
  <si>
    <t>CƯỜNG (TD)</t>
  </si>
  <si>
    <t>KHANG</t>
  </si>
  <si>
    <t>HẬU</t>
  </si>
  <si>
    <t>THƠ</t>
  </si>
  <si>
    <t>DIỆM (HN)</t>
  </si>
  <si>
    <t>HIỆP(TD)</t>
  </si>
  <si>
    <t>TRÍ</t>
  </si>
  <si>
    <t>H.THANH</t>
  </si>
  <si>
    <t>PHÚC(TH)</t>
  </si>
  <si>
    <t>B109</t>
  </si>
  <si>
    <t>A103</t>
  </si>
  <si>
    <t>THỜI KHÓA BIỂU ÁP DỤNG BUỔI CHIỀU TỪ  12-10-2026</t>
  </si>
  <si>
    <t>10A22</t>
  </si>
  <si>
    <t>12A16</t>
  </si>
  <si>
    <t>12A17</t>
  </si>
  <si>
    <t>ĐỊA 1</t>
  </si>
  <si>
    <t>KT_THI</t>
  </si>
  <si>
    <t>AVBN</t>
  </si>
  <si>
    <t>HÙNG (QT)</t>
  </si>
  <si>
    <t>PHÚC (QT)</t>
  </si>
  <si>
    <t>XUÂN (QT)</t>
  </si>
  <si>
    <t>KHOA</t>
  </si>
  <si>
    <t>KHOA (THQT)</t>
  </si>
  <si>
    <t>TRÂN</t>
  </si>
  <si>
    <t>CƯỜNG (QT)</t>
  </si>
  <si>
    <t>SÁNG</t>
  </si>
  <si>
    <t>CHIỀU</t>
  </si>
  <si>
    <t>NHÓM THQT</t>
  </si>
  <si>
    <t>THQT</t>
  </si>
  <si>
    <t>Nhóm</t>
  </si>
  <si>
    <t>Lớp ghép</t>
  </si>
  <si>
    <t>sĩ số</t>
  </si>
  <si>
    <t>Mã nhóm</t>
  </si>
  <si>
    <t>GV</t>
  </si>
  <si>
    <t>CT10-THQT-01</t>
  </si>
  <si>
    <t>CT10-THQT-02</t>
  </si>
  <si>
    <t>CT10-THQT-03</t>
  </si>
  <si>
    <t>CT10-THQT-04</t>
  </si>
  <si>
    <t>CT10-THQT-05</t>
  </si>
  <si>
    <t>CT10-THQT-06</t>
  </si>
  <si>
    <t>CT10-THQT-07</t>
  </si>
  <si>
    <t>CT10-THQT-08</t>
  </si>
  <si>
    <t>CT10-THQT-09</t>
  </si>
  <si>
    <t>CT10-THQT-10</t>
  </si>
  <si>
    <t>CT10-THQT-11</t>
  </si>
  <si>
    <t>CT11-THQT-01</t>
  </si>
  <si>
    <t>CT11-THQT-02</t>
  </si>
  <si>
    <t>CT11-THQT-03</t>
  </si>
  <si>
    <t>CT11-THQT-04</t>
  </si>
  <si>
    <t>CT11-THQT-05</t>
  </si>
  <si>
    <t>CT12-THQT-01</t>
  </si>
  <si>
    <t>CT12-THQT-02</t>
  </si>
  <si>
    <t>CT12-THQT-03</t>
  </si>
  <si>
    <t>CT12-THQT-04</t>
  </si>
  <si>
    <t>CT12-THQT-05</t>
  </si>
  <si>
    <t>CT12-THQT-06</t>
  </si>
  <si>
    <t>Sĩ số</t>
  </si>
  <si>
    <t>CT10-AVBN-01</t>
  </si>
  <si>
    <t>10A7 (27) + 10A19 (21)</t>
  </si>
  <si>
    <t>Du Piesanie Nadia</t>
  </si>
  <si>
    <t>CT10-AVBN-02</t>
  </si>
  <si>
    <t>10A17 (33) + 10A5 (10)</t>
  </si>
  <si>
    <t>CT10-AVBN-03</t>
  </si>
  <si>
    <t>CT10-AVBN-04</t>
  </si>
  <si>
    <t>10A10 (27) + 10A20 (20)</t>
  </si>
  <si>
    <t>CT10-AVBN-05</t>
  </si>
  <si>
    <t>10A18 (16) + 10A14 (31)</t>
  </si>
  <si>
    <t>CT10-AVBN-06</t>
  </si>
  <si>
    <r>
      <t xml:space="preserve">10A9 (33) + </t>
    </r>
    <r>
      <rPr>
        <b/>
        <sz val="8.75"/>
        <color rgb="FF0D0D0D"/>
        <rFont val="Segoe UI"/>
        <family val="2"/>
      </rPr>
      <t xml:space="preserve">10A11 </t>
    </r>
    <r>
      <rPr>
        <sz val="8.75"/>
        <color rgb="FF0D0D0D"/>
        <rFont val="Segoe UI"/>
        <family val="2"/>
      </rPr>
      <t>(14)</t>
    </r>
  </si>
  <si>
    <t>CT10-AVBN-07</t>
  </si>
  <si>
    <t>10A2 (27) + 10A6 (21)</t>
  </si>
  <si>
    <t>CT10-AVBN-08</t>
  </si>
  <si>
    <t>CT10-AVBN-09</t>
  </si>
  <si>
    <r>
      <rPr>
        <b/>
        <sz val="8.75"/>
        <color rgb="FF0D0D0D"/>
        <rFont val="Segoe UI"/>
        <family val="2"/>
      </rPr>
      <t xml:space="preserve">10A11 </t>
    </r>
    <r>
      <rPr>
        <sz val="8.75"/>
        <color rgb="FF0D0D0D"/>
        <rFont val="Segoe UI"/>
        <family val="2"/>
      </rPr>
      <t>(12) + 10A15 (33)</t>
    </r>
  </si>
  <si>
    <t>Van Graan Rochelle</t>
  </si>
  <si>
    <t>CT10-AVBN-10</t>
  </si>
  <si>
    <t>10A13 (23) + 10A12 (21)</t>
  </si>
  <si>
    <t>CT10-AVBN-11</t>
  </si>
  <si>
    <t>10A8 (37)+10A5(8)</t>
  </si>
  <si>
    <t>CT10-AVBN-12</t>
  </si>
  <si>
    <t>10A1 (35) + 10A16 (12)</t>
  </si>
  <si>
    <t>CT11-AVBN-01</t>
  </si>
  <si>
    <t>11A2 + 11A1</t>
  </si>
  <si>
    <t>Rayas Lilliana Isabel</t>
  </si>
  <si>
    <t>CT11-AVBN-02</t>
  </si>
  <si>
    <t>11A7 + 11A5</t>
  </si>
  <si>
    <t>CT11-AVBN-03</t>
  </si>
  <si>
    <t>11A6 + 11A3 + 11A10</t>
  </si>
  <si>
    <t>CT11-AVBN-04</t>
  </si>
  <si>
    <t>11A11 + 11A12 + 11A13</t>
  </si>
  <si>
    <t>CT11-AVBN-05</t>
  </si>
  <si>
    <t>11A9 + 11A14 + 11A4 + 11A8</t>
  </si>
  <si>
    <t>STEM</t>
  </si>
  <si>
    <t xml:space="preserve">GV </t>
  </si>
  <si>
    <t>10A4 (29) + 10A15 (12)</t>
  </si>
  <si>
    <t>CT10-STEM-01</t>
  </si>
  <si>
    <t>Nguyễn Lê Diệu Tuyến</t>
  </si>
  <si>
    <t>10A14 (24) + 10A3 (11) + 10A8 (6)</t>
  </si>
  <si>
    <t>CT10-STEM-02</t>
  </si>
  <si>
    <t>10A1 (21) + 10A9 (14) + 10A19 (6)</t>
  </si>
  <si>
    <t>CT10-STEM-03</t>
  </si>
  <si>
    <t>Lê Thiên Tân</t>
  </si>
  <si>
    <t>10A2 (15) + 10A10 (13) + 10A13 (8) + 10A16 (5)</t>
  </si>
  <si>
    <t>CT10-STEM-04</t>
  </si>
  <si>
    <t>10A20 (13) + 10A11 (12) + 10A12 (9) + 10A7 (7)</t>
  </si>
  <si>
    <t>CT10-STEM-05</t>
  </si>
  <si>
    <t>10A6 (11) + 10A17 (9) + 10A21 (9) + 10A5 (8) + 10A18 (5)</t>
  </si>
  <si>
    <t>CT10-STEM-06</t>
  </si>
  <si>
    <t xml:space="preserve"> 11A12 (18) + 11A2 (17) + 11A8 (13)</t>
  </si>
  <si>
    <t>11A1 (8) + 11A14 (8) + 11A11 (6) + 11A9 (5) + 11A13 (5) + 11A3 (3) + 11A6 (3) + 11A7 (3) + 11A10 (3) + 11A5 (2)</t>
  </si>
  <si>
    <t>MÃ MỚI</t>
  </si>
  <si>
    <t>TÊN (Có dấu)</t>
  </si>
  <si>
    <t>TEN (Không dấu)</t>
  </si>
  <si>
    <t>TÊN TẮT</t>
  </si>
  <si>
    <t>TEN SORT</t>
  </si>
  <si>
    <t>MÔN DẠY</t>
  </si>
  <si>
    <t>A1</t>
  </si>
  <si>
    <t>Đoàn Văn Chất</t>
  </si>
  <si>
    <t>Doan Van Chat</t>
  </si>
  <si>
    <t>CHAT</t>
  </si>
  <si>
    <t>A10</t>
  </si>
  <si>
    <r>
      <t>Văn Hu</t>
    </r>
    <r>
      <rPr>
        <sz val="11"/>
        <color indexed="62"/>
        <rFont val="ＭＳ Ｐ明朝"/>
        <family val="1"/>
        <charset val="128"/>
      </rPr>
      <t>ỳ</t>
    </r>
    <r>
      <rPr>
        <sz val="11"/>
        <color indexed="62"/>
        <rFont val="Times New Roman"/>
        <family val="1"/>
      </rPr>
      <t>nh Bảo Phương</t>
    </r>
  </si>
  <si>
    <t>A11</t>
  </si>
  <si>
    <t>Phạm Thị Phương Điền</t>
  </si>
  <si>
    <t>Pham Thi Phuong Dien</t>
  </si>
  <si>
    <t>DIEN</t>
  </si>
  <si>
    <t>A2</t>
  </si>
  <si>
    <t>Nguyễn Thị Thùy Dương</t>
  </si>
  <si>
    <t>Nguyen Thi Thuy Duong</t>
  </si>
  <si>
    <t>DUONG</t>
  </si>
  <si>
    <t>A3</t>
  </si>
  <si>
    <t>Nguyễn Văn Hùng</t>
  </si>
  <si>
    <t>Nguyen Van Hung</t>
  </si>
  <si>
    <t>HUNG.A</t>
  </si>
  <si>
    <t>A4</t>
    <phoneticPr fontId="0" type="noConversion"/>
  </si>
  <si>
    <t>Nguyễn Thị Tường Vy</t>
    <phoneticPr fontId="0" type="noConversion"/>
  </si>
  <si>
    <t>Vy</t>
    <phoneticPr fontId="0" type="noConversion"/>
  </si>
  <si>
    <t>A5</t>
    <phoneticPr fontId="0" type="noConversion"/>
  </si>
  <si>
    <t>Nguyễn Minh Thanh Tùng</t>
    <phoneticPr fontId="0" type="noConversion"/>
  </si>
  <si>
    <t>Tùng</t>
    <phoneticPr fontId="0" type="noConversion"/>
  </si>
  <si>
    <t>A6</t>
  </si>
  <si>
    <t>Mai Lan Anh</t>
    <phoneticPr fontId="0" type="noConversion"/>
  </si>
  <si>
    <t>L.ANH</t>
  </si>
  <si>
    <t>A7</t>
  </si>
  <si>
    <t>Trần Thị Mỹ Thanh</t>
  </si>
  <si>
    <t>Tran Thi My Thanh</t>
  </si>
  <si>
    <t>A8</t>
  </si>
  <si>
    <t>Nguyễn Xuân Thu</t>
  </si>
  <si>
    <t>Nguyen Xuan Thu</t>
  </si>
  <si>
    <t>AV1</t>
  </si>
  <si>
    <t>VAN</t>
  </si>
  <si>
    <t>AV2</t>
  </si>
  <si>
    <t>Du</t>
  </si>
  <si>
    <t>AV3</t>
  </si>
  <si>
    <t>Rayas</t>
  </si>
  <si>
    <t>AV4</t>
  </si>
  <si>
    <t>Tiếng Anh 4</t>
  </si>
  <si>
    <t>C2</t>
  </si>
  <si>
    <t>Trần Như Thảo</t>
  </si>
  <si>
    <t>Tran Nhu Thao</t>
  </si>
  <si>
    <t>THAO (CN)</t>
  </si>
  <si>
    <t>C. NGHỆ</t>
  </si>
  <si>
    <t>C3</t>
  </si>
  <si>
    <t>Nguyễn Thị Tuyết Nhung</t>
  </si>
  <si>
    <t>C4</t>
  </si>
  <si>
    <t>Vũ Đình Hoài Thanh</t>
  </si>
  <si>
    <t>Vu Dinh Hoai Thanh</t>
  </si>
  <si>
    <t>D2</t>
  </si>
  <si>
    <t>Phạm Thị Thu Hường</t>
  </si>
  <si>
    <t>HƯƠNG</t>
  </si>
  <si>
    <t>D3</t>
  </si>
  <si>
    <t>Bùi Thị Thủy Tiên</t>
  </si>
  <si>
    <t>Bui Thi Thuy Tien</t>
  </si>
  <si>
    <t>TIEN</t>
  </si>
  <si>
    <t>D4</t>
  </si>
  <si>
    <t>Đào Thị  Thành</t>
  </si>
  <si>
    <t>Dao Thi Thanh</t>
  </si>
  <si>
    <t>THANH (Đ)</t>
  </si>
  <si>
    <t>D5</t>
  </si>
  <si>
    <t xml:space="preserve">Huỳnh Thị Bích Huyền </t>
  </si>
  <si>
    <t>Huynh Thi Bich Huyen</t>
  </si>
  <si>
    <t>HUYEN</t>
  </si>
  <si>
    <t>D3GD</t>
  </si>
  <si>
    <t>GDĐP</t>
    <phoneticPr fontId="0" type="noConversion"/>
  </si>
  <si>
    <t>E1GD</t>
  </si>
  <si>
    <t>E2GD</t>
  </si>
  <si>
    <t>Trần Thị Mỹ Sương</t>
  </si>
  <si>
    <t>Tran Thi My Suong</t>
  </si>
  <si>
    <t>SƯƠNG</t>
    <phoneticPr fontId="0" type="noConversion"/>
  </si>
  <si>
    <t>SUONG (GD)</t>
  </si>
  <si>
    <t>E3GD</t>
  </si>
  <si>
    <t>Mã Thị Minh Thi</t>
  </si>
  <si>
    <t>THI</t>
  </si>
  <si>
    <t>E6GD</t>
  </si>
  <si>
    <t xml:space="preserve">Trần Thị Khuyên </t>
  </si>
  <si>
    <t>Tran Thi Khuyen</t>
  </si>
  <si>
    <t>E7GD</t>
  </si>
  <si>
    <t>E8GD</t>
  </si>
  <si>
    <t>Nguyễn Bảo Trang</t>
  </si>
  <si>
    <t>Nguyen Bao Trang</t>
  </si>
  <si>
    <t>Trang (Si)</t>
  </si>
  <si>
    <t>GD10</t>
  </si>
  <si>
    <t>Nguyễn Thụy Diễm Linh</t>
    <phoneticPr fontId="0" type="noConversion"/>
  </si>
  <si>
    <t>Nguyen Thuy Diem Linh</t>
    <phoneticPr fontId="0" type="noConversion"/>
  </si>
  <si>
    <t>Linh (TV)</t>
    <phoneticPr fontId="0" type="noConversion"/>
  </si>
  <si>
    <t>L10GD</t>
  </si>
  <si>
    <t>VÂN</t>
  </si>
  <si>
    <t>L12GD</t>
  </si>
  <si>
    <t>Nguyễn Tường Thịnh</t>
  </si>
  <si>
    <t>Nguyen Tuong Thinh</t>
  </si>
  <si>
    <t>THINH</t>
  </si>
  <si>
    <t>L1GD</t>
  </si>
  <si>
    <t>Trần Hồng Uyên</t>
  </si>
  <si>
    <t>UYEN</t>
  </si>
  <si>
    <t>L3GD</t>
  </si>
  <si>
    <t>Nguyễn Thị Xuân Hương</t>
  </si>
  <si>
    <t>Nguyen Thi Xuan Huong</t>
  </si>
  <si>
    <t>HUONG</t>
  </si>
  <si>
    <t>L5GD</t>
  </si>
  <si>
    <t>Cao Đình Trung Hậu</t>
  </si>
  <si>
    <t>HẬU (GD)</t>
    <phoneticPr fontId="0" type="noConversion"/>
  </si>
  <si>
    <t>L7GD</t>
  </si>
  <si>
    <t>HẠNH</t>
  </si>
  <si>
    <t>M1GD</t>
  </si>
  <si>
    <t>Tưởng Đông Diệm</t>
  </si>
  <si>
    <t>Tuong Dong Diem</t>
  </si>
  <si>
    <t>DIỆM (GD)</t>
  </si>
  <si>
    <t>S2GD</t>
  </si>
  <si>
    <t>Ngô Thúy Duy</t>
  </si>
  <si>
    <t>Ngô Thuy Duy</t>
  </si>
  <si>
    <t>Duy</t>
    <phoneticPr fontId="0" type="noConversion"/>
  </si>
  <si>
    <t>Duy (GD)</t>
    <phoneticPr fontId="0" type="noConversion"/>
  </si>
  <si>
    <t>S3GD</t>
  </si>
  <si>
    <t xml:space="preserve">Lê Thị Nhật Thảo </t>
  </si>
  <si>
    <t>Le Thi Nhat Thao</t>
  </si>
  <si>
    <t>THẢO</t>
    <phoneticPr fontId="0" type="noConversion"/>
  </si>
  <si>
    <t>THAO</t>
  </si>
  <si>
    <t>S7GD</t>
  </si>
  <si>
    <t>Nguyễn Phước Khôi</t>
    <phoneticPr fontId="0" type="noConversion"/>
  </si>
  <si>
    <t>KHÔI</t>
    <phoneticPr fontId="0" type="noConversion"/>
  </si>
  <si>
    <t>KHÔI (GD)</t>
    <phoneticPr fontId="0" type="noConversion"/>
  </si>
  <si>
    <t>T5GD</t>
  </si>
  <si>
    <t>Nguyễn Việt Phương</t>
  </si>
  <si>
    <t>V.PHƯƠNG</t>
    <phoneticPr fontId="0" type="noConversion"/>
  </si>
  <si>
    <t>Phuong</t>
  </si>
  <si>
    <t>V11GD</t>
  </si>
  <si>
    <t>Nguyễn Đình Khoa</t>
  </si>
  <si>
    <t>Nguyen Dinh Khoa</t>
  </si>
  <si>
    <t>V12GD</t>
  </si>
  <si>
    <t>Lê Thị Phượng</t>
  </si>
  <si>
    <t>PHƯỢNG</t>
  </si>
  <si>
    <t>PHƯỢNG</t>
    <phoneticPr fontId="0" type="noConversion"/>
  </si>
  <si>
    <t>PHUONG</t>
  </si>
  <si>
    <t>Q1</t>
  </si>
  <si>
    <t>Hoàng Thị Tứ</t>
  </si>
  <si>
    <t>Hoang Thi Tu</t>
  </si>
  <si>
    <t>TU</t>
  </si>
  <si>
    <t>GDQP</t>
  </si>
  <si>
    <t>Q1GD</t>
  </si>
  <si>
    <t>Q2</t>
  </si>
  <si>
    <t>Hồ Văn Vĩnh</t>
  </si>
  <si>
    <t>Ho Van Vinh</t>
  </si>
  <si>
    <t>VINH</t>
  </si>
  <si>
    <t>Q3</t>
  </si>
  <si>
    <t>Hồ Phương Thảo</t>
    <phoneticPr fontId="0" type="noConversion"/>
  </si>
  <si>
    <t>THẢO (QP)</t>
    <phoneticPr fontId="0" type="noConversion"/>
  </si>
  <si>
    <t>Q3GD</t>
  </si>
  <si>
    <t>H1</t>
  </si>
  <si>
    <t>Lâm Gia Hân</t>
  </si>
  <si>
    <t>HAN</t>
  </si>
  <si>
    <t>H2</t>
  </si>
  <si>
    <t>Nguyễn Trần Mai Thanh</t>
  </si>
  <si>
    <t>Nguyen Tran Mai Thanh</t>
  </si>
  <si>
    <t>THANH(H)</t>
  </si>
  <si>
    <t>H4</t>
  </si>
  <si>
    <t>Nguyễn Quốc Dũng</t>
  </si>
  <si>
    <t>Nguyen Quoc Dung</t>
  </si>
  <si>
    <t>H5</t>
  </si>
  <si>
    <t>Nguyễn Văn Trọng</t>
  </si>
  <si>
    <t>Nguyen Van Trong</t>
  </si>
  <si>
    <t>TRONG</t>
  </si>
  <si>
    <t>H6</t>
  </si>
  <si>
    <t>Nguyễn Thị Ngọc Minh</t>
  </si>
  <si>
    <t>Nguyen Thi Ngoc Minh</t>
  </si>
  <si>
    <t>MINH (H)</t>
    <phoneticPr fontId="0" type="noConversion"/>
  </si>
  <si>
    <t>MINH</t>
  </si>
  <si>
    <t>H7</t>
  </si>
  <si>
    <t>Truương Ngọc Anh Luân</t>
  </si>
  <si>
    <t>Truong Ngoc Anh Luân</t>
  </si>
  <si>
    <t>LUAN</t>
  </si>
  <si>
    <t>H9</t>
  </si>
  <si>
    <t>Nguyễn Thị Diến</t>
  </si>
  <si>
    <t>Nguyen Thi Dien</t>
  </si>
  <si>
    <t>G2</t>
  </si>
  <si>
    <t>Trần Thị Xuân Đào</t>
  </si>
  <si>
    <t>Tran Thi Xuan Dao</t>
  </si>
  <si>
    <t>ĐÀO</t>
    <phoneticPr fontId="0" type="noConversion"/>
  </si>
  <si>
    <t>DAO</t>
  </si>
  <si>
    <t>KT&amp;PL</t>
    <phoneticPr fontId="0" type="noConversion"/>
  </si>
  <si>
    <t>G3</t>
  </si>
  <si>
    <t>Mai Thị Bích Phương</t>
  </si>
  <si>
    <t>Mai Thi Bich Phuong</t>
  </si>
  <si>
    <t>B.PHƯƠNG</t>
    <phoneticPr fontId="0" type="noConversion"/>
  </si>
  <si>
    <t>B.PHUONG</t>
  </si>
  <si>
    <t>G5</t>
    <phoneticPr fontId="0" type="noConversion"/>
  </si>
  <si>
    <t>Lê Thị Tuyết Thu</t>
    <phoneticPr fontId="0" type="noConversion"/>
  </si>
  <si>
    <t>THU (KTPL)</t>
    <phoneticPr fontId="0" type="noConversion"/>
  </si>
  <si>
    <t>G6</t>
    <phoneticPr fontId="0" type="noConversion"/>
  </si>
  <si>
    <t>Trần Thị Hằng</t>
    <phoneticPr fontId="0" type="noConversion"/>
  </si>
  <si>
    <t>HẰNG (KTPL)</t>
    <phoneticPr fontId="0" type="noConversion"/>
  </si>
  <si>
    <t>L1</t>
  </si>
  <si>
    <t>L10</t>
  </si>
  <si>
    <t>Vũ Thanh Vân</t>
  </si>
  <si>
    <t>Vu Thanh Van</t>
  </si>
  <si>
    <t>VÂN (L)</t>
    <phoneticPr fontId="0" type="noConversion"/>
  </si>
  <si>
    <t>T.VAN</t>
  </si>
  <si>
    <t>L11</t>
  </si>
  <si>
    <t>Hồ Văn Bình</t>
  </si>
  <si>
    <t>Ho Van Binh</t>
  </si>
  <si>
    <t>BINH</t>
  </si>
  <si>
    <t>L12</t>
  </si>
  <si>
    <t>L3</t>
  </si>
  <si>
    <t>L4</t>
  </si>
  <si>
    <t xml:space="preserve">Trần Thị Lam Hồng </t>
  </si>
  <si>
    <t>Tran Thi Lam Hong</t>
  </si>
  <si>
    <t>L.HỒNG</t>
    <phoneticPr fontId="0" type="noConversion"/>
  </si>
  <si>
    <t>HONG</t>
  </si>
  <si>
    <t>L5</t>
  </si>
  <si>
    <t>HẬU</t>
    <phoneticPr fontId="0" type="noConversion"/>
  </si>
  <si>
    <t>L6</t>
  </si>
  <si>
    <t>Ngô Phát Thương</t>
  </si>
  <si>
    <t>Ngo Phat Thuong</t>
  </si>
  <si>
    <t>THƯƠNG</t>
    <phoneticPr fontId="0" type="noConversion"/>
  </si>
  <si>
    <t>THUONG</t>
  </si>
  <si>
    <t>L7</t>
  </si>
  <si>
    <t>Trần Thị Hạnh</t>
  </si>
  <si>
    <t>Tran Thi Hanh</t>
  </si>
  <si>
    <t>HẠNH (L)</t>
    <phoneticPr fontId="0" type="noConversion"/>
  </si>
  <si>
    <t>HANH(L)</t>
  </si>
  <si>
    <t>L8</t>
  </si>
  <si>
    <t>Nguyễn Minh Hoàng</t>
  </si>
  <si>
    <t>Nguyen Minh Hoang</t>
  </si>
  <si>
    <t>HOÀNG</t>
    <phoneticPr fontId="0" type="noConversion"/>
  </si>
  <si>
    <t>HOANG</t>
  </si>
  <si>
    <t>L9</t>
  </si>
  <si>
    <t>Dương Anh Quang</t>
  </si>
  <si>
    <t>Duong Anh Quang</t>
  </si>
  <si>
    <t>QUANG</t>
  </si>
  <si>
    <t>E1</t>
  </si>
  <si>
    <t>E2</t>
  </si>
  <si>
    <t>SUONG</t>
  </si>
  <si>
    <t>E3</t>
  </si>
  <si>
    <t>E6</t>
  </si>
  <si>
    <t>KHUYEN</t>
  </si>
  <si>
    <t>E7</t>
    <phoneticPr fontId="0" type="noConversion"/>
  </si>
  <si>
    <r>
      <t>Nguyễn Thị Qu</t>
    </r>
    <r>
      <rPr>
        <sz val="11"/>
        <color indexed="62"/>
        <rFont val="ＭＳ Ｐゴシック"/>
        <family val="3"/>
        <charset val="128"/>
      </rPr>
      <t>ỳ</t>
    </r>
    <r>
      <rPr>
        <sz val="11"/>
        <color indexed="62"/>
        <rFont val="Times New Roman"/>
        <family val="1"/>
      </rPr>
      <t>nh Diễm</t>
    </r>
  </si>
  <si>
    <t>DIỄM</t>
    <phoneticPr fontId="0" type="noConversion"/>
  </si>
  <si>
    <t>SINH</t>
    <phoneticPr fontId="0" type="noConversion"/>
  </si>
  <si>
    <t>E8</t>
  </si>
  <si>
    <t>S1</t>
  </si>
  <si>
    <t>Nguyễn Thị Diệp Lài</t>
  </si>
  <si>
    <t>Nguyen Thi Diep Lai</t>
  </si>
  <si>
    <t>LÀI</t>
    <phoneticPr fontId="0" type="noConversion"/>
  </si>
  <si>
    <t>LAI</t>
  </si>
  <si>
    <t>S2</t>
  </si>
  <si>
    <t>S3</t>
  </si>
  <si>
    <t>S5</t>
  </si>
  <si>
    <t>Phạm Văn Hải</t>
  </si>
  <si>
    <t>Pham Van Hai</t>
  </si>
  <si>
    <t>HẢI ( SỬ)</t>
    <phoneticPr fontId="0" type="noConversion"/>
  </si>
  <si>
    <t>HAI (SU)</t>
  </si>
  <si>
    <t>S7</t>
    <phoneticPr fontId="0" type="noConversion"/>
  </si>
  <si>
    <t>SỬ</t>
    <phoneticPr fontId="0" type="noConversion"/>
  </si>
  <si>
    <t>U1</t>
  </si>
  <si>
    <t>Trương Văn Thơ</t>
  </si>
  <si>
    <t>Truong Van Tho</t>
  </si>
  <si>
    <t>THO TD</t>
  </si>
  <si>
    <t>THỂ DỤC</t>
  </si>
  <si>
    <t>U2</t>
  </si>
  <si>
    <t>Đỗ Bá Khang</t>
  </si>
  <si>
    <t>Do Ba Khang</t>
  </si>
  <si>
    <t>U4</t>
  </si>
  <si>
    <t>Nguyễn Hữu Hiệp</t>
  </si>
  <si>
    <t>Nguyen Huu Hiep</t>
  </si>
  <si>
    <t>HIEP</t>
  </si>
  <si>
    <t>U6</t>
  </si>
  <si>
    <t>Nguyễn Ngọc Tuấn</t>
  </si>
  <si>
    <t>Nguyen Ngoc Tuan</t>
  </si>
  <si>
    <t>TUAN (TD)</t>
    <phoneticPr fontId="0" type="noConversion"/>
  </si>
  <si>
    <t>U7</t>
  </si>
  <si>
    <t>Diệp Kim Hải</t>
  </si>
  <si>
    <t>Diep Kim Hai</t>
  </si>
  <si>
    <t>HẢI (TD)</t>
    <phoneticPr fontId="0" type="noConversion"/>
  </si>
  <si>
    <t>HAI (TD)</t>
  </si>
  <si>
    <t>U8</t>
  </si>
  <si>
    <t>Bùi Văn Cường</t>
  </si>
  <si>
    <t>Bui Van Cuong</t>
  </si>
  <si>
    <t>CƯỜNG (TD)</t>
    <phoneticPr fontId="0" type="noConversion"/>
  </si>
  <si>
    <t>CUONG</t>
  </si>
  <si>
    <t>M2QT</t>
  </si>
  <si>
    <t>Trương Văn Phúc</t>
  </si>
  <si>
    <t>Truong Van Phuc</t>
  </si>
  <si>
    <t>PHÚC (QT)</t>
    <phoneticPr fontId="0" type="noConversion"/>
  </si>
  <si>
    <t>M3QT</t>
  </si>
  <si>
    <t>Đặng Thị Xuân</t>
  </si>
  <si>
    <t>Dang Thi Xuan</t>
  </si>
  <si>
    <t>XUÂN (QT)</t>
    <phoneticPr fontId="0" type="noConversion"/>
  </si>
  <si>
    <t>M4QT</t>
  </si>
  <si>
    <t>Nguyễn Phi Hùng</t>
  </si>
  <si>
    <t>Nguyen Phi Hung</t>
  </si>
  <si>
    <t>HÙNG (QT)</t>
    <phoneticPr fontId="0" type="noConversion"/>
  </si>
  <si>
    <t>M5QT</t>
  </si>
  <si>
    <t>Huỳnh Chí Cường</t>
  </si>
  <si>
    <t>Huynh Chi Cuong</t>
  </si>
  <si>
    <t>M6QT</t>
    <phoneticPr fontId="0" type="noConversion"/>
  </si>
  <si>
    <t>Nguyễn Ngọc Bảo Trân</t>
    <phoneticPr fontId="0" type="noConversion"/>
  </si>
  <si>
    <t>Bao TraN</t>
    <phoneticPr fontId="0" type="noConversion"/>
  </si>
  <si>
    <t>TRÂN</t>
    <phoneticPr fontId="0" type="noConversion"/>
  </si>
  <si>
    <t>TRAN</t>
    <phoneticPr fontId="0" type="noConversion"/>
  </si>
  <si>
    <t>M8QT</t>
    <phoneticPr fontId="0" type="noConversion"/>
  </si>
  <si>
    <r>
      <t>Kim V</t>
    </r>
    <r>
      <rPr>
        <sz val="11"/>
        <color indexed="62"/>
        <rFont val="ＭＳ Ｐゴシック"/>
        <family val="3"/>
        <charset val="128"/>
      </rPr>
      <t>ĩ</t>
    </r>
    <r>
      <rPr>
        <sz val="11"/>
        <color indexed="62"/>
        <rFont val="Times New Roman"/>
        <family val="1"/>
      </rPr>
      <t>nh Anh Khoa</t>
    </r>
  </si>
  <si>
    <t>KHOA (THQT)</t>
    <phoneticPr fontId="0" type="noConversion"/>
  </si>
  <si>
    <t>M2</t>
  </si>
  <si>
    <t>PHÚC(TH)</t>
    <phoneticPr fontId="0" type="noConversion"/>
  </si>
  <si>
    <t>PHUC</t>
  </si>
  <si>
    <t>TIN HỌC</t>
  </si>
  <si>
    <t>M4</t>
  </si>
  <si>
    <t>HÙNG (TH)</t>
    <phoneticPr fontId="0" type="noConversion"/>
  </si>
  <si>
    <t>HUNG</t>
  </si>
  <si>
    <t>M5</t>
  </si>
  <si>
    <t>CƯỜNG (TH)</t>
    <phoneticPr fontId="0" type="noConversion"/>
  </si>
  <si>
    <t>M6</t>
  </si>
  <si>
    <t>Nguyễn Ngọc Bảo Trân</t>
  </si>
  <si>
    <t>M8</t>
    <phoneticPr fontId="0" type="noConversion"/>
  </si>
  <si>
    <t>KHOA (TIN)</t>
    <phoneticPr fontId="0" type="noConversion"/>
  </si>
  <si>
    <t>A10HN</t>
  </si>
  <si>
    <t>Văn Huỳnh Bảo Phương</t>
  </si>
  <si>
    <t>A11HN</t>
  </si>
  <si>
    <t>A1HN</t>
  </si>
  <si>
    <t>A2HN</t>
  </si>
  <si>
    <t>TNHN</t>
    <phoneticPr fontId="0" type="noConversion"/>
  </si>
  <si>
    <t>A4HN</t>
  </si>
  <si>
    <t>Nguyễn Thị Tường Vy</t>
  </si>
  <si>
    <t>A5HN</t>
  </si>
  <si>
    <t>A7HN</t>
  </si>
  <si>
    <t>A8HN</t>
  </si>
  <si>
    <t>E1HN</t>
  </si>
  <si>
    <t>E2HN</t>
  </si>
  <si>
    <t>E3HN</t>
  </si>
  <si>
    <t>E6HN</t>
  </si>
  <si>
    <t>E7HN</t>
  </si>
  <si>
    <t>Nguyễn Thị Quỳnh Diễm</t>
  </si>
  <si>
    <t>E8HN</t>
  </si>
  <si>
    <t>TRANG (SI)</t>
  </si>
  <si>
    <t>G5HN</t>
  </si>
  <si>
    <t>Lê Thị Tuyết Thu</t>
  </si>
  <si>
    <t>G6HN</t>
  </si>
  <si>
    <t>Trần Thị Hằng</t>
  </si>
  <si>
    <t>H1HN</t>
  </si>
  <si>
    <t>H2HN</t>
  </si>
  <si>
    <t>H4HN</t>
  </si>
  <si>
    <t>H5HN</t>
  </si>
  <si>
    <t>H6HN</t>
  </si>
  <si>
    <t>H7HN</t>
  </si>
  <si>
    <t>H9HN</t>
  </si>
  <si>
    <t>HN10</t>
  </si>
  <si>
    <t>Nguyễn Thụy Diễm Linh</t>
  </si>
  <si>
    <t>Nguyen Thuy Diem Linh</t>
  </si>
  <si>
    <t>L10HN</t>
  </si>
  <si>
    <t>L3HN</t>
  </si>
  <si>
    <t>L4HN</t>
  </si>
  <si>
    <t>L5HN</t>
  </si>
  <si>
    <t>L6HN</t>
  </si>
  <si>
    <t>L7HN</t>
  </si>
  <si>
    <t>L8HN</t>
  </si>
  <si>
    <t>L9HN</t>
  </si>
  <si>
    <t>M1HN</t>
  </si>
  <si>
    <t>DIỆM (QT)</t>
  </si>
  <si>
    <t>M4HN</t>
  </si>
  <si>
    <t>M6HN</t>
  </si>
  <si>
    <t>M8HN</t>
  </si>
  <si>
    <t>Q1HN</t>
  </si>
  <si>
    <t>Q3HN</t>
  </si>
  <si>
    <t>Hồ Phương Thảo</t>
  </si>
  <si>
    <t>S7HN</t>
  </si>
  <si>
    <t>Nguyễn Phước Khôi</t>
  </si>
  <si>
    <t>T10HN</t>
  </si>
  <si>
    <t>Đỗ Ức Tuệ</t>
  </si>
  <si>
    <t>Do Uc Tue</t>
  </si>
  <si>
    <t>TUỆ</t>
    <phoneticPr fontId="0" type="noConversion"/>
  </si>
  <si>
    <t>TUE</t>
  </si>
  <si>
    <t>T12HN</t>
  </si>
  <si>
    <t>Trương Thúc Quảng</t>
  </si>
  <si>
    <t>Truong Thuc Quang</t>
  </si>
  <si>
    <t>T13HN</t>
  </si>
  <si>
    <t>Nguyễn Duy Hưng</t>
  </si>
  <si>
    <t>Nguyen Duy Hung</t>
  </si>
  <si>
    <t>T14HN</t>
  </si>
  <si>
    <t>Đoàn Thị Kim Hạnh</t>
  </si>
  <si>
    <t>Doan Thi Kim Hanh</t>
  </si>
  <si>
    <t>T15HN</t>
  </si>
  <si>
    <t>Huỳnh Thị Diễm Linh</t>
  </si>
  <si>
    <t>T18HN</t>
  </si>
  <si>
    <t>Trần Đại Nghĩa</t>
  </si>
  <si>
    <t>Tran Dai Nghia</t>
  </si>
  <si>
    <t>T2HN</t>
  </si>
  <si>
    <t>Trần Phương Như</t>
  </si>
  <si>
    <t>Tran Phuong Nhu</t>
  </si>
  <si>
    <t>T3HN</t>
  </si>
  <si>
    <t>TAM</t>
  </si>
  <si>
    <t>T4HN</t>
  </si>
  <si>
    <t>Nguyễn Thị Thu Ba</t>
  </si>
  <si>
    <t>Nguyen Thi Thu Ba</t>
  </si>
  <si>
    <t>T6HN</t>
  </si>
  <si>
    <t>Phạm Lê Thùy Dung</t>
  </si>
  <si>
    <t>Thùy Dung</t>
  </si>
  <si>
    <t>T7HN</t>
  </si>
  <si>
    <t>Nguyễn Thị Lý</t>
  </si>
  <si>
    <t>Nguyen Thi Ly</t>
  </si>
  <si>
    <t>T8HN</t>
  </si>
  <si>
    <t>Phan Quang Ánh</t>
  </si>
  <si>
    <t>Phan Quang Anh</t>
  </si>
  <si>
    <t>T9HN</t>
  </si>
  <si>
    <t>Trần Anh Nga My</t>
  </si>
  <si>
    <t>Nga My</t>
  </si>
  <si>
    <t>V10HN</t>
  </si>
  <si>
    <t>Lưu Thị Anh Thư</t>
  </si>
  <si>
    <t>Luu Thi Anh Thu</t>
  </si>
  <si>
    <t>V13HN</t>
  </si>
  <si>
    <t>Nguyễn Thị Ngân</t>
  </si>
  <si>
    <t>Nguyen Thi Ngan</t>
  </si>
  <si>
    <t>V1HN</t>
  </si>
  <si>
    <t>Nguyễn Thị Giang</t>
  </si>
  <si>
    <t>V3HN</t>
  </si>
  <si>
    <t>Nguyễn Hồng Giang</t>
  </si>
  <si>
    <t>H Giang</t>
  </si>
  <si>
    <t>H.GIANG</t>
    <phoneticPr fontId="0" type="noConversion"/>
  </si>
  <si>
    <t>V4HN</t>
  </si>
  <si>
    <t>Quách Thị Thủy</t>
  </si>
  <si>
    <t>Thủy</t>
  </si>
  <si>
    <t>THUỶ</t>
    <phoneticPr fontId="0" type="noConversion"/>
  </si>
  <si>
    <t>V5HN</t>
  </si>
  <si>
    <t>Trương Thu Trang</t>
  </si>
  <si>
    <t>Thu Trang</t>
  </si>
  <si>
    <t>V7HN</t>
  </si>
  <si>
    <t>Lưu Bích Hoài Thêm</t>
  </si>
  <si>
    <t>Them</t>
  </si>
  <si>
    <t>V8HN</t>
  </si>
  <si>
    <t>Nguyễn Hữu Bắc</t>
  </si>
  <si>
    <t>Nguyen Huu Bac</t>
  </si>
  <si>
    <t>BẮC</t>
    <phoneticPr fontId="0" type="noConversion"/>
  </si>
  <si>
    <t>BAC</t>
    <phoneticPr fontId="0" type="noConversion"/>
  </si>
  <si>
    <t>V9HN</t>
  </si>
  <si>
    <t xml:space="preserve">Hoàng Thị Hải Yến </t>
  </si>
  <si>
    <t>Hoang Thi Hai Yen</t>
  </si>
  <si>
    <t>YẾN</t>
    <phoneticPr fontId="0" type="noConversion"/>
  </si>
  <si>
    <t>H.YEN</t>
    <phoneticPr fontId="0" type="noConversion"/>
  </si>
  <si>
    <t>T1</t>
  </si>
  <si>
    <t>Đinh Văn Trí</t>
  </si>
  <si>
    <t>Dinh Van Tri</t>
  </si>
  <si>
    <t>TRÍ</t>
    <phoneticPr fontId="0" type="noConversion"/>
  </si>
  <si>
    <t xml:space="preserve">TRI </t>
  </si>
  <si>
    <t>T10</t>
  </si>
  <si>
    <t>T12</t>
  </si>
  <si>
    <t>QUẢNG(T)</t>
    <phoneticPr fontId="0" type="noConversion"/>
  </si>
  <si>
    <t>QUANG(T)</t>
  </si>
  <si>
    <t>T13</t>
  </si>
  <si>
    <t>HƯNG</t>
    <phoneticPr fontId="0" type="noConversion"/>
  </si>
  <si>
    <t>T14</t>
  </si>
  <si>
    <t>HANH (T)</t>
  </si>
  <si>
    <t>T15</t>
  </si>
  <si>
    <t>D.LINH (T)</t>
    <phoneticPr fontId="0" type="noConversion"/>
  </si>
  <si>
    <t>D.LINH(T)</t>
  </si>
  <si>
    <t>T18</t>
  </si>
  <si>
    <t>NGHIA</t>
  </si>
  <si>
    <t>T2</t>
  </si>
  <si>
    <t>NHƯ</t>
    <phoneticPr fontId="0" type="noConversion"/>
  </si>
  <si>
    <t>Nhu</t>
  </si>
  <si>
    <t>T3</t>
  </si>
  <si>
    <t>Nguyễn Văn Tâm</t>
  </si>
  <si>
    <t>T4</t>
  </si>
  <si>
    <t>THU BA</t>
    <phoneticPr fontId="0" type="noConversion"/>
  </si>
  <si>
    <t>T5</t>
  </si>
  <si>
    <t>T6</t>
  </si>
  <si>
    <t>DUNG</t>
    <phoneticPr fontId="0" type="noConversion"/>
  </si>
  <si>
    <t>T7</t>
  </si>
  <si>
    <t>LÝ</t>
    <phoneticPr fontId="0" type="noConversion"/>
  </si>
  <si>
    <t>LY</t>
  </si>
  <si>
    <t>T8</t>
  </si>
  <si>
    <t>ÁNH</t>
    <phoneticPr fontId="0" type="noConversion"/>
  </si>
  <si>
    <t>T9</t>
  </si>
  <si>
    <t>MY</t>
    <phoneticPr fontId="0" type="noConversion"/>
  </si>
  <si>
    <t>V1</t>
  </si>
  <si>
    <t>V10</t>
  </si>
  <si>
    <t>THƯ (V)</t>
    <phoneticPr fontId="0" type="noConversion"/>
  </si>
  <si>
    <t>THU</t>
  </si>
  <si>
    <t>V11</t>
  </si>
  <si>
    <t>V13</t>
  </si>
  <si>
    <t>NGÂN</t>
    <phoneticPr fontId="0" type="noConversion"/>
  </si>
  <si>
    <t>V14</t>
  </si>
  <si>
    <t>Phạm Chí Nguyện</t>
  </si>
  <si>
    <t>Pham Chi Nguyen</t>
  </si>
  <si>
    <t>Nguyen</t>
  </si>
  <si>
    <t>V2</t>
  </si>
  <si>
    <t>Dương Thị Thắm</t>
  </si>
  <si>
    <t>Duong Thi Tham</t>
  </si>
  <si>
    <t>THẮM</t>
    <phoneticPr fontId="0" type="noConversion"/>
  </si>
  <si>
    <t>THAM</t>
  </si>
  <si>
    <t>V3</t>
  </si>
  <si>
    <t>V4</t>
  </si>
  <si>
    <t>V5</t>
  </si>
  <si>
    <t>TRANG</t>
    <phoneticPr fontId="0" type="noConversion"/>
  </si>
  <si>
    <t>V6</t>
  </si>
  <si>
    <t>Lý Diệp Trường Phú</t>
  </si>
  <si>
    <t>Phú</t>
    <phoneticPr fontId="0" type="noConversion"/>
  </si>
  <si>
    <t>Phu</t>
  </si>
  <si>
    <t>V7</t>
  </si>
  <si>
    <t>THÊM</t>
    <phoneticPr fontId="0" type="noConversion"/>
  </si>
  <si>
    <t>THEM</t>
    <phoneticPr fontId="0" type="noConversion"/>
  </si>
  <si>
    <t>V8</t>
  </si>
  <si>
    <t>V9</t>
  </si>
  <si>
    <t>H3</t>
  </si>
  <si>
    <t>Nguyễn Thành Trung</t>
  </si>
  <si>
    <t>Nguyen Thanh Trung</t>
  </si>
  <si>
    <t>TRUNG</t>
  </si>
  <si>
    <t>H8</t>
  </si>
  <si>
    <t>Nguyễn Quốc Bảo</t>
  </si>
  <si>
    <t>Nguyen Quoc Bao</t>
  </si>
  <si>
    <t>BAO</t>
  </si>
  <si>
    <t>G1</t>
  </si>
  <si>
    <t>Huỳnh Thị Bích Vân</t>
  </si>
  <si>
    <t>Huynh Thi Bich Van</t>
  </si>
  <si>
    <t>B.VÂN</t>
    <phoneticPr fontId="0" type="noConversion"/>
  </si>
  <si>
    <t>E5</t>
  </si>
  <si>
    <t>Nguyễn Thị Phượng Anh</t>
  </si>
  <si>
    <t>Nguyen Thi Phuong Anh</t>
  </si>
  <si>
    <t>P.ANH</t>
  </si>
  <si>
    <t>ANH (SI)</t>
  </si>
  <si>
    <t>S6</t>
    <phoneticPr fontId="0" type="noConversion"/>
  </si>
  <si>
    <t>Nguyễn Anh Khoa</t>
  </si>
  <si>
    <t>KHOA ( SỬ)</t>
    <phoneticPr fontId="0" type="noConversion"/>
  </si>
  <si>
    <t>KHOA (SU)</t>
    <phoneticPr fontId="0" type="noConversion"/>
  </si>
  <si>
    <t>M9QT</t>
  </si>
  <si>
    <t>Lương Sơn Dũng</t>
  </si>
  <si>
    <t>Luong Son Dung</t>
  </si>
  <si>
    <t>DUNG (QT)</t>
  </si>
  <si>
    <t>M1</t>
  </si>
  <si>
    <t>DIỆM (TH)</t>
    <phoneticPr fontId="0" type="noConversion"/>
  </si>
  <si>
    <t>DIEM</t>
  </si>
  <si>
    <t>M7</t>
  </si>
  <si>
    <t>Nguyễn Thị Thanh Thảo</t>
  </si>
  <si>
    <t>Nguyen Thi Thanh Thao</t>
  </si>
  <si>
    <t>THAO</t>
    <phoneticPr fontId="0" type="noConversion"/>
  </si>
  <si>
    <t>E5HN</t>
  </si>
  <si>
    <t>V12</t>
  </si>
  <si>
    <t>L11HN</t>
  </si>
  <si>
    <t>V12HN</t>
  </si>
  <si>
    <t>L12HN</t>
  </si>
  <si>
    <t>A6HN</t>
  </si>
  <si>
    <t>L1HN</t>
  </si>
  <si>
    <t>T5HN</t>
  </si>
  <si>
    <t>ST1</t>
  </si>
  <si>
    <t>Tuyen</t>
  </si>
  <si>
    <t>ST2</t>
  </si>
  <si>
    <t>Tan</t>
  </si>
  <si>
    <t>MÃ GV</t>
  </si>
  <si>
    <t>CT10-AVBN-02, CT10-AVBN-11</t>
  </si>
  <si>
    <t>CT10-AVBN-06, CT10-AVBN-09</t>
  </si>
  <si>
    <t>CT10-AVBN-03, CT10-AVBN-08</t>
  </si>
  <si>
    <t>CT10-THQT-05, CT10-THQT-07</t>
  </si>
  <si>
    <t>CT11-STEM-01</t>
  </si>
  <si>
    <t>CT11-STEM-02</t>
  </si>
  <si>
    <t>THỐNG KÊ CÁC Ô BỊ #N/A TRONG SHEET TKB-S-C</t>
  </si>
  <si>
    <t>Danh sách chụp tại thời điểm tạo (không tự cập nhật). Ô tổng ở B4 đếm trực tiếp từ TKB-S-C để đối chiếu.</t>
  </si>
  <si>
    <t>Tổng ô #N/A hiện có trong TKB-S-C</t>
  </si>
  <si>
    <t>Số dòng liệt kê bên dưới</t>
  </si>
  <si>
    <t>STT</t>
  </si>
  <si>
    <t>Buổi</t>
  </si>
  <si>
    <t>Thứ</t>
  </si>
  <si>
    <t>Tiết</t>
  </si>
  <si>
    <t>Ô trong TKB-S-C</t>
  </si>
  <si>
    <t>Sáng</t>
  </si>
  <si>
    <t>AP10</t>
  </si>
  <si>
    <t>AP11</t>
  </si>
  <si>
    <t>AX11</t>
  </si>
  <si>
    <t>AU14</t>
  </si>
  <si>
    <t>AU15</t>
  </si>
  <si>
    <t>AR20</t>
  </si>
  <si>
    <t>AR21</t>
  </si>
  <si>
    <t>Chiều</t>
  </si>
  <si>
    <t>T40</t>
  </si>
  <si>
    <t>T41</t>
  </si>
  <si>
    <t>G45</t>
  </si>
  <si>
    <t>AR45</t>
  </si>
  <si>
    <t>BA45</t>
  </si>
  <si>
    <t>G46</t>
  </si>
  <si>
    <t>AR46</t>
  </si>
  <si>
    <t>BA46</t>
  </si>
  <si>
    <t>O47</t>
  </si>
  <si>
    <t>O48</t>
  </si>
  <si>
    <t>S50</t>
  </si>
  <si>
    <t>AH50</t>
  </si>
  <si>
    <t>S51</t>
  </si>
  <si>
    <t>AH51</t>
  </si>
  <si>
    <t>Z52</t>
  </si>
  <si>
    <t>AD52</t>
  </si>
  <si>
    <t>Z53</t>
  </si>
  <si>
    <t>AD53</t>
  </si>
  <si>
    <t>M57</t>
  </si>
  <si>
    <t>AT57</t>
  </si>
  <si>
    <t>AU57</t>
  </si>
  <si>
    <t>AY57</t>
  </si>
  <si>
    <t>BD57</t>
  </si>
  <si>
    <t>M58</t>
  </si>
  <si>
    <t>AT58</t>
  </si>
  <si>
    <t>AU58</t>
  </si>
  <si>
    <t>AY58</t>
  </si>
  <si>
    <t>BD58</t>
  </si>
  <si>
    <t>W60</t>
  </si>
  <si>
    <t>AM60</t>
  </si>
  <si>
    <t>AZ60</t>
  </si>
  <si>
    <t>W61</t>
  </si>
  <si>
    <t>AM61</t>
  </si>
  <si>
    <t>AZ61</t>
  </si>
  <si>
    <t>AB62</t>
  </si>
  <si>
    <t>AC62</t>
  </si>
  <si>
    <t>BE62</t>
  </si>
  <si>
    <t>AB63</t>
  </si>
  <si>
    <t>AC63</t>
  </si>
  <si>
    <t>BE63</t>
  </si>
  <si>
    <t>CT10-THQT-01, CT10-THQT-02</t>
  </si>
  <si>
    <t>CT11-THQT-03, CT11-THQT-04</t>
  </si>
  <si>
    <t>CT10-THQT-02, CT10-THQT-03, CT10-THQT-11</t>
  </si>
  <si>
    <t>CT12-THQT-03, CT12-THQT-05, CT12-THQT-06</t>
  </si>
  <si>
    <t>CT10-THQT-01, CT10-THQT-04</t>
  </si>
  <si>
    <t>CT10-THQT-03, CT10-THQT-11</t>
  </si>
  <si>
    <t>CT12-THQT-01, CT12-THQT-02, CT12-THQT-06</t>
  </si>
  <si>
    <t>CT12-THQT-04, CT12-THQT-05</t>
  </si>
  <si>
    <t>CT11-THQT-01, CT11-THQT-02</t>
  </si>
  <si>
    <t>CT12-THQT-03, CT12-THQT-06</t>
  </si>
  <si>
    <t>CT12-THQT-03, CT12-THQT-04, CT12-THQT-06</t>
  </si>
  <si>
    <t>CT12-THQT-01, CT12-THQT-05</t>
  </si>
  <si>
    <t>10A3 (31) + 10A21 (14)</t>
  </si>
  <si>
    <t>10A4 (35) + 10A21 (10)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</si>
</sst>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\-0;&quot;-&quot;"/>
    <numFmt numFmtId="165" formatCode="0.0%"/>
  </numFmts>
  <fonts count="54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5"/>
      <color theme="3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rgb="FFFFFFFF"/>
      <name val="Times New Roman"/>
      <family val="1"/>
    </font>
    <font>
      <i/>
      <sz val="9"/>
      <color rgb="FF595959"/>
      <name val="Times New Roman"/>
      <family val="1"/>
    </font>
    <font>
      <b/>
      <sz val="14"/>
      <color rgb="FF2F5597"/>
      <name val="Times New Roman"/>
      <family val="1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i/>
      <sz val="11"/>
      <color rgb="FF595959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9"/>
      <color indexed="12"/>
      <name val="Arial"/>
      <family val="2"/>
    </font>
    <font>
      <b/>
      <sz val="10"/>
      <name val="Arial"/>
      <family val="2"/>
    </font>
    <font>
      <b/>
      <sz val="8"/>
      <color indexed="60"/>
      <name val="Arial"/>
      <family val="2"/>
    </font>
    <font>
      <sz val="8"/>
      <name val="Arial"/>
      <family val="2"/>
    </font>
    <font>
      <b/>
      <sz val="11"/>
      <color rgb="FFFFFFFF"/>
      <name val="Calibri"/>
      <family val="2"/>
      <scheme val="minor"/>
    </font>
    <font>
      <b/>
      <sz val="10"/>
      <name val="Arial"/>
      <family val="2"/>
      <charset val="1"/>
    </font>
    <font>
      <b/>
      <sz val="11"/>
      <name val="Arial"/>
      <family val="2"/>
    </font>
    <font>
      <sz val="11"/>
      <color rgb="FF000000"/>
      <name val="Arial"/>
      <family val="2"/>
    </font>
    <font>
      <sz val="8.75"/>
      <color rgb="FF0D0D0D"/>
      <name val="Segoe UI"/>
      <family val="2"/>
    </font>
    <font>
      <b/>
      <sz val="8.75"/>
      <color rgb="FF0D0D0D"/>
      <name val="Segoe UI"/>
      <family val="2"/>
    </font>
    <font>
      <sz val="9"/>
      <color rgb="FF1F2937"/>
      <name val="Arial"/>
      <family val="2"/>
    </font>
    <font>
      <sz val="10"/>
      <color theme="1"/>
      <name val="Arial"/>
      <family val="2"/>
    </font>
    <font>
      <b/>
      <sz val="9"/>
      <color indexed="12"/>
      <name val="Times New Roman"/>
      <family val="1"/>
    </font>
    <font>
      <sz val="9"/>
      <color theme="4" tint="-0.249977111117893"/>
      <name val="Times New Roman"/>
      <family val="1"/>
    </font>
    <font>
      <sz val="11"/>
      <color theme="4" tint="-0.249977111117893"/>
      <name val="Times New Roman"/>
      <family val="1"/>
    </font>
    <font>
      <sz val="11"/>
      <color indexed="62"/>
      <name val="ＭＳ Ｐ明朝"/>
      <family val="1"/>
      <charset val="128"/>
    </font>
    <font>
      <sz val="11"/>
      <color indexed="62"/>
      <name val="Times New Roman"/>
      <family val="1"/>
    </font>
    <font>
      <sz val="8"/>
      <color theme="4" tint="-0.249977111117893"/>
      <name val="Times New Roman"/>
      <family val="1"/>
    </font>
    <font>
      <sz val="10"/>
      <color theme="4" tint="-0.249977111117893"/>
      <name val="Arial"/>
      <family val="2"/>
    </font>
    <font>
      <b/>
      <sz val="8"/>
      <color indexed="18"/>
      <name val="Times New Roman"/>
      <family val="1"/>
    </font>
    <font>
      <sz val="9"/>
      <color rgb="FFFF0000"/>
      <name val="Times New Roman"/>
      <family val="1"/>
    </font>
    <font>
      <sz val="11"/>
      <color rgb="FFFF0000"/>
      <name val="Times New Roman"/>
      <family val="1"/>
    </font>
    <font>
      <sz val="10"/>
      <color rgb="FFFF0000"/>
      <name val="Arial"/>
      <family val="2"/>
    </font>
    <font>
      <sz val="9"/>
      <color rgb="FF081B3A"/>
      <name val="Segoe UI"/>
      <family val="2"/>
    </font>
    <font>
      <sz val="11"/>
      <color theme="1"/>
      <name val="VNI-Times"/>
    </font>
    <font>
      <sz val="12"/>
      <color theme="4" tint="-0.249977111117893"/>
      <name val="Cambria"/>
      <family val="1"/>
      <scheme val="major"/>
    </font>
    <font>
      <sz val="11"/>
      <color rgb="FF081B3A"/>
      <name val="Segoe UI"/>
      <family val="2"/>
    </font>
    <font>
      <sz val="10"/>
      <color theme="4" tint="-0.249977111117893"/>
      <name val="Arial"/>
      <family val="2"/>
      <charset val="163"/>
    </font>
    <font>
      <sz val="11"/>
      <color indexed="62"/>
      <name val="ＭＳ Ｐゴシック"/>
      <family val="3"/>
      <charset val="128"/>
    </font>
    <font>
      <b/>
      <sz val="8"/>
      <color indexed="60"/>
      <name val="Times New Roman"/>
      <family val="1"/>
    </font>
    <font>
      <sz val="11"/>
      <color theme="4" tint="-0.249977111117893"/>
      <name val="VNI-Times"/>
    </font>
    <font>
      <sz val="12"/>
      <color theme="1"/>
      <name val="Times New Roman"/>
      <family val="1"/>
    </font>
    <font>
      <sz val="10"/>
      <color theme="1"/>
      <name val="Cambria"/>
      <family val="3"/>
      <charset val="128"/>
      <scheme val="major"/>
    </font>
    <font>
      <sz val="10"/>
      <color rgb="FFFF0000"/>
      <name val="Arial"/>
      <family val="2"/>
      <charset val="163"/>
    </font>
    <font>
      <sz val="11"/>
      <color rgb="FFFF0000"/>
      <name val="Calibri"/>
      <family val="2"/>
      <scheme val="minor"/>
    </font>
    <font>
      <sz val="11"/>
      <color rgb="FFFF0000"/>
      <name val="Arial"/>
      <family val="2"/>
    </font>
    <font>
      <sz val="11"/>
      <color rgb="FFC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5FA"/>
      </patternFill>
    </fill>
    <fill>
      <patternFill patternType="solid">
        <fgColor rgb="FFFCFCF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2"/>
      </right>
      <top/>
      <bottom style="hair">
        <color indexed="64"/>
      </bottom>
      <diagonal/>
    </border>
    <border>
      <left style="thin">
        <color indexed="62"/>
      </left>
      <right style="thin">
        <color indexed="62"/>
      </right>
      <top style="medium">
        <color indexed="62"/>
      </top>
      <bottom style="hair">
        <color indexed="62"/>
      </bottom>
      <diagonal/>
    </border>
    <border>
      <left style="thin">
        <color indexed="62"/>
      </left>
      <right style="thin">
        <color indexed="62"/>
      </right>
      <top style="hair">
        <color indexed="62"/>
      </top>
      <bottom style="hair">
        <color indexed="62"/>
      </bottom>
      <diagonal/>
    </border>
    <border>
      <left style="thin">
        <color indexed="64"/>
      </left>
      <right style="thin">
        <color indexed="62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2"/>
      </right>
      <top style="hair">
        <color indexed="64"/>
      </top>
      <bottom style="medium">
        <color indexed="64"/>
      </bottom>
      <diagonal/>
    </border>
    <border>
      <left style="thin">
        <color indexed="62"/>
      </left>
      <right style="thin">
        <color indexed="62"/>
      </right>
      <top style="hair">
        <color indexed="62"/>
      </top>
      <bottom style="medium">
        <color indexed="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/>
      <top style="thin">
        <color indexed="12"/>
      </top>
      <bottom/>
      <diagonal/>
    </border>
    <border>
      <left style="thin">
        <color indexed="12"/>
      </left>
      <right/>
      <top style="hair">
        <color indexed="12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12"/>
      </top>
      <bottom/>
      <diagonal/>
    </border>
    <border>
      <left style="thin">
        <color indexed="12"/>
      </left>
      <right/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12"/>
      </left>
      <right/>
      <top style="thin">
        <color indexed="64"/>
      </top>
      <bottom/>
      <diagonal/>
    </border>
    <border>
      <left/>
      <right/>
      <top style="hair">
        <color indexed="12"/>
      </top>
      <bottom/>
      <diagonal/>
    </border>
    <border>
      <left style="thin">
        <color indexed="12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12"/>
      </left>
      <right/>
      <top style="medium">
        <color indexed="62"/>
      </top>
      <bottom/>
      <diagonal/>
    </border>
    <border>
      <left style="thin">
        <color indexed="62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12"/>
      </left>
      <right style="thin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12"/>
      </left>
      <right/>
      <top/>
      <bottom style="thin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theme="4"/>
      </bottom>
      <diagonal/>
    </border>
    <border>
      <left style="thin">
        <color indexed="6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thin">
        <color indexed="12"/>
      </left>
      <right/>
      <top style="hair">
        <color indexed="12"/>
      </top>
      <bottom style="thin">
        <color theme="4"/>
      </bottom>
      <diagonal/>
    </border>
  </borders>
  <cellStyleXfs count="2">
    <xf numFmtId="0" fontId="0" fillId="0" borderId="0"/>
    <xf numFmtId="0" fontId="2" fillId="0" borderId="2" applyNumberFormat="0" applyFill="0" applyAlignment="0" applyProtection="0"/>
  </cellStyleXfs>
  <cellXfs count="22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3" fillId="2" borderId="3" xfId="0" applyNumberFormat="1" applyFont="1" applyFill="1" applyBorder="1" applyAlignment="1">
      <alignment horizontal="center"/>
    </xf>
    <xf numFmtId="0" fontId="3" fillId="2" borderId="3" xfId="0" applyFont="1" applyFill="1" applyBorder="1"/>
    <xf numFmtId="0" fontId="3" fillId="2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3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 wrapText="1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4" borderId="6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8" fillId="0" borderId="7" xfId="0" applyFont="1" applyBorder="1"/>
    <xf numFmtId="0" fontId="11" fillId="5" borderId="7" xfId="0" applyFont="1" applyFill="1" applyBorder="1"/>
    <xf numFmtId="1" fontId="11" fillId="5" borderId="7" xfId="0" applyNumberFormat="1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164" fontId="8" fillId="0" borderId="7" xfId="0" applyNumberFormat="1" applyFont="1" applyBorder="1" applyAlignment="1">
      <alignment horizontal="center"/>
    </xf>
    <xf numFmtId="164" fontId="11" fillId="5" borderId="7" xfId="0" applyNumberFormat="1" applyFont="1" applyFill="1" applyBorder="1" applyAlignment="1">
      <alignment horizontal="center"/>
    </xf>
    <xf numFmtId="0" fontId="8" fillId="0" borderId="7" xfId="0" applyFont="1" applyBorder="1" applyAlignment="1">
      <alignment wrapText="1"/>
    </xf>
    <xf numFmtId="0" fontId="8" fillId="0" borderId="7" xfId="0" applyFont="1" applyBorder="1" applyAlignment="1">
      <alignment vertical="top"/>
    </xf>
    <xf numFmtId="1" fontId="8" fillId="0" borderId="7" xfId="0" applyNumberFormat="1" applyFont="1" applyBorder="1" applyAlignment="1">
      <alignment horizontal="center" vertical="top"/>
    </xf>
    <xf numFmtId="165" fontId="8" fillId="0" borderId="6" xfId="0" applyNumberFormat="1" applyFont="1" applyBorder="1" applyAlignment="1">
      <alignment horizontal="center" vertical="top"/>
    </xf>
    <xf numFmtId="0" fontId="11" fillId="5" borderId="6" xfId="0" applyFont="1" applyFill="1" applyBorder="1" applyAlignment="1">
      <alignment horizontal="center"/>
    </xf>
    <xf numFmtId="0" fontId="13" fillId="4" borderId="6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0" fillId="0" borderId="6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8" xfId="0" applyBorder="1" applyAlignment="1">
      <alignment horizontal="left"/>
    </xf>
    <xf numFmtId="0" fontId="14" fillId="0" borderId="0" xfId="0" applyFont="1"/>
    <xf numFmtId="0" fontId="15" fillId="0" borderId="0" xfId="0" applyFont="1"/>
    <xf numFmtId="0" fontId="16" fillId="6" borderId="9" xfId="0" applyFont="1" applyFill="1" applyBorder="1" applyAlignment="1">
      <alignment horizontal="center"/>
    </xf>
    <xf numFmtId="0" fontId="17" fillId="6" borderId="10" xfId="0" applyFont="1" applyFill="1" applyBorder="1" applyAlignment="1">
      <alignment horizontal="center"/>
    </xf>
    <xf numFmtId="0" fontId="16" fillId="6" borderId="11" xfId="0" applyFont="1" applyFill="1" applyBorder="1" applyAlignment="1">
      <alignment horizontal="center"/>
    </xf>
    <xf numFmtId="0" fontId="16" fillId="6" borderId="12" xfId="0" applyFont="1" applyFill="1" applyBorder="1" applyAlignment="1">
      <alignment horizontal="center"/>
    </xf>
    <xf numFmtId="0" fontId="16" fillId="6" borderId="13" xfId="0" applyFont="1" applyFill="1" applyBorder="1" applyAlignment="1">
      <alignment horizontal="center" vertical="center" textRotation="90"/>
    </xf>
    <xf numFmtId="0" fontId="18" fillId="7" borderId="14" xfId="0" applyFont="1" applyFill="1" applyBorder="1" applyAlignment="1">
      <alignment horizontal="center"/>
    </xf>
    <xf numFmtId="0" fontId="19" fillId="0" borderId="15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8" fillId="7" borderId="17" xfId="0" applyFont="1" applyFill="1" applyBorder="1" applyAlignment="1">
      <alignment horizontal="center"/>
    </xf>
    <xf numFmtId="0" fontId="16" fillId="6" borderId="18" xfId="0" applyFont="1" applyFill="1" applyBorder="1" applyAlignment="1">
      <alignment horizontal="center" vertical="center" textRotation="90"/>
    </xf>
    <xf numFmtId="0" fontId="18" fillId="7" borderId="19" xfId="0" applyFont="1" applyFill="1" applyBorder="1" applyAlignment="1">
      <alignment horizontal="center"/>
    </xf>
    <xf numFmtId="0" fontId="20" fillId="0" borderId="20" xfId="0" applyFont="1" applyBorder="1" applyAlignment="1">
      <alignment horizontal="center" vertical="center"/>
    </xf>
    <xf numFmtId="0" fontId="16" fillId="6" borderId="21" xfId="0" applyFont="1" applyFill="1" applyBorder="1" applyAlignment="1">
      <alignment horizontal="center" vertical="center" textRotation="90"/>
    </xf>
    <xf numFmtId="0" fontId="18" fillId="7" borderId="22" xfId="0" applyFont="1" applyFill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18" fillId="7" borderId="23" xfId="0" applyFont="1" applyFill="1" applyBorder="1" applyAlignment="1">
      <alignment horizontal="center"/>
    </xf>
    <xf numFmtId="0" fontId="18" fillId="7" borderId="24" xfId="0" applyFont="1" applyFill="1" applyBorder="1" applyAlignment="1">
      <alignment horizontal="center"/>
    </xf>
    <xf numFmtId="0" fontId="0" fillId="8" borderId="0" xfId="0" applyFill="1"/>
    <xf numFmtId="0" fontId="2" fillId="0" borderId="2" xfId="1"/>
    <xf numFmtId="0" fontId="21" fillId="4" borderId="25" xfId="0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0" fontId="23" fillId="9" borderId="26" xfId="0" applyFont="1" applyFill="1" applyBorder="1"/>
    <xf numFmtId="0" fontId="0" fillId="0" borderId="1" xfId="0" applyBorder="1" applyAlignment="1">
      <alignment vertical="center" wrapText="1"/>
    </xf>
    <xf numFmtId="0" fontId="22" fillId="0" borderId="1" xfId="0" applyFont="1" applyBorder="1" applyAlignment="1">
      <alignment vertical="center" wrapText="1"/>
    </xf>
    <xf numFmtId="0" fontId="24" fillId="9" borderId="26" xfId="0" applyFont="1" applyFill="1" applyBorder="1"/>
    <xf numFmtId="0" fontId="23" fillId="0" borderId="26" xfId="0" applyFont="1" applyBorder="1"/>
    <xf numFmtId="0" fontId="24" fillId="0" borderId="26" xfId="0" applyFont="1" applyBorder="1"/>
    <xf numFmtId="0" fontId="25" fillId="10" borderId="1" xfId="0" applyFont="1" applyFill="1" applyBorder="1" applyAlignment="1">
      <alignment horizontal="center" wrapText="1"/>
    </xf>
    <xf numFmtId="0" fontId="25" fillId="10" borderId="1" xfId="0" applyFont="1" applyFill="1" applyBorder="1" applyAlignment="1">
      <alignment horizontal="right" wrapText="1"/>
    </xf>
    <xf numFmtId="0" fontId="25" fillId="10" borderId="1" xfId="0" applyFont="1" applyFill="1" applyBorder="1" applyAlignment="1">
      <alignment vertical="top" wrapText="1"/>
    </xf>
    <xf numFmtId="0" fontId="26" fillId="10" borderId="1" xfId="0" applyFont="1" applyFill="1" applyBorder="1" applyAlignment="1">
      <alignment horizontal="right" vertical="top" wrapText="1"/>
    </xf>
    <xf numFmtId="0" fontId="27" fillId="0" borderId="0" xfId="0" applyFont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29" fillId="11" borderId="27" xfId="0" applyFont="1" applyFill="1" applyBorder="1" applyAlignment="1">
      <alignment horizontal="center"/>
    </xf>
    <xf numFmtId="0" fontId="30" fillId="12" borderId="28" xfId="0" applyFont="1" applyFill="1" applyBorder="1" applyAlignment="1">
      <alignment horizontal="center"/>
    </xf>
    <xf numFmtId="0" fontId="31" fillId="12" borderId="28" xfId="0" applyFont="1" applyFill="1" applyBorder="1"/>
    <xf numFmtId="0" fontId="30" fillId="12" borderId="28" xfId="0" applyFont="1" applyFill="1" applyBorder="1"/>
    <xf numFmtId="0" fontId="30" fillId="0" borderId="29" xfId="0" applyFont="1" applyBorder="1" applyAlignment="1">
      <alignment horizontal="center"/>
    </xf>
    <xf numFmtId="0" fontId="31" fillId="0" borderId="29" xfId="0" applyFont="1" applyBorder="1"/>
    <xf numFmtId="0" fontId="30" fillId="12" borderId="29" xfId="0" applyFont="1" applyFill="1" applyBorder="1" applyAlignment="1">
      <alignment horizontal="center"/>
    </xf>
    <xf numFmtId="0" fontId="31" fillId="12" borderId="29" xfId="0" applyFont="1" applyFill="1" applyBorder="1"/>
    <xf numFmtId="0" fontId="30" fillId="12" borderId="29" xfId="0" applyFont="1" applyFill="1" applyBorder="1"/>
    <xf numFmtId="0" fontId="34" fillId="0" borderId="30" xfId="0" applyFont="1" applyBorder="1" applyAlignment="1">
      <alignment horizontal="center"/>
    </xf>
    <xf numFmtId="0" fontId="30" fillId="0" borderId="31" xfId="0" applyFont="1" applyBorder="1"/>
    <xf numFmtId="0" fontId="30" fillId="12" borderId="32" xfId="0" applyFont="1" applyFill="1" applyBorder="1"/>
    <xf numFmtId="0" fontId="35" fillId="0" borderId="29" xfId="0" applyFont="1" applyBorder="1" applyAlignment="1">
      <alignment horizontal="center"/>
    </xf>
    <xf numFmtId="0" fontId="30" fillId="0" borderId="29" xfId="0" applyFont="1" applyBorder="1"/>
    <xf numFmtId="0" fontId="35" fillId="12" borderId="29" xfId="0" applyFont="1" applyFill="1" applyBorder="1" applyAlignment="1">
      <alignment horizontal="center"/>
    </xf>
    <xf numFmtId="0" fontId="30" fillId="0" borderId="30" xfId="0" applyFont="1" applyBorder="1"/>
    <xf numFmtId="0" fontId="31" fillId="0" borderId="29" xfId="0" applyFont="1" applyBorder="1" applyAlignment="1">
      <alignment horizontal="center"/>
    </xf>
    <xf numFmtId="0" fontId="31" fillId="12" borderId="33" xfId="0" applyFont="1" applyFill="1" applyBorder="1"/>
    <xf numFmtId="0" fontId="31" fillId="12" borderId="31" xfId="0" applyFont="1" applyFill="1" applyBorder="1"/>
    <xf numFmtId="0" fontId="30" fillId="12" borderId="30" xfId="0" applyFont="1" applyFill="1" applyBorder="1"/>
    <xf numFmtId="0" fontId="30" fillId="12" borderId="31" xfId="0" applyFont="1" applyFill="1" applyBorder="1"/>
    <xf numFmtId="0" fontId="31" fillId="0" borderId="34" xfId="0" applyFont="1" applyBorder="1"/>
    <xf numFmtId="0" fontId="36" fillId="0" borderId="30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38" fillId="0" borderId="29" xfId="0" applyFont="1" applyBorder="1"/>
    <xf numFmtId="0" fontId="37" fillId="0" borderId="32" xfId="0" applyFont="1" applyBorder="1"/>
    <xf numFmtId="0" fontId="37" fillId="0" borderId="29" xfId="0" applyFont="1" applyBorder="1"/>
    <xf numFmtId="0" fontId="37" fillId="12" borderId="29" xfId="0" applyFont="1" applyFill="1" applyBorder="1" applyAlignment="1">
      <alignment horizontal="center"/>
    </xf>
    <xf numFmtId="0" fontId="38" fillId="12" borderId="29" xfId="0" applyFont="1" applyFill="1" applyBorder="1"/>
    <xf numFmtId="0" fontId="37" fillId="12" borderId="29" xfId="0" applyFont="1" applyFill="1" applyBorder="1"/>
    <xf numFmtId="0" fontId="39" fillId="0" borderId="29" xfId="0" applyFont="1" applyBorder="1" applyAlignment="1">
      <alignment horizontal="center"/>
    </xf>
    <xf numFmtId="0" fontId="30" fillId="0" borderId="32" xfId="0" applyFont="1" applyBorder="1"/>
    <xf numFmtId="0" fontId="31" fillId="0" borderId="30" xfId="0" applyFont="1" applyBorder="1"/>
    <xf numFmtId="0" fontId="31" fillId="0" borderId="35" xfId="0" applyFont="1" applyBorder="1"/>
    <xf numFmtId="0" fontId="40" fillId="0" borderId="0" xfId="0" applyFont="1"/>
    <xf numFmtId="0" fontId="30" fillId="12" borderId="32" xfId="0" applyFont="1" applyFill="1" applyBorder="1" applyAlignment="1">
      <alignment horizontal="center"/>
    </xf>
    <xf numFmtId="0" fontId="28" fillId="0" borderId="29" xfId="0" applyFont="1" applyBorder="1"/>
    <xf numFmtId="0" fontId="41" fillId="0" borderId="29" xfId="0" applyFont="1" applyBorder="1"/>
    <xf numFmtId="0" fontId="35" fillId="0" borderId="29" xfId="0" applyFont="1" applyBorder="1"/>
    <xf numFmtId="0" fontId="31" fillId="12" borderId="30" xfId="0" applyFont="1" applyFill="1" applyBorder="1"/>
    <xf numFmtId="0" fontId="31" fillId="0" borderId="32" xfId="0" applyFont="1" applyBorder="1"/>
    <xf numFmtId="0" fontId="31" fillId="12" borderId="29" xfId="0" applyFont="1" applyFill="1" applyBorder="1" applyAlignment="1">
      <alignment horizontal="center"/>
    </xf>
    <xf numFmtId="0" fontId="40" fillId="0" borderId="28" xfId="0" applyFont="1" applyBorder="1"/>
    <xf numFmtId="0" fontId="31" fillId="13" borderId="29" xfId="0" applyFont="1" applyFill="1" applyBorder="1"/>
    <xf numFmtId="0" fontId="42" fillId="0" borderId="29" xfId="0" applyFont="1" applyBorder="1" applyAlignment="1">
      <alignment vertical="center" wrapText="1"/>
    </xf>
    <xf numFmtId="0" fontId="43" fillId="0" borderId="29" xfId="0" applyFont="1" applyBorder="1"/>
    <xf numFmtId="0" fontId="31" fillId="12" borderId="35" xfId="0" applyFont="1" applyFill="1" applyBorder="1"/>
    <xf numFmtId="0" fontId="31" fillId="0" borderId="33" xfId="0" applyFont="1" applyBorder="1"/>
    <xf numFmtId="0" fontId="31" fillId="0" borderId="5" xfId="0" applyFont="1" applyBorder="1"/>
    <xf numFmtId="0" fontId="31" fillId="0" borderId="0" xfId="0" applyFont="1"/>
    <xf numFmtId="0" fontId="35" fillId="0" borderId="29" xfId="0" applyFont="1" applyBorder="1" applyAlignment="1">
      <alignment horizontal="centerContinuous"/>
    </xf>
    <xf numFmtId="0" fontId="31" fillId="12" borderId="36" xfId="0" applyFont="1" applyFill="1" applyBorder="1"/>
    <xf numFmtId="0" fontId="30" fillId="12" borderId="36" xfId="0" applyFont="1" applyFill="1" applyBorder="1"/>
    <xf numFmtId="0" fontId="31" fillId="0" borderId="36" xfId="0" applyFont="1" applyBorder="1"/>
    <xf numFmtId="0" fontId="30" fillId="0" borderId="36" xfId="0" applyFont="1" applyBorder="1"/>
    <xf numFmtId="0" fontId="44" fillId="12" borderId="29" xfId="0" applyFont="1" applyFill="1" applyBorder="1"/>
    <xf numFmtId="0" fontId="34" fillId="12" borderId="29" xfId="0" applyFont="1" applyFill="1" applyBorder="1" applyAlignment="1">
      <alignment horizontal="center"/>
    </xf>
    <xf numFmtId="0" fontId="31" fillId="0" borderId="36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12" borderId="36" xfId="0" applyFont="1" applyFill="1" applyBorder="1" applyAlignment="1">
      <alignment horizontal="center"/>
    </xf>
    <xf numFmtId="0" fontId="31" fillId="12" borderId="0" xfId="0" applyFont="1" applyFill="1"/>
    <xf numFmtId="0" fontId="40" fillId="0" borderId="29" xfId="0" applyFont="1" applyBorder="1"/>
    <xf numFmtId="0" fontId="31" fillId="0" borderId="31" xfId="0" applyFont="1" applyBorder="1"/>
    <xf numFmtId="0" fontId="31" fillId="12" borderId="37" xfId="0" applyFont="1" applyFill="1" applyBorder="1"/>
    <xf numFmtId="0" fontId="35" fillId="12" borderId="35" xfId="0" applyFont="1" applyFill="1" applyBorder="1" applyAlignment="1">
      <alignment horizontal="center"/>
    </xf>
    <xf numFmtId="0" fontId="30" fillId="0" borderId="35" xfId="0" applyFont="1" applyBorder="1" applyAlignment="1">
      <alignment horizontal="center"/>
    </xf>
    <xf numFmtId="0" fontId="30" fillId="12" borderId="36" xfId="0" applyFont="1" applyFill="1" applyBorder="1" applyAlignment="1">
      <alignment horizontal="center"/>
    </xf>
    <xf numFmtId="0" fontId="30" fillId="0" borderId="36" xfId="0" applyFont="1" applyBorder="1" applyAlignment="1">
      <alignment horizontal="center"/>
    </xf>
    <xf numFmtId="0" fontId="31" fillId="12" borderId="38" xfId="0" applyFont="1" applyFill="1" applyBorder="1"/>
    <xf numFmtId="0" fontId="30" fillId="12" borderId="38" xfId="0" applyFont="1" applyFill="1" applyBorder="1"/>
    <xf numFmtId="0" fontId="30" fillId="12" borderId="39" xfId="0" applyFont="1" applyFill="1" applyBorder="1" applyAlignment="1">
      <alignment horizontal="center"/>
    </xf>
    <xf numFmtId="0" fontId="35" fillId="12" borderId="36" xfId="0" applyFont="1" applyFill="1" applyBorder="1" applyAlignment="1">
      <alignment horizontal="center"/>
    </xf>
    <xf numFmtId="0" fontId="46" fillId="0" borderId="29" xfId="0" applyFont="1" applyBorder="1" applyAlignment="1">
      <alignment horizontal="center" vertical="center"/>
    </xf>
    <xf numFmtId="0" fontId="35" fillId="0" borderId="36" xfId="0" applyFont="1" applyBorder="1" applyAlignment="1">
      <alignment horizontal="center"/>
    </xf>
    <xf numFmtId="0" fontId="35" fillId="0" borderId="35" xfId="0" applyFont="1" applyBorder="1" applyAlignment="1">
      <alignment horizontal="left"/>
    </xf>
    <xf numFmtId="0" fontId="35" fillId="12" borderId="29" xfId="0" applyFont="1" applyFill="1" applyBorder="1"/>
    <xf numFmtId="0" fontId="47" fillId="0" borderId="29" xfId="0" applyFont="1" applyBorder="1"/>
    <xf numFmtId="0" fontId="40" fillId="0" borderId="35" xfId="0" applyFont="1" applyBorder="1"/>
    <xf numFmtId="0" fontId="47" fillId="12" borderId="29" xfId="0" applyFont="1" applyFill="1" applyBorder="1"/>
    <xf numFmtId="0" fontId="43" fillId="0" borderId="35" xfId="0" applyFont="1" applyBorder="1"/>
    <xf numFmtId="0" fontId="35" fillId="0" borderId="31" xfId="0" applyFont="1" applyBorder="1"/>
    <xf numFmtId="0" fontId="35" fillId="0" borderId="35" xfId="0" applyFont="1" applyBorder="1"/>
    <xf numFmtId="0" fontId="35" fillId="0" borderId="0" xfId="0" applyFont="1" applyAlignment="1">
      <alignment horizontal="center"/>
    </xf>
    <xf numFmtId="0" fontId="35" fillId="0" borderId="40" xfId="0" applyFont="1" applyBorder="1"/>
    <xf numFmtId="0" fontId="35" fillId="0" borderId="0" xfId="0" applyFont="1"/>
    <xf numFmtId="0" fontId="31" fillId="0" borderId="40" xfId="0" applyFont="1" applyBorder="1"/>
    <xf numFmtId="0" fontId="30" fillId="0" borderId="0" xfId="0" applyFont="1"/>
    <xf numFmtId="0" fontId="35" fillId="12" borderId="0" xfId="0" applyFont="1" applyFill="1" applyAlignment="1">
      <alignment horizontal="center"/>
    </xf>
    <xf numFmtId="0" fontId="47" fillId="0" borderId="40" xfId="0" applyFont="1" applyBorder="1"/>
    <xf numFmtId="0" fontId="47" fillId="0" borderId="0" xfId="0" applyFont="1"/>
    <xf numFmtId="0" fontId="47" fillId="12" borderId="40" xfId="0" applyFont="1" applyFill="1" applyBorder="1"/>
    <xf numFmtId="0" fontId="47" fillId="12" borderId="0" xfId="0" applyFont="1" applyFill="1"/>
    <xf numFmtId="0" fontId="30" fillId="13" borderId="36" xfId="0" applyFont="1" applyFill="1" applyBorder="1" applyAlignment="1">
      <alignment horizontal="center"/>
    </xf>
    <xf numFmtId="0" fontId="48" fillId="13" borderId="33" xfId="0" applyFont="1" applyFill="1" applyBorder="1" applyAlignment="1">
      <alignment horizontal="centerContinuous" vertical="center"/>
    </xf>
    <xf numFmtId="0" fontId="31" fillId="12" borderId="40" xfId="0" applyFont="1" applyFill="1" applyBorder="1"/>
    <xf numFmtId="0" fontId="30" fillId="12" borderId="0" xfId="0" applyFont="1" applyFill="1" applyAlignment="1">
      <alignment horizontal="center"/>
    </xf>
    <xf numFmtId="0" fontId="35" fillId="12" borderId="40" xfId="0" applyFont="1" applyFill="1" applyBorder="1"/>
    <xf numFmtId="0" fontId="35" fillId="12" borderId="0" xfId="0" applyFont="1" applyFill="1"/>
    <xf numFmtId="0" fontId="30" fillId="12" borderId="0" xfId="0" applyFont="1" applyFill="1"/>
    <xf numFmtId="0" fontId="35" fillId="0" borderId="40" xfId="0" applyFont="1" applyBorder="1" applyAlignment="1">
      <alignment horizontal="left"/>
    </xf>
    <xf numFmtId="0" fontId="47" fillId="12" borderId="36" xfId="0" applyFont="1" applyFill="1" applyBorder="1"/>
    <xf numFmtId="0" fontId="36" fillId="0" borderId="0" xfId="0" applyFont="1" applyAlignment="1">
      <alignment horizontal="center"/>
    </xf>
    <xf numFmtId="0" fontId="31" fillId="0" borderId="28" xfId="0" applyFont="1" applyBorder="1"/>
    <xf numFmtId="0" fontId="47" fillId="0" borderId="28" xfId="0" applyFont="1" applyBorder="1"/>
    <xf numFmtId="0" fontId="47" fillId="0" borderId="32" xfId="0" applyFont="1" applyBorder="1"/>
    <xf numFmtId="0" fontId="35" fillId="12" borderId="32" xfId="0" applyFont="1" applyFill="1" applyBorder="1"/>
    <xf numFmtId="0" fontId="35" fillId="12" borderId="41" xfId="0" applyFont="1" applyFill="1" applyBorder="1" applyAlignment="1">
      <alignment horizontal="center"/>
    </xf>
    <xf numFmtId="0" fontId="34" fillId="0" borderId="29" xfId="0" applyFont="1" applyBorder="1" applyAlignment="1">
      <alignment horizontal="center"/>
    </xf>
    <xf numFmtId="0" fontId="30" fillId="0" borderId="42" xfId="0" applyFont="1" applyBorder="1" applyAlignment="1">
      <alignment horizontal="center"/>
    </xf>
    <xf numFmtId="0" fontId="31" fillId="0" borderId="43" xfId="0" applyFont="1" applyBorder="1"/>
    <xf numFmtId="0" fontId="31" fillId="0" borderId="44" xfId="0" applyFont="1" applyBorder="1"/>
    <xf numFmtId="0" fontId="31" fillId="0" borderId="45" xfId="0" applyFont="1" applyBorder="1"/>
    <xf numFmtId="0" fontId="30" fillId="0" borderId="45" xfId="0" applyFont="1" applyBorder="1"/>
    <xf numFmtId="0" fontId="30" fillId="0" borderId="45" xfId="0" applyFont="1" applyBorder="1" applyAlignment="1">
      <alignment horizontal="center"/>
    </xf>
    <xf numFmtId="0" fontId="31" fillId="12" borderId="32" xfId="0" applyFont="1" applyFill="1" applyBorder="1"/>
    <xf numFmtId="0" fontId="30" fillId="12" borderId="42" xfId="0" applyFont="1" applyFill="1" applyBorder="1" applyAlignment="1">
      <alignment horizontal="center"/>
    </xf>
    <xf numFmtId="0" fontId="31" fillId="12" borderId="45" xfId="0" applyFont="1" applyFill="1" applyBorder="1"/>
    <xf numFmtId="0" fontId="30" fillId="12" borderId="45" xfId="0" applyFont="1" applyFill="1" applyBorder="1"/>
    <xf numFmtId="0" fontId="30" fillId="12" borderId="46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30" fillId="0" borderId="46" xfId="0" applyFont="1" applyBorder="1" applyAlignment="1">
      <alignment horizontal="center"/>
    </xf>
    <xf numFmtId="0" fontId="49" fillId="0" borderId="0" xfId="0" applyFont="1"/>
    <xf numFmtId="0" fontId="44" fillId="0" borderId="29" xfId="0" applyFont="1" applyBorder="1" applyAlignment="1">
      <alignment horizontal="center"/>
    </xf>
    <xf numFmtId="0" fontId="44" fillId="0" borderId="29" xfId="0" applyFont="1" applyBorder="1"/>
    <xf numFmtId="0" fontId="50" fillId="0" borderId="29" xfId="0" applyFont="1" applyBorder="1" applyAlignment="1">
      <alignment horizontal="center"/>
    </xf>
    <xf numFmtId="0" fontId="50" fillId="0" borderId="29" xfId="0" applyFont="1" applyBorder="1"/>
    <xf numFmtId="0" fontId="37" fillId="0" borderId="30" xfId="0" applyFont="1" applyBorder="1"/>
    <xf numFmtId="0" fontId="37" fillId="0" borderId="31" xfId="0" applyFont="1" applyBorder="1"/>
    <xf numFmtId="0" fontId="39" fillId="12" borderId="29" xfId="0" applyFont="1" applyFill="1" applyBorder="1" applyAlignment="1">
      <alignment horizontal="center"/>
    </xf>
    <xf numFmtId="0" fontId="51" fillId="0" borderId="0" xfId="0" applyFont="1"/>
    <xf numFmtId="0" fontId="38" fillId="0" borderId="36" xfId="0" applyFont="1" applyBorder="1"/>
    <xf numFmtId="0" fontId="38" fillId="0" borderId="0" xfId="0" applyFont="1"/>
    <xf numFmtId="0" fontId="37" fillId="0" borderId="0" xfId="0" applyFont="1"/>
    <xf numFmtId="0" fontId="37" fillId="0" borderId="36" xfId="0" applyFont="1" applyBorder="1" applyAlignment="1">
      <alignment horizontal="center"/>
    </xf>
    <xf numFmtId="0" fontId="52" fillId="9" borderId="26" xfId="0" applyFont="1" applyFill="1" applyBorder="1"/>
    <xf numFmtId="0" fontId="22" fillId="0" borderId="13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shrinkToFit="1"/>
    </xf>
    <xf numFmtId="0" fontId="8" fillId="0" borderId="0" xfId="0" applyFont="1" applyAlignment="1">
      <alignment horizontal="left"/>
    </xf>
    <xf numFmtId="0" fontId="13" fillId="4" borderId="7" xfId="0" applyFont="1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53" fillId="0" borderId="0" xfId="0" applyFont="1" applyFill="1" applyAlignment="1">
      <alignment horizontal="center" shrinkToFit="1"/>
    </xf>
    <xf numFmtId="0" fontId="53" fillId="8" borderId="0" xfId="0" applyFont="1" applyFill="1" applyAlignment="1">
      <alignment horizontal="center" shrinkToFit="1"/>
    </xf>
    <xf numFmtId="0" fontId="25" fillId="8" borderId="1" xfId="0" applyFont="1" applyFill="1" applyBorder="1" applyAlignment="1">
      <alignment vertical="top" wrapText="1"/>
    </xf>
  </cellXfs>
  <cellStyles count="2">
    <cellStyle name="Heading 1" xfId="1" builtinId="16"/>
    <cellStyle name="Normal" xfId="0" builtinId="0"/>
  </cellStyles>
  <dxfs count="26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wnloads/TKB-26-27/TKB%20AP%20DUNG%20V10.xlsx" TargetMode="External"/><Relationship Id="rId2" Type="http://schemas.openxmlformats.org/officeDocument/2006/relationships/externalLinkPath" Target="/Users/baotran/Downloads/TKB-26-27/TKB%20AP%20DUNG%20V10.xlsx" TargetMode="External"/><Relationship Id="rId1" Type="http://schemas.openxmlformats.org/officeDocument/2006/relationships/externalLinkPath" Target="/Users/baotran/Downloads/TKB-26-27/TKB%20AP%20DUNG%20V10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wnloads/TKB-26-27/DULIEU-XEPNHOM_V3.xlsx" TargetMode="External"/><Relationship Id="rId2" Type="http://schemas.openxmlformats.org/officeDocument/2006/relationships/externalLinkPath" Target="/Users/baotran/Downloads/TKB-26-27/DULIEU-XEPNHOM_V3.xlsx" TargetMode="External"/><Relationship Id="rId1" Type="http://schemas.openxmlformats.org/officeDocument/2006/relationships/externalLinkPath" Target="/Users/baotran/Downloads/TKB-26-27/DULIEU-XEPNHOM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KBC (3)"/>
      <sheetName val="TKBS (3)"/>
      <sheetName val="TKBS (4)"/>
      <sheetName val="TKBC (2)"/>
      <sheetName val="TKBC (4)"/>
      <sheetName val="TKBS (2)"/>
      <sheetName val="TKBC (5)"/>
      <sheetName val="TKBS (5)"/>
      <sheetName val="DanhSach"/>
      <sheetName val="DSLop"/>
      <sheetName val="TKBTo"/>
      <sheetName val="TKBGV"/>
      <sheetName val="TKBL"/>
      <sheetName val="TKBS"/>
      <sheetName val="TKBC"/>
      <sheetName val="SD SANG"/>
      <sheetName val="SD CHIEU"/>
      <sheetName val="IN SANG"/>
      <sheetName val="IN CHIEU"/>
      <sheetName val="XEM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C4" t="str">
            <v>A1</v>
          </cell>
          <cell r="D4" t="str">
            <v>Đoàn Văn Chất</v>
          </cell>
          <cell r="E4" t="str">
            <v>Doan Van Chat</v>
          </cell>
          <cell r="F4" t="str">
            <v>CHẤT</v>
          </cell>
          <cell r="G4" t="str">
            <v>CHAT</v>
          </cell>
          <cell r="H4" t="str">
            <v>ANH</v>
          </cell>
        </row>
        <row r="5">
          <cell r="C5" t="str">
            <v>A10</v>
          </cell>
          <cell r="D5" t="str">
            <v>Văn Huỳnh Bảo Phương</v>
          </cell>
          <cell r="E5" t="str">
            <v>Bao Phuong</v>
          </cell>
          <cell r="F5" t="str">
            <v>Bao Phuong</v>
          </cell>
          <cell r="G5" t="str">
            <v>Bao Phuong</v>
          </cell>
          <cell r="H5" t="str">
            <v>ANH</v>
          </cell>
        </row>
        <row r="6">
          <cell r="C6" t="str">
            <v>A11</v>
          </cell>
          <cell r="D6" t="str">
            <v>Phạm Thị Phương Điền</v>
          </cell>
          <cell r="E6" t="str">
            <v>Pham Thi Phuong Dien</v>
          </cell>
          <cell r="F6" t="str">
            <v>ĐIỀN</v>
          </cell>
          <cell r="G6" t="str">
            <v>DIEN</v>
          </cell>
          <cell r="H6" t="str">
            <v>ANH</v>
          </cell>
        </row>
        <row r="7">
          <cell r="C7" t="str">
            <v>A2</v>
          </cell>
          <cell r="D7" t="str">
            <v>Nguyễn Thị Thùy Dương</v>
          </cell>
          <cell r="E7" t="str">
            <v>Nguyen Thi Thuy Duong</v>
          </cell>
          <cell r="F7" t="str">
            <v>DƯƠNG</v>
          </cell>
          <cell r="G7" t="str">
            <v>DUONG</v>
          </cell>
          <cell r="H7" t="str">
            <v>ANH</v>
          </cell>
        </row>
        <row r="8">
          <cell r="C8" t="str">
            <v>A3</v>
          </cell>
          <cell r="D8" t="str">
            <v>Nguyễn Văn Hùng</v>
          </cell>
          <cell r="E8" t="str">
            <v>Nguyen Van Hung</v>
          </cell>
          <cell r="F8" t="str">
            <v>HÙNG (AV)</v>
          </cell>
          <cell r="G8" t="str">
            <v>HUNG.A</v>
          </cell>
          <cell r="H8" t="str">
            <v>ANH</v>
          </cell>
        </row>
        <row r="9">
          <cell r="C9" t="str">
            <v>A4</v>
          </cell>
          <cell r="D9" t="str">
            <v>Nguyễn Thị Tường Vy</v>
          </cell>
          <cell r="E9" t="str">
            <v>Nguyễn Thị Tường Vy</v>
          </cell>
          <cell r="F9" t="str">
            <v>Vy</v>
          </cell>
          <cell r="G9" t="str">
            <v>Vy</v>
          </cell>
          <cell r="H9" t="str">
            <v>ANH</v>
          </cell>
        </row>
        <row r="10">
          <cell r="C10" t="str">
            <v>A5</v>
          </cell>
          <cell r="D10" t="str">
            <v>Nguyễn Minh Thanh Tùng</v>
          </cell>
          <cell r="E10" t="str">
            <v>Nguyễn Minh Thanh Tùng</v>
          </cell>
          <cell r="F10" t="str">
            <v>Tùng</v>
          </cell>
          <cell r="G10" t="str">
            <v>Tùng</v>
          </cell>
          <cell r="H10" t="str">
            <v>ANH</v>
          </cell>
        </row>
        <row r="11">
          <cell r="C11" t="str">
            <v>A6</v>
          </cell>
          <cell r="D11" t="str">
            <v>Mai Lan Anh</v>
          </cell>
          <cell r="E11" t="str">
            <v>Mai Lan Anh</v>
          </cell>
          <cell r="F11" t="str">
            <v>L.Anh</v>
          </cell>
          <cell r="G11" t="str">
            <v>L.ANH</v>
          </cell>
          <cell r="H11" t="str">
            <v>ANH</v>
          </cell>
        </row>
        <row r="12">
          <cell r="C12" t="str">
            <v>A7</v>
          </cell>
          <cell r="D12" t="str">
            <v>Trần Thị Mỹ Thanh</v>
          </cell>
          <cell r="E12" t="str">
            <v>Tran Thi My Thanh</v>
          </cell>
          <cell r="F12" t="str">
            <v>M. THANH</v>
          </cell>
          <cell r="G12" t="str">
            <v>M. THANH</v>
          </cell>
          <cell r="H12" t="str">
            <v>ANH</v>
          </cell>
        </row>
        <row r="13">
          <cell r="C13" t="str">
            <v>A8</v>
          </cell>
          <cell r="D13" t="str">
            <v>Nguyễn Xuân Thu</v>
          </cell>
          <cell r="E13" t="str">
            <v>Nguyen Xuan Thu</v>
          </cell>
          <cell r="F13" t="str">
            <v>THU (AV)</v>
          </cell>
          <cell r="G13" t="str">
            <v>THU (AV)</v>
          </cell>
          <cell r="H13" t="str">
            <v>ANH</v>
          </cell>
        </row>
        <row r="14">
          <cell r="C14" t="str">
            <v>AV1</v>
          </cell>
          <cell r="D14" t="str">
            <v>Tiếng Anh 1</v>
          </cell>
          <cell r="E14" t="str">
            <v>AVBN</v>
          </cell>
          <cell r="F14" t="str">
            <v>AVBN</v>
          </cell>
          <cell r="G14" t="str">
            <v>AVBN</v>
          </cell>
          <cell r="H14" t="str">
            <v>AVBN</v>
          </cell>
        </row>
        <row r="15">
          <cell r="C15" t="str">
            <v>AV2</v>
          </cell>
          <cell r="D15" t="str">
            <v>Tiếng Anh 2</v>
          </cell>
          <cell r="E15" t="str">
            <v>AVBN</v>
          </cell>
          <cell r="F15" t="str">
            <v>AVBN</v>
          </cell>
          <cell r="G15" t="str">
            <v>AVBN</v>
          </cell>
          <cell r="H15" t="str">
            <v>AVBN</v>
          </cell>
        </row>
        <row r="16">
          <cell r="C16" t="str">
            <v>AV3</v>
          </cell>
          <cell r="D16" t="str">
            <v>Tiếng Anh 3</v>
          </cell>
          <cell r="E16" t="str">
            <v>AVBN</v>
          </cell>
          <cell r="F16" t="str">
            <v>AVBN</v>
          </cell>
          <cell r="G16" t="str">
            <v>AVBN</v>
          </cell>
          <cell r="H16" t="str">
            <v>AVBN</v>
          </cell>
        </row>
        <row r="17">
          <cell r="C17" t="str">
            <v>L12HN</v>
          </cell>
          <cell r="D17" t="str">
            <v>Nguyễn Tường Thịnh</v>
          </cell>
          <cell r="E17" t="str">
            <v>Nguyen Tuong Thinh</v>
          </cell>
          <cell r="F17" t="str">
            <v>THINH</v>
          </cell>
          <cell r="G17" t="str">
            <v>THINH</v>
          </cell>
          <cell r="H17" t="str">
            <v>TNHN</v>
          </cell>
        </row>
        <row r="18">
          <cell r="C18" t="str">
            <v>C2</v>
          </cell>
          <cell r="D18" t="str">
            <v>Trần Như Thảo</v>
          </cell>
          <cell r="E18" t="str">
            <v>Tran Nhu Thao</v>
          </cell>
          <cell r="F18" t="str">
            <v>THẢO (CN)</v>
          </cell>
          <cell r="G18" t="str">
            <v>THAO (CN)</v>
          </cell>
          <cell r="H18" t="str">
            <v>C. NGHỆ</v>
          </cell>
        </row>
        <row r="19">
          <cell r="C19" t="str">
            <v>C3</v>
          </cell>
          <cell r="D19" t="str">
            <v>Nguyễn Thị Tuyết Nhung</v>
          </cell>
          <cell r="E19" t="str">
            <v>Nguyễn Thị Tuyết Nhung</v>
          </cell>
          <cell r="F19" t="str">
            <v>NHUNG</v>
          </cell>
          <cell r="G19" t="str">
            <v>NHUNG</v>
          </cell>
          <cell r="H19" t="str">
            <v>C. NGHỆ</v>
          </cell>
        </row>
        <row r="20">
          <cell r="C20" t="str">
            <v>C4</v>
          </cell>
          <cell r="D20" t="str">
            <v>Vũ Đình Hoài Thanh</v>
          </cell>
          <cell r="E20" t="str">
            <v>Vu Dinh Hoai Thanh</v>
          </cell>
          <cell r="F20" t="str">
            <v>H.THANH</v>
          </cell>
          <cell r="G20" t="str">
            <v>H.THANH</v>
          </cell>
          <cell r="H20" t="str">
            <v>C. NGHỆ</v>
          </cell>
        </row>
        <row r="21">
          <cell r="C21" t="str">
            <v>D2</v>
          </cell>
          <cell r="D21" t="str">
            <v>Phạm Thị Thu Hường</v>
          </cell>
          <cell r="E21" t="str">
            <v>Phạm Thị Thu Hường</v>
          </cell>
          <cell r="F21" t="str">
            <v>HƯỜNG</v>
          </cell>
          <cell r="G21" t="str">
            <v>HƯƠNG</v>
          </cell>
          <cell r="H21" t="str">
            <v>ĐỊA</v>
          </cell>
        </row>
        <row r="22">
          <cell r="C22" t="str">
            <v>D3</v>
          </cell>
          <cell r="D22" t="str">
            <v>Bùi Thị Thủy Tiên</v>
          </cell>
          <cell r="E22" t="str">
            <v>Bui Thi Thuy Tien</v>
          </cell>
          <cell r="F22" t="str">
            <v>TIÊN</v>
          </cell>
          <cell r="G22" t="str">
            <v>TIEN</v>
          </cell>
          <cell r="H22" t="str">
            <v>ĐỊA</v>
          </cell>
        </row>
        <row r="23">
          <cell r="C23" t="str">
            <v>D4</v>
          </cell>
          <cell r="D23" t="str">
            <v>Đào Thị  Thành</v>
          </cell>
          <cell r="E23" t="str">
            <v>Dao Thi Thanh</v>
          </cell>
          <cell r="F23" t="str">
            <v>THÀNH (Đ)</v>
          </cell>
          <cell r="G23" t="str">
            <v>THANH (Đ)</v>
          </cell>
          <cell r="H23" t="str">
            <v>ĐỊA</v>
          </cell>
        </row>
        <row r="24">
          <cell r="C24" t="str">
            <v>D5</v>
          </cell>
          <cell r="D24" t="str">
            <v xml:space="preserve">Huỳnh Thị Bích Huyền </v>
          </cell>
          <cell r="E24" t="str">
            <v>Huynh Thi Bich Huyen</v>
          </cell>
          <cell r="F24" t="str">
            <v>HUYỀN</v>
          </cell>
          <cell r="G24" t="str">
            <v>HUYEN</v>
          </cell>
          <cell r="H24" t="str">
            <v>ĐỊA</v>
          </cell>
        </row>
        <row r="25">
          <cell r="C25" t="str">
            <v>D3GD</v>
          </cell>
          <cell r="D25" t="str">
            <v>Bùi Thị Thủy Tiên</v>
          </cell>
          <cell r="E25" t="str">
            <v>Bui Thi Thuy Tien</v>
          </cell>
          <cell r="F25" t="str">
            <v>TIÊN</v>
          </cell>
          <cell r="G25" t="str">
            <v>TIEN</v>
          </cell>
          <cell r="H25" t="str">
            <v>GDĐP</v>
          </cell>
        </row>
        <row r="26">
          <cell r="C26" t="str">
            <v>E1GD</v>
          </cell>
          <cell r="D26" t="str">
            <v>Nguyễn Thị Tuyết Nhung</v>
          </cell>
          <cell r="E26" t="str">
            <v>Nguyễn Thị Tuyết Nhung</v>
          </cell>
          <cell r="F26" t="str">
            <v>NHUNG</v>
          </cell>
          <cell r="G26" t="str">
            <v>NHUNG</v>
          </cell>
          <cell r="H26" t="str">
            <v>GDĐP</v>
          </cell>
        </row>
        <row r="27">
          <cell r="C27" t="str">
            <v>E2GD</v>
          </cell>
          <cell r="D27" t="str">
            <v>Trần Thị Mỹ Sương</v>
          </cell>
          <cell r="E27" t="str">
            <v>Tran Thi My Suong</v>
          </cell>
          <cell r="F27" t="str">
            <v>SƯƠNG</v>
          </cell>
          <cell r="G27" t="str">
            <v>SUONG (GD)</v>
          </cell>
          <cell r="H27" t="str">
            <v>GDĐP</v>
          </cell>
        </row>
        <row r="28">
          <cell r="C28" t="str">
            <v>E3GD</v>
          </cell>
          <cell r="D28" t="str">
            <v>Mã Thị Minh Thi</v>
          </cell>
          <cell r="E28" t="str">
            <v>THI</v>
          </cell>
          <cell r="F28" t="str">
            <v>M.THI</v>
          </cell>
          <cell r="G28" t="str">
            <v>THI</v>
          </cell>
          <cell r="H28" t="str">
            <v>GDĐP</v>
          </cell>
        </row>
        <row r="29">
          <cell r="C29" t="str">
            <v>E6GD</v>
          </cell>
          <cell r="D29" t="str">
            <v xml:space="preserve">Trần Thị Khuyên </v>
          </cell>
          <cell r="E29" t="str">
            <v>Tran Thi Khuyen</v>
          </cell>
          <cell r="F29" t="str">
            <v>KHUYÊN</v>
          </cell>
          <cell r="G29" t="str">
            <v>KHUYÊN</v>
          </cell>
          <cell r="H29" t="str">
            <v>GDĐP</v>
          </cell>
        </row>
        <row r="30">
          <cell r="C30" t="str">
            <v>E7GD</v>
          </cell>
          <cell r="D30" t="str">
            <v>NGUYỄN THỊ QUỲNH DIỄM</v>
          </cell>
          <cell r="E30" t="str">
            <v>DIỄM</v>
          </cell>
          <cell r="F30" t="str">
            <v>DIỄM</v>
          </cell>
          <cell r="G30" t="str">
            <v>DIỄM</v>
          </cell>
          <cell r="H30" t="str">
            <v>GDĐP</v>
          </cell>
        </row>
        <row r="31">
          <cell r="C31" t="str">
            <v>E8GD</v>
          </cell>
          <cell r="D31" t="str">
            <v>Nguyễn Bảo Trang</v>
          </cell>
          <cell r="E31" t="str">
            <v>Nguyen Bao Trang</v>
          </cell>
          <cell r="F31" t="str">
            <v>B.Trang</v>
          </cell>
          <cell r="G31" t="str">
            <v>Trang (Si)</v>
          </cell>
          <cell r="H31" t="str">
            <v>GDĐP</v>
          </cell>
        </row>
        <row r="32">
          <cell r="C32" t="str">
            <v>GD10</v>
          </cell>
          <cell r="D32" t="str">
            <v>Nguyễn Thụy Diễm Linh</v>
          </cell>
          <cell r="E32" t="str">
            <v>Nguyen Thuy Diem Linh</v>
          </cell>
          <cell r="F32" t="str">
            <v>Linh (TV)</v>
          </cell>
          <cell r="G32" t="str">
            <v>Linh (TV)</v>
          </cell>
          <cell r="H32" t="str">
            <v>GDĐP</v>
          </cell>
        </row>
        <row r="33">
          <cell r="C33" t="str">
            <v>L10GD</v>
          </cell>
          <cell r="D33" t="str">
            <v>VŨ THANH VÂN</v>
          </cell>
          <cell r="E33" t="str">
            <v>VÂN</v>
          </cell>
          <cell r="F33" t="str">
            <v>VÂN</v>
          </cell>
          <cell r="G33" t="str">
            <v>VÂN</v>
          </cell>
          <cell r="H33" t="str">
            <v>GDĐP</v>
          </cell>
        </row>
        <row r="34">
          <cell r="C34" t="str">
            <v>L12GD</v>
          </cell>
          <cell r="D34" t="str">
            <v>Nguyễn Tường Thịnh</v>
          </cell>
          <cell r="E34" t="str">
            <v>Nguyen Tuong Thinh</v>
          </cell>
          <cell r="F34" t="str">
            <v>THINH</v>
          </cell>
          <cell r="G34" t="str">
            <v>THINH</v>
          </cell>
          <cell r="H34" t="str">
            <v>GDĐP</v>
          </cell>
        </row>
        <row r="35">
          <cell r="C35" t="str">
            <v>L1GD</v>
          </cell>
          <cell r="D35" t="str">
            <v>Trần Hồng Uyên</v>
          </cell>
          <cell r="E35" t="str">
            <v>Trần Hồng Uyên</v>
          </cell>
          <cell r="F35" t="str">
            <v>UYÊN</v>
          </cell>
          <cell r="G35" t="str">
            <v>UYEN</v>
          </cell>
          <cell r="H35" t="str">
            <v>GDĐP</v>
          </cell>
        </row>
        <row r="36">
          <cell r="C36" t="str">
            <v>L3GD</v>
          </cell>
          <cell r="D36" t="str">
            <v>Nguyễn Thị Xuân Hương</v>
          </cell>
          <cell r="E36" t="str">
            <v>Nguyen Thi Xuan Huong</v>
          </cell>
          <cell r="F36" t="str">
            <v>HƯƠNG (L)</v>
          </cell>
          <cell r="G36" t="str">
            <v>HUONG</v>
          </cell>
          <cell r="H36" t="str">
            <v>GDĐP</v>
          </cell>
        </row>
        <row r="37">
          <cell r="C37" t="str">
            <v>L5GD</v>
          </cell>
          <cell r="D37" t="str">
            <v>Cao Đình Trung Hậu</v>
          </cell>
          <cell r="E37" t="str">
            <v>HẬU</v>
          </cell>
          <cell r="F37" t="str">
            <v>HẬU</v>
          </cell>
          <cell r="G37" t="str">
            <v>HẬU (GD)</v>
          </cell>
          <cell r="H37" t="str">
            <v>GDĐP</v>
          </cell>
        </row>
        <row r="38">
          <cell r="C38" t="str">
            <v>L7GD</v>
          </cell>
          <cell r="D38" t="str">
            <v>TRẦN THỊ HẠNH</v>
          </cell>
          <cell r="E38" t="str">
            <v>HẠNH</v>
          </cell>
          <cell r="F38" t="str">
            <v>HẠNH</v>
          </cell>
          <cell r="G38" t="str">
            <v>HẠNH</v>
          </cell>
          <cell r="H38" t="str">
            <v>GDĐP</v>
          </cell>
        </row>
        <row r="39">
          <cell r="C39" t="str">
            <v>M1GD</v>
          </cell>
          <cell r="D39" t="str">
            <v>Tưởng Đông Diệm</v>
          </cell>
          <cell r="E39" t="str">
            <v>Tuong Dong Diem</v>
          </cell>
          <cell r="F39" t="str">
            <v>DIỆM (DP)</v>
          </cell>
          <cell r="G39" t="str">
            <v>DIỆM (GD)</v>
          </cell>
          <cell r="H39" t="str">
            <v>GDĐP</v>
          </cell>
        </row>
        <row r="40">
          <cell r="C40" t="str">
            <v>S2GD</v>
          </cell>
          <cell r="D40" t="str">
            <v>Ngô Thúy Duy</v>
          </cell>
          <cell r="E40" t="str">
            <v>Ngô Thuy Duy</v>
          </cell>
          <cell r="F40" t="str">
            <v>Duy</v>
          </cell>
          <cell r="G40" t="str">
            <v>Duy (GD)</v>
          </cell>
          <cell r="H40" t="str">
            <v>GDĐP</v>
          </cell>
        </row>
        <row r="41">
          <cell r="C41" t="str">
            <v>S3GD</v>
          </cell>
          <cell r="D41" t="str">
            <v xml:space="preserve">Lê Thị Nhật Thảo </v>
          </cell>
          <cell r="E41" t="str">
            <v>Le Thi Nhat Thao</v>
          </cell>
          <cell r="F41" t="str">
            <v>THẢO</v>
          </cell>
          <cell r="G41" t="str">
            <v>THAO</v>
          </cell>
          <cell r="H41" t="str">
            <v>GDĐP</v>
          </cell>
        </row>
        <row r="42">
          <cell r="C42" t="str">
            <v>S7GD</v>
          </cell>
          <cell r="D42" t="str">
            <v>Nguyễn Phước Khôi</v>
          </cell>
          <cell r="E42" t="str">
            <v>Nguyễn Phước Khôi</v>
          </cell>
          <cell r="F42" t="str">
            <v>KHÔI</v>
          </cell>
          <cell r="G42" t="str">
            <v>KHÔI (GD)</v>
          </cell>
          <cell r="H42" t="str">
            <v>GDĐP</v>
          </cell>
        </row>
        <row r="43">
          <cell r="C43" t="str">
            <v>T5GD</v>
          </cell>
          <cell r="D43" t="str">
            <v>Nguyễn Việt Phương</v>
          </cell>
          <cell r="E43" t="str">
            <v>Nguyễn Việt Phương</v>
          </cell>
          <cell r="F43" t="str">
            <v>V.PHƯƠNG</v>
          </cell>
          <cell r="G43" t="str">
            <v>Phuong</v>
          </cell>
          <cell r="H43" t="str">
            <v>GDĐP</v>
          </cell>
        </row>
        <row r="44">
          <cell r="C44" t="str">
            <v>V11GD</v>
          </cell>
          <cell r="D44" t="str">
            <v>Nguyễn Đình Khoa</v>
          </cell>
          <cell r="E44" t="str">
            <v>Nguyen Dinh Khoa</v>
          </cell>
          <cell r="F44" t="str">
            <v>KHOA</v>
          </cell>
          <cell r="G44" t="str">
            <v>KHOA</v>
          </cell>
          <cell r="H44" t="str">
            <v>GDĐP</v>
          </cell>
        </row>
        <row r="45">
          <cell r="C45" t="str">
            <v>V12GD</v>
          </cell>
          <cell r="D45" t="str">
            <v>Lê Thị Phượng</v>
          </cell>
          <cell r="E45" t="str">
            <v>PHƯỢNG</v>
          </cell>
          <cell r="F45" t="str">
            <v>PHƯỢNG</v>
          </cell>
          <cell r="G45" t="str">
            <v>PHUONG</v>
          </cell>
          <cell r="H45" t="str">
            <v>GDĐP</v>
          </cell>
        </row>
        <row r="46">
          <cell r="C46" t="str">
            <v>Q1</v>
          </cell>
          <cell r="D46" t="str">
            <v>Hoàng Thị Tứ</v>
          </cell>
          <cell r="E46" t="str">
            <v>Hoang Thi Tu</v>
          </cell>
          <cell r="F46" t="str">
            <v>TỨ</v>
          </cell>
          <cell r="G46" t="str">
            <v>TU</v>
          </cell>
          <cell r="H46" t="str">
            <v>GDQP</v>
          </cell>
        </row>
        <row r="47">
          <cell r="C47" t="str">
            <v>Q1GD</v>
          </cell>
          <cell r="D47" t="str">
            <v>Hoàng Thị Tứ</v>
          </cell>
          <cell r="E47" t="str">
            <v>Hoang Thi Tu</v>
          </cell>
          <cell r="F47" t="str">
            <v>TỨ</v>
          </cell>
          <cell r="G47" t="str">
            <v>TU</v>
          </cell>
          <cell r="H47" t="str">
            <v>GDQP</v>
          </cell>
        </row>
        <row r="48">
          <cell r="C48" t="str">
            <v>Q2</v>
          </cell>
          <cell r="D48" t="str">
            <v>Hồ Văn Vĩnh</v>
          </cell>
          <cell r="E48" t="str">
            <v>Ho Van Vinh</v>
          </cell>
          <cell r="F48" t="str">
            <v>VĨNH</v>
          </cell>
          <cell r="G48" t="str">
            <v>VINH</v>
          </cell>
          <cell r="H48" t="str">
            <v>GDQP</v>
          </cell>
        </row>
        <row r="49">
          <cell r="C49" t="str">
            <v>Q3</v>
          </cell>
          <cell r="D49" t="str">
            <v>Hồ Phương Thảo</v>
          </cell>
          <cell r="E49" t="str">
            <v>Hồ Phương Thảo</v>
          </cell>
          <cell r="F49" t="str">
            <v>THẢO (QP)</v>
          </cell>
          <cell r="G49" t="str">
            <v>THẢO (QP)</v>
          </cell>
          <cell r="H49" t="str">
            <v>GDQP</v>
          </cell>
        </row>
        <row r="50">
          <cell r="C50" t="str">
            <v>Q3GD</v>
          </cell>
          <cell r="D50" t="str">
            <v>Hồ Phương Thảo</v>
          </cell>
          <cell r="E50" t="str">
            <v>Hồ Phương Thảo</v>
          </cell>
          <cell r="F50" t="str">
            <v>THẢO (QP)</v>
          </cell>
          <cell r="G50" t="str">
            <v>THẢO (QP)</v>
          </cell>
          <cell r="H50" t="str">
            <v>GDQP</v>
          </cell>
        </row>
        <row r="51">
          <cell r="C51" t="str">
            <v>H1</v>
          </cell>
          <cell r="D51" t="str">
            <v>Lâm Gia Hân</v>
          </cell>
          <cell r="E51" t="str">
            <v>Lâm Gia Hân</v>
          </cell>
          <cell r="F51" t="str">
            <v>HÂN</v>
          </cell>
          <cell r="G51" t="str">
            <v>HAN</v>
          </cell>
          <cell r="H51" t="str">
            <v>HÓA</v>
          </cell>
        </row>
        <row r="52">
          <cell r="C52" t="str">
            <v>H2</v>
          </cell>
          <cell r="D52" t="str">
            <v>Nguyễn Trần Mai Thanh</v>
          </cell>
          <cell r="E52" t="str">
            <v>Nguyen Tran Mai Thanh</v>
          </cell>
          <cell r="F52" t="str">
            <v>THANH (H)</v>
          </cell>
          <cell r="G52" t="str">
            <v>THANH(H)</v>
          </cell>
          <cell r="H52" t="str">
            <v>HÓA</v>
          </cell>
        </row>
        <row r="53">
          <cell r="C53" t="str">
            <v>H4</v>
          </cell>
          <cell r="D53" t="str">
            <v>Nguyễn Quốc Dũng</v>
          </cell>
          <cell r="E53" t="str">
            <v>Nguyen Quoc Dung</v>
          </cell>
          <cell r="F53" t="str">
            <v>DŨNG</v>
          </cell>
          <cell r="G53" t="str">
            <v>DUNG</v>
          </cell>
          <cell r="H53" t="str">
            <v>HÓA</v>
          </cell>
        </row>
        <row r="54">
          <cell r="C54" t="str">
            <v>H5</v>
          </cell>
          <cell r="D54" t="str">
            <v>Nguyễn Văn Trọng</v>
          </cell>
          <cell r="E54" t="str">
            <v>Nguyen Van Trong</v>
          </cell>
          <cell r="F54" t="str">
            <v>TRỌNG</v>
          </cell>
          <cell r="G54" t="str">
            <v>TRONG</v>
          </cell>
          <cell r="H54" t="str">
            <v>HÓA</v>
          </cell>
        </row>
        <row r="55">
          <cell r="C55" t="str">
            <v>H6</v>
          </cell>
          <cell r="D55" t="str">
            <v>Nguyễn Thị Ngọc Minh</v>
          </cell>
          <cell r="E55" t="str">
            <v>Nguyen Thi Ngoc Minh</v>
          </cell>
          <cell r="F55" t="str">
            <v>MINH (H)</v>
          </cell>
          <cell r="G55" t="str">
            <v>MINH</v>
          </cell>
          <cell r="H55" t="str">
            <v>HÓA</v>
          </cell>
        </row>
        <row r="56">
          <cell r="C56" t="str">
            <v>H7</v>
          </cell>
          <cell r="D56" t="str">
            <v>Truương Ngọc Anh Luân</v>
          </cell>
          <cell r="E56" t="str">
            <v>Truong Ngoc Anh Luân</v>
          </cell>
          <cell r="F56" t="str">
            <v>LUÂN</v>
          </cell>
          <cell r="G56" t="str">
            <v>LUAN</v>
          </cell>
          <cell r="H56" t="str">
            <v>HÓA</v>
          </cell>
        </row>
        <row r="57">
          <cell r="C57" t="str">
            <v>H9</v>
          </cell>
          <cell r="D57" t="str">
            <v>Nguyễn Thị Diến</v>
          </cell>
          <cell r="E57" t="str">
            <v>Nguyen Thi Dien</v>
          </cell>
          <cell r="F57" t="str">
            <v>DIẾN</v>
          </cell>
          <cell r="G57" t="str">
            <v>DIEN</v>
          </cell>
          <cell r="H57" t="str">
            <v>HÓA</v>
          </cell>
        </row>
        <row r="58">
          <cell r="C58" t="str">
            <v>G2</v>
          </cell>
          <cell r="D58" t="str">
            <v>Trần Thị Xuân Đào</v>
          </cell>
          <cell r="E58" t="str">
            <v>Tran Thi Xuan Dao</v>
          </cell>
          <cell r="F58" t="str">
            <v>ĐÀO</v>
          </cell>
          <cell r="G58" t="str">
            <v>DAO</v>
          </cell>
          <cell r="H58" t="str">
            <v>KT&amp;PL</v>
          </cell>
        </row>
        <row r="59">
          <cell r="C59" t="str">
            <v>G3</v>
          </cell>
          <cell r="D59" t="str">
            <v>Mai Thị Bích Phương</v>
          </cell>
          <cell r="E59" t="str">
            <v>Mai Thi Bich Phuong</v>
          </cell>
          <cell r="F59" t="str">
            <v>B.PHƯƠNG</v>
          </cell>
          <cell r="G59" t="str">
            <v>B.PHUONG</v>
          </cell>
          <cell r="H59" t="str">
            <v>KT&amp;PL</v>
          </cell>
        </row>
        <row r="60">
          <cell r="C60" t="str">
            <v>G5</v>
          </cell>
          <cell r="D60" t="str">
            <v>Lê Thị Tuyết Thu</v>
          </cell>
          <cell r="E60" t="str">
            <v>Lê Thị Tuyết Thu</v>
          </cell>
          <cell r="F60" t="str">
            <v>THU (KTPL)</v>
          </cell>
          <cell r="G60" t="str">
            <v>THU (KTPL)</v>
          </cell>
          <cell r="H60" t="str">
            <v>KT&amp;PL</v>
          </cell>
        </row>
        <row r="61">
          <cell r="C61" t="str">
            <v>G6</v>
          </cell>
          <cell r="D61" t="str">
            <v>Trần Thị Hằng</v>
          </cell>
          <cell r="E61" t="str">
            <v>Trần Thị Hằng</v>
          </cell>
          <cell r="F61" t="str">
            <v>HẰNG (KTPL)</v>
          </cell>
          <cell r="G61" t="str">
            <v>HẰNG (KTPL)</v>
          </cell>
          <cell r="H61" t="str">
            <v>KT&amp;PL</v>
          </cell>
        </row>
        <row r="62">
          <cell r="C62" t="str">
            <v>L1</v>
          </cell>
          <cell r="D62" t="str">
            <v>Trần Hồng Uyên</v>
          </cell>
          <cell r="E62" t="str">
            <v>Trần Hồng Uyên</v>
          </cell>
          <cell r="F62" t="str">
            <v>UYÊN</v>
          </cell>
          <cell r="G62" t="str">
            <v>UYEN</v>
          </cell>
          <cell r="H62" t="str">
            <v>LÝ</v>
          </cell>
        </row>
        <row r="63">
          <cell r="C63" t="str">
            <v>L10</v>
          </cell>
          <cell r="D63" t="str">
            <v>Vũ Thanh Vân</v>
          </cell>
          <cell r="E63" t="str">
            <v>Vu Thanh Van</v>
          </cell>
          <cell r="F63" t="str">
            <v>VÂN (L)</v>
          </cell>
          <cell r="G63" t="str">
            <v>T.VAN</v>
          </cell>
          <cell r="H63" t="str">
            <v>LÝ</v>
          </cell>
        </row>
        <row r="64">
          <cell r="C64" t="str">
            <v>L11</v>
          </cell>
          <cell r="D64" t="str">
            <v>Hồ Văn Bình</v>
          </cell>
          <cell r="E64" t="str">
            <v>Ho Van Binh</v>
          </cell>
          <cell r="F64" t="str">
            <v>BÌNH</v>
          </cell>
          <cell r="G64" t="str">
            <v>BINH</v>
          </cell>
          <cell r="H64" t="str">
            <v>LÝ</v>
          </cell>
        </row>
        <row r="65">
          <cell r="C65" t="str">
            <v>L12</v>
          </cell>
          <cell r="D65" t="str">
            <v>Nguyễn Tường Thịnh</v>
          </cell>
          <cell r="E65" t="str">
            <v>Nguyen Tuong Thinh</v>
          </cell>
          <cell r="F65" t="str">
            <v>THINH</v>
          </cell>
          <cell r="G65" t="str">
            <v>THINH</v>
          </cell>
          <cell r="H65" t="str">
            <v>LÝ</v>
          </cell>
        </row>
        <row r="66">
          <cell r="C66" t="str">
            <v>L3</v>
          </cell>
          <cell r="D66" t="str">
            <v>Nguyễn Thị Xuân Hương</v>
          </cell>
          <cell r="E66" t="str">
            <v>Nguyen Thi Xuan Huong</v>
          </cell>
          <cell r="F66" t="str">
            <v>HƯƠNG (L)</v>
          </cell>
          <cell r="G66" t="str">
            <v>HUONG</v>
          </cell>
          <cell r="H66" t="str">
            <v>LÝ</v>
          </cell>
        </row>
        <row r="67">
          <cell r="C67" t="str">
            <v>L4</v>
          </cell>
          <cell r="D67" t="str">
            <v xml:space="preserve">Trần Thị Lam Hồng </v>
          </cell>
          <cell r="E67" t="str">
            <v>Tran Thi Lam Hong</v>
          </cell>
          <cell r="F67" t="str">
            <v>L.HỒNG</v>
          </cell>
          <cell r="G67" t="str">
            <v>HONG</v>
          </cell>
          <cell r="H67" t="str">
            <v>LÝ</v>
          </cell>
        </row>
        <row r="68">
          <cell r="C68" t="str">
            <v>L5</v>
          </cell>
          <cell r="D68" t="str">
            <v>Cao Đình Trung Hậu</v>
          </cell>
          <cell r="E68" t="str">
            <v>HẬU</v>
          </cell>
          <cell r="F68" t="str">
            <v>HẬU</v>
          </cell>
          <cell r="G68" t="str">
            <v>HẬU</v>
          </cell>
          <cell r="H68" t="str">
            <v>LÝ</v>
          </cell>
        </row>
        <row r="69">
          <cell r="C69" t="str">
            <v>L6</v>
          </cell>
          <cell r="D69" t="str">
            <v>Ngô Phát Thương</v>
          </cell>
          <cell r="E69" t="str">
            <v>Ngo Phat Thuong</v>
          </cell>
          <cell r="F69" t="str">
            <v>THƯƠNG</v>
          </cell>
          <cell r="G69" t="str">
            <v>THUONG</v>
          </cell>
          <cell r="H69" t="str">
            <v>LÝ</v>
          </cell>
        </row>
        <row r="70">
          <cell r="C70" t="str">
            <v>L7</v>
          </cell>
          <cell r="D70" t="str">
            <v>Trần Thị Hạnh</v>
          </cell>
          <cell r="E70" t="str">
            <v>Tran Thi Hanh</v>
          </cell>
          <cell r="F70" t="str">
            <v>HẠNH (L)</v>
          </cell>
          <cell r="G70" t="str">
            <v>HANH(L)</v>
          </cell>
          <cell r="H70" t="str">
            <v>LÝ</v>
          </cell>
        </row>
        <row r="71">
          <cell r="C71" t="str">
            <v>L8</v>
          </cell>
          <cell r="D71" t="str">
            <v>Nguyễn Minh Hoàng</v>
          </cell>
          <cell r="E71" t="str">
            <v>Nguyen Minh Hoang</v>
          </cell>
          <cell r="F71" t="str">
            <v>HOÀNG</v>
          </cell>
          <cell r="G71" t="str">
            <v>HOANG</v>
          </cell>
          <cell r="H71" t="str">
            <v>LÝ</v>
          </cell>
        </row>
        <row r="72">
          <cell r="C72" t="str">
            <v>L9</v>
          </cell>
          <cell r="D72" t="str">
            <v>Dương Anh Quang</v>
          </cell>
          <cell r="E72" t="str">
            <v>Duong Anh Quang</v>
          </cell>
          <cell r="F72" t="str">
            <v>QUANG (L)</v>
          </cell>
          <cell r="G72" t="str">
            <v>QUANG</v>
          </cell>
          <cell r="H72" t="str">
            <v>LÝ</v>
          </cell>
        </row>
        <row r="73">
          <cell r="C73" t="str">
            <v>E1</v>
          </cell>
          <cell r="D73" t="str">
            <v>Nguyễn Thị Tuyết Nhung</v>
          </cell>
          <cell r="E73" t="str">
            <v>Nguyễn Thị Tuyết Nhung</v>
          </cell>
          <cell r="F73" t="str">
            <v>NHUNG</v>
          </cell>
          <cell r="G73" t="str">
            <v>NHUNG</v>
          </cell>
          <cell r="H73" t="str">
            <v>SINH</v>
          </cell>
        </row>
        <row r="74">
          <cell r="C74" t="str">
            <v>E2</v>
          </cell>
          <cell r="D74" t="str">
            <v>Trần Thị Mỹ Sương</v>
          </cell>
          <cell r="E74" t="str">
            <v>Tran Thi My Suong</v>
          </cell>
          <cell r="F74" t="str">
            <v>SƯƠNG</v>
          </cell>
          <cell r="G74" t="str">
            <v>SUONG</v>
          </cell>
          <cell r="H74" t="str">
            <v>SINH</v>
          </cell>
        </row>
        <row r="75">
          <cell r="C75" t="str">
            <v>E3</v>
          </cell>
          <cell r="D75" t="str">
            <v>Mã Thị Minh Thi</v>
          </cell>
          <cell r="E75" t="str">
            <v>THI</v>
          </cell>
          <cell r="F75" t="str">
            <v>M.THI</v>
          </cell>
          <cell r="G75" t="str">
            <v>THI</v>
          </cell>
          <cell r="H75" t="str">
            <v>SINH</v>
          </cell>
        </row>
        <row r="76">
          <cell r="C76" t="str">
            <v>E6</v>
          </cell>
          <cell r="D76" t="str">
            <v xml:space="preserve">Trần Thị Khuyên </v>
          </cell>
          <cell r="E76" t="str">
            <v>Tran Thi Khuyen</v>
          </cell>
          <cell r="F76" t="str">
            <v>KHUYÊN</v>
          </cell>
          <cell r="G76" t="str">
            <v>KHUYEN</v>
          </cell>
          <cell r="H76" t="str">
            <v>SINH</v>
          </cell>
        </row>
        <row r="77">
          <cell r="C77" t="str">
            <v>E7</v>
          </cell>
          <cell r="D77" t="str">
            <v>Nguyễn Thị Quỳnh Diễm</v>
          </cell>
          <cell r="E77" t="str">
            <v>Nguyễn Thị Quỳnh Diễm</v>
          </cell>
          <cell r="F77" t="str">
            <v>DIỄM</v>
          </cell>
          <cell r="G77" t="str">
            <v>DIỄM</v>
          </cell>
          <cell r="H77" t="str">
            <v>SINH</v>
          </cell>
        </row>
        <row r="78">
          <cell r="C78" t="str">
            <v>E8</v>
          </cell>
          <cell r="D78" t="str">
            <v>Nguyễn Bảo Trang</v>
          </cell>
          <cell r="E78" t="str">
            <v>Nguyen Bao Trang</v>
          </cell>
          <cell r="F78" t="str">
            <v>B.Trang</v>
          </cell>
          <cell r="G78" t="str">
            <v>Trang (Si)</v>
          </cell>
          <cell r="H78" t="str">
            <v>SINH</v>
          </cell>
        </row>
        <row r="79">
          <cell r="C79" t="str">
            <v>S1</v>
          </cell>
          <cell r="D79" t="str">
            <v>Nguyễn Thị Diệp Lài</v>
          </cell>
          <cell r="E79" t="str">
            <v>Nguyen Thi Diep Lai</v>
          </cell>
          <cell r="F79" t="str">
            <v>LÀI</v>
          </cell>
          <cell r="G79" t="str">
            <v>LAI</v>
          </cell>
          <cell r="H79" t="str">
            <v>SỬ</v>
          </cell>
        </row>
        <row r="80">
          <cell r="C80" t="str">
            <v>S2</v>
          </cell>
          <cell r="D80" t="str">
            <v>Ngô Thúy Duy</v>
          </cell>
          <cell r="E80" t="str">
            <v>Ngô Thuy Duy</v>
          </cell>
          <cell r="F80" t="str">
            <v>Duy</v>
          </cell>
          <cell r="G80" t="str">
            <v>Duy</v>
          </cell>
          <cell r="H80" t="str">
            <v>SỬ</v>
          </cell>
        </row>
        <row r="81">
          <cell r="C81" t="str">
            <v>S3</v>
          </cell>
          <cell r="D81" t="str">
            <v xml:space="preserve">Lê Thị Nhật Thảo </v>
          </cell>
          <cell r="E81" t="str">
            <v>Le Thi Nhat Thao</v>
          </cell>
          <cell r="F81" t="str">
            <v>THẢO</v>
          </cell>
          <cell r="G81" t="str">
            <v>THAO</v>
          </cell>
          <cell r="H81" t="str">
            <v>SỬ</v>
          </cell>
        </row>
        <row r="82">
          <cell r="C82" t="str">
            <v>S5</v>
          </cell>
          <cell r="D82" t="str">
            <v>Phạm Văn Hải</v>
          </cell>
          <cell r="E82" t="str">
            <v>Pham Van Hai</v>
          </cell>
          <cell r="F82" t="str">
            <v>HẢI ( SỬ)</v>
          </cell>
          <cell r="G82" t="str">
            <v>HAI (SU)</v>
          </cell>
          <cell r="H82" t="str">
            <v>SỬ</v>
          </cell>
        </row>
        <row r="83">
          <cell r="C83" t="str">
            <v>S7</v>
          </cell>
          <cell r="D83" t="str">
            <v>Nguyễn Phước Khôi</v>
          </cell>
          <cell r="E83" t="str">
            <v>Nguyễn Phước Khôi</v>
          </cell>
          <cell r="F83" t="str">
            <v>KHÔI</v>
          </cell>
          <cell r="G83" t="str">
            <v>KHÔI</v>
          </cell>
          <cell r="H83" t="str">
            <v>SỬ</v>
          </cell>
        </row>
        <row r="84">
          <cell r="C84" t="str">
            <v>U1</v>
          </cell>
          <cell r="D84" t="str">
            <v>Trương Văn Thơ</v>
          </cell>
          <cell r="E84" t="str">
            <v>Truong Van Tho</v>
          </cell>
          <cell r="F84" t="str">
            <v>THƠ</v>
          </cell>
          <cell r="G84" t="str">
            <v>THO TD</v>
          </cell>
          <cell r="H84" t="str">
            <v>THỂ DỤC</v>
          </cell>
        </row>
        <row r="85">
          <cell r="C85" t="str">
            <v>U2</v>
          </cell>
          <cell r="D85" t="str">
            <v>Đỗ Bá Khang</v>
          </cell>
          <cell r="E85" t="str">
            <v>Do Ba Khang</v>
          </cell>
          <cell r="F85" t="str">
            <v>KHANG</v>
          </cell>
          <cell r="G85" t="str">
            <v>KHANG</v>
          </cell>
          <cell r="H85" t="str">
            <v>THỂ DỤC</v>
          </cell>
        </row>
        <row r="86">
          <cell r="C86" t="str">
            <v>U4</v>
          </cell>
          <cell r="D86" t="str">
            <v>Nguyễn Hữu Hiệp</v>
          </cell>
          <cell r="E86" t="str">
            <v>Nguyen Huu Hiep</v>
          </cell>
          <cell r="F86" t="str">
            <v>HIỆP(TD)</v>
          </cell>
          <cell r="G86" t="str">
            <v>HIEP</v>
          </cell>
          <cell r="H86" t="str">
            <v>THỂ DỤC</v>
          </cell>
        </row>
        <row r="87">
          <cell r="C87" t="str">
            <v>U6</v>
          </cell>
          <cell r="D87" t="str">
            <v>Nguyễn Ngọc Tuấn</v>
          </cell>
          <cell r="E87" t="str">
            <v>Nguyen Ngoc Tuan</v>
          </cell>
          <cell r="F87" t="str">
            <v>TUAN (TD)</v>
          </cell>
          <cell r="G87" t="str">
            <v>TUAN (TD)</v>
          </cell>
          <cell r="H87" t="str">
            <v>THỂ DỤC</v>
          </cell>
        </row>
        <row r="88">
          <cell r="C88" t="str">
            <v>U7</v>
          </cell>
          <cell r="D88" t="str">
            <v>Diệp Kim Hải</v>
          </cell>
          <cell r="E88" t="str">
            <v>Diep Kim Hai</v>
          </cell>
          <cell r="F88" t="str">
            <v>HẢI (TD)</v>
          </cell>
          <cell r="G88" t="str">
            <v>HAI (TD)</v>
          </cell>
          <cell r="H88" t="str">
            <v>THỂ DỤC</v>
          </cell>
        </row>
        <row r="89">
          <cell r="C89" t="str">
            <v>U8</v>
          </cell>
          <cell r="D89" t="str">
            <v>Bùi Văn Cường</v>
          </cell>
          <cell r="E89" t="str">
            <v>Bui Van Cuong</v>
          </cell>
          <cell r="F89" t="str">
            <v>CƯỜNG (TD)</v>
          </cell>
          <cell r="G89" t="str">
            <v>CUONG</v>
          </cell>
          <cell r="H89" t="str">
            <v>THỂ DỤC</v>
          </cell>
        </row>
        <row r="90">
          <cell r="C90" t="str">
            <v>M2QT</v>
          </cell>
          <cell r="D90" t="str">
            <v>Trương Văn Phúc</v>
          </cell>
          <cell r="E90" t="str">
            <v>Truong Van Phuc</v>
          </cell>
          <cell r="F90" t="str">
            <v>PHÚC (QT)</v>
          </cell>
          <cell r="G90" t="str">
            <v>PHÚC (QT)</v>
          </cell>
          <cell r="H90" t="str">
            <v>THQT</v>
          </cell>
        </row>
        <row r="91">
          <cell r="C91" t="str">
            <v>M3QT</v>
          </cell>
          <cell r="D91" t="str">
            <v>Đặng Thị Xuân</v>
          </cell>
          <cell r="E91" t="str">
            <v>Dang Thi Xuan</v>
          </cell>
          <cell r="F91" t="str">
            <v>XUÂN (QT)</v>
          </cell>
          <cell r="G91" t="str">
            <v>XUÂN (QT)</v>
          </cell>
          <cell r="H91" t="str">
            <v>THQT</v>
          </cell>
        </row>
        <row r="92">
          <cell r="C92" t="str">
            <v>M4QT</v>
          </cell>
          <cell r="D92" t="str">
            <v>Nguyễn Phi Hùng</v>
          </cell>
          <cell r="E92" t="str">
            <v>Nguyen Phi Hung</v>
          </cell>
          <cell r="F92" t="str">
            <v>HÙNG (QT)</v>
          </cell>
          <cell r="G92" t="str">
            <v>HÙNG (QT)</v>
          </cell>
          <cell r="H92" t="str">
            <v>THQT</v>
          </cell>
        </row>
        <row r="93">
          <cell r="C93" t="str">
            <v>M5QT</v>
          </cell>
          <cell r="D93" t="str">
            <v>Huỳnh Chí Cường</v>
          </cell>
          <cell r="E93" t="str">
            <v>Huynh Chi Cuong</v>
          </cell>
          <cell r="F93" t="str">
            <v>CƯỜNG (QT)</v>
          </cell>
          <cell r="G93" t="str">
            <v>CƯỜNG (QT)</v>
          </cell>
          <cell r="H93" t="str">
            <v>THQT</v>
          </cell>
        </row>
        <row r="94">
          <cell r="C94" t="str">
            <v>M6QT</v>
          </cell>
          <cell r="D94" t="str">
            <v>Nguyễn Ngọc Bảo Trân</v>
          </cell>
          <cell r="E94" t="str">
            <v>Bao TraN</v>
          </cell>
          <cell r="F94" t="str">
            <v>TRÂN</v>
          </cell>
          <cell r="G94" t="str">
            <v>TRAN</v>
          </cell>
          <cell r="H94" t="str">
            <v>THQT</v>
          </cell>
        </row>
        <row r="95">
          <cell r="C95" t="str">
            <v>M8QT</v>
          </cell>
          <cell r="D95" t="str">
            <v>Kim Vĩnh Anh Khoa</v>
          </cell>
          <cell r="E95" t="str">
            <v>Kim Vĩnh Anh Khoa</v>
          </cell>
          <cell r="F95" t="str">
            <v>KHOA (THQT)</v>
          </cell>
          <cell r="G95" t="str">
            <v>KHOA (THQT)</v>
          </cell>
          <cell r="H95" t="str">
            <v>THQT</v>
          </cell>
        </row>
        <row r="96">
          <cell r="C96" t="str">
            <v>M2</v>
          </cell>
          <cell r="D96" t="str">
            <v>Trương Văn Phúc</v>
          </cell>
          <cell r="E96" t="str">
            <v>Truong Van Phuc</v>
          </cell>
          <cell r="F96" t="str">
            <v>PHÚC(TH)</v>
          </cell>
          <cell r="G96" t="str">
            <v>PHUC</v>
          </cell>
          <cell r="H96" t="str">
            <v>TIN HỌC</v>
          </cell>
        </row>
        <row r="97">
          <cell r="C97" t="str">
            <v>M4</v>
          </cell>
          <cell r="D97" t="str">
            <v>Nguyễn Phi Hùng</v>
          </cell>
          <cell r="E97" t="str">
            <v>Nguyen Phi Hung</v>
          </cell>
          <cell r="F97" t="str">
            <v>HÙNG (TH)</v>
          </cell>
          <cell r="G97" t="str">
            <v>HUNG</v>
          </cell>
          <cell r="H97" t="str">
            <v>TIN HỌC</v>
          </cell>
        </row>
        <row r="98">
          <cell r="C98" t="str">
            <v>M5</v>
          </cell>
          <cell r="D98" t="str">
            <v>Huỳnh Chí Cường</v>
          </cell>
          <cell r="E98" t="str">
            <v>Huynh Chi Cuong</v>
          </cell>
          <cell r="F98" t="str">
            <v>CƯỜNG (TH)</v>
          </cell>
          <cell r="G98" t="str">
            <v>CUONG</v>
          </cell>
          <cell r="H98" t="str">
            <v>TIN HỌC</v>
          </cell>
        </row>
        <row r="99">
          <cell r="C99" t="str">
            <v>M6</v>
          </cell>
          <cell r="D99" t="str">
            <v>Nguyễn Ngọc Bảo Trân</v>
          </cell>
          <cell r="E99" t="str">
            <v>Bao TraN</v>
          </cell>
          <cell r="F99" t="str">
            <v>TRAN</v>
          </cell>
          <cell r="G99" t="str">
            <v>TRAN</v>
          </cell>
          <cell r="H99" t="str">
            <v>TIN HỌC</v>
          </cell>
        </row>
        <row r="100">
          <cell r="C100" t="str">
            <v>M8</v>
          </cell>
          <cell r="D100" t="str">
            <v>Kim Vĩnh Anh Khoa</v>
          </cell>
          <cell r="E100" t="str">
            <v>Kim Vĩnh Anh Khoa</v>
          </cell>
          <cell r="F100" t="str">
            <v>KHOA (TIN)</v>
          </cell>
          <cell r="G100" t="str">
            <v>KHOA (TIN)</v>
          </cell>
          <cell r="H100" t="str">
            <v>TIN HỌC</v>
          </cell>
        </row>
        <row r="101">
          <cell r="C101" t="str">
            <v>A10HN</v>
          </cell>
          <cell r="D101" t="str">
            <v>Văn Huỳnh Bảo Phương</v>
          </cell>
          <cell r="E101" t="str">
            <v>Bao Phuong</v>
          </cell>
          <cell r="F101" t="str">
            <v>Bao Phuong</v>
          </cell>
          <cell r="G101" t="str">
            <v>Bao Phuong</v>
          </cell>
          <cell r="H101" t="str">
            <v>TNHN</v>
          </cell>
        </row>
        <row r="102">
          <cell r="C102" t="str">
            <v>A11HN</v>
          </cell>
          <cell r="D102" t="str">
            <v>Phạm Thị Phương Điền</v>
          </cell>
          <cell r="E102" t="str">
            <v>Pham Thi Phuong Dien</v>
          </cell>
          <cell r="F102" t="str">
            <v>ĐIỀN</v>
          </cell>
          <cell r="G102" t="str">
            <v>DIEN</v>
          </cell>
          <cell r="H102" t="str">
            <v>TNHN</v>
          </cell>
        </row>
        <row r="103">
          <cell r="C103" t="str">
            <v>A1HN</v>
          </cell>
          <cell r="D103" t="str">
            <v>Đoàn Văn Chất</v>
          </cell>
          <cell r="E103" t="str">
            <v>Doan Van Chat</v>
          </cell>
          <cell r="F103" t="str">
            <v>CHẤT</v>
          </cell>
          <cell r="G103" t="str">
            <v>CHAT</v>
          </cell>
          <cell r="H103" t="str">
            <v>TNHN</v>
          </cell>
        </row>
        <row r="104">
          <cell r="C104" t="str">
            <v>A2HN</v>
          </cell>
          <cell r="D104" t="str">
            <v>Nguyễn Thị Thùy Dương</v>
          </cell>
          <cell r="E104" t="str">
            <v>Nguyen Thi Thuy Duong</v>
          </cell>
          <cell r="F104" t="str">
            <v>DƯƠNG</v>
          </cell>
          <cell r="G104" t="str">
            <v>DƯƠNG</v>
          </cell>
          <cell r="H104" t="str">
            <v>TNHN</v>
          </cell>
        </row>
        <row r="105">
          <cell r="C105" t="str">
            <v>A4HN</v>
          </cell>
          <cell r="D105" t="str">
            <v>Nguyễn Thị Tường Vy</v>
          </cell>
          <cell r="E105" t="str">
            <v>Nguyễn Thị Tường Vy</v>
          </cell>
          <cell r="F105" t="str">
            <v>Vy</v>
          </cell>
          <cell r="G105" t="str">
            <v>Vy</v>
          </cell>
          <cell r="H105" t="str">
            <v>TNHN</v>
          </cell>
        </row>
        <row r="106">
          <cell r="C106" t="str">
            <v>A5HN</v>
          </cell>
          <cell r="D106" t="str">
            <v>Nguyễn Minh Thanh Tùng</v>
          </cell>
          <cell r="E106" t="str">
            <v>Nguyễn Minh Thanh Tùng</v>
          </cell>
          <cell r="F106" t="str">
            <v>Tùng</v>
          </cell>
          <cell r="G106" t="str">
            <v>Tùng</v>
          </cell>
          <cell r="H106" t="str">
            <v>TNHN</v>
          </cell>
        </row>
        <row r="107">
          <cell r="C107" t="str">
            <v>A7HN</v>
          </cell>
          <cell r="D107" t="str">
            <v>Trần Thị Mỹ Thanh</v>
          </cell>
          <cell r="E107" t="str">
            <v>Tran Thi My Thanh</v>
          </cell>
          <cell r="F107" t="str">
            <v>M. THANH</v>
          </cell>
          <cell r="G107" t="str">
            <v>M. THANH</v>
          </cell>
          <cell r="H107" t="str">
            <v>TNHN</v>
          </cell>
        </row>
        <row r="108">
          <cell r="C108" t="str">
            <v>A8HN</v>
          </cell>
          <cell r="D108" t="str">
            <v>Nguyễn Xuân Thu</v>
          </cell>
          <cell r="E108" t="str">
            <v>Nguyen Xuan Thu</v>
          </cell>
          <cell r="F108" t="str">
            <v>THU (AV)</v>
          </cell>
          <cell r="G108" t="str">
            <v>THU (AV)</v>
          </cell>
          <cell r="H108" t="str">
            <v>TNHN</v>
          </cell>
        </row>
        <row r="109">
          <cell r="C109" t="str">
            <v>E1HN</v>
          </cell>
          <cell r="D109" t="str">
            <v>Nguyễn Thị Tuyết Nhung</v>
          </cell>
          <cell r="E109" t="str">
            <v>Nguyễn Thị Tuyết Nhung</v>
          </cell>
          <cell r="F109" t="str">
            <v>NHUNG</v>
          </cell>
          <cell r="G109" t="str">
            <v>NHUNG</v>
          </cell>
          <cell r="H109" t="str">
            <v>TNHN</v>
          </cell>
        </row>
        <row r="110">
          <cell r="C110" t="str">
            <v>E2HN</v>
          </cell>
          <cell r="D110" t="str">
            <v>Trần Thị Mỹ Sương</v>
          </cell>
          <cell r="E110" t="str">
            <v>Tran Thi My Suong</v>
          </cell>
          <cell r="F110" t="str">
            <v>SƯƠNG</v>
          </cell>
          <cell r="G110" t="str">
            <v>SUONG</v>
          </cell>
          <cell r="H110" t="str">
            <v>TNHN</v>
          </cell>
        </row>
        <row r="111">
          <cell r="C111" t="str">
            <v>E3HN</v>
          </cell>
          <cell r="D111" t="str">
            <v>Mã Thị Minh Thi</v>
          </cell>
          <cell r="E111" t="str">
            <v>THI</v>
          </cell>
          <cell r="F111" t="str">
            <v>M.THI</v>
          </cell>
          <cell r="G111" t="str">
            <v>M.THI</v>
          </cell>
          <cell r="H111" t="str">
            <v>TNHN</v>
          </cell>
        </row>
        <row r="112">
          <cell r="C112" t="str">
            <v>E6HN</v>
          </cell>
          <cell r="D112" t="str">
            <v xml:space="preserve">Trần Thị Khuyên </v>
          </cell>
          <cell r="E112" t="str">
            <v>Tran Thi Khuyen</v>
          </cell>
          <cell r="F112" t="str">
            <v>KHUYÊN</v>
          </cell>
          <cell r="G112" t="str">
            <v>KHUYÊN</v>
          </cell>
          <cell r="H112" t="str">
            <v>TNHN</v>
          </cell>
        </row>
        <row r="113">
          <cell r="C113" t="str">
            <v>E7HN</v>
          </cell>
          <cell r="D113" t="str">
            <v>Nguyễn Thị Quỳnh Diễm</v>
          </cell>
          <cell r="E113" t="str">
            <v>Nguyễn Thị Quỳnh Diễm</v>
          </cell>
          <cell r="F113" t="str">
            <v>DIỄM</v>
          </cell>
          <cell r="G113" t="str">
            <v>DIỄM</v>
          </cell>
          <cell r="H113" t="str">
            <v>TNHN</v>
          </cell>
        </row>
        <row r="114">
          <cell r="C114" t="str">
            <v>E8HN</v>
          </cell>
          <cell r="D114" t="str">
            <v>NGUYỄN BẢO TRANG</v>
          </cell>
          <cell r="E114" t="str">
            <v>NGUYỄN BẢO TRANG</v>
          </cell>
          <cell r="F114" t="str">
            <v>B. TRANG</v>
          </cell>
          <cell r="G114" t="str">
            <v>TRANG (SI)</v>
          </cell>
          <cell r="H114" t="str">
            <v>TNHN</v>
          </cell>
        </row>
        <row r="115">
          <cell r="C115" t="str">
            <v>G5HN</v>
          </cell>
          <cell r="D115" t="str">
            <v>Lê Thị Tuyết Thu</v>
          </cell>
          <cell r="E115" t="str">
            <v>Lê Thị Tuyết Thu</v>
          </cell>
          <cell r="F115" t="str">
            <v>THU (KTPL)</v>
          </cell>
          <cell r="G115" t="str">
            <v>THU (KTPL)</v>
          </cell>
          <cell r="H115" t="str">
            <v>TNHN</v>
          </cell>
        </row>
        <row r="116">
          <cell r="C116" t="str">
            <v>G6HN</v>
          </cell>
          <cell r="D116" t="str">
            <v>Trần Thị Hằng</v>
          </cell>
          <cell r="E116" t="str">
            <v>Trần Thị Hằng</v>
          </cell>
          <cell r="F116" t="str">
            <v>HẰNG (KTPL)</v>
          </cell>
          <cell r="G116" t="str">
            <v>HẰNG (KTPL)</v>
          </cell>
          <cell r="H116" t="str">
            <v>TNHN</v>
          </cell>
        </row>
        <row r="117">
          <cell r="C117" t="str">
            <v>H1HN</v>
          </cell>
          <cell r="D117" t="str">
            <v>Lâm Gia Hân</v>
          </cell>
          <cell r="E117" t="str">
            <v>Lâm Gia Hân</v>
          </cell>
          <cell r="F117" t="str">
            <v>HÂN</v>
          </cell>
          <cell r="G117" t="str">
            <v>HÂN</v>
          </cell>
          <cell r="H117" t="str">
            <v>TNHN</v>
          </cell>
        </row>
        <row r="118">
          <cell r="C118" t="str">
            <v>H2HN</v>
          </cell>
          <cell r="D118" t="str">
            <v>Nguyễn Trần Mai Thanh</v>
          </cell>
          <cell r="E118" t="str">
            <v>Nguyen Tran Mai Thanh</v>
          </cell>
          <cell r="F118" t="str">
            <v>THANH (H)</v>
          </cell>
          <cell r="G118" t="str">
            <v>THANH (H)</v>
          </cell>
          <cell r="H118" t="str">
            <v>TNHN</v>
          </cell>
        </row>
        <row r="119">
          <cell r="C119" t="str">
            <v>H4HN</v>
          </cell>
          <cell r="D119" t="str">
            <v>Nguyễn Quốc Dũng</v>
          </cell>
          <cell r="E119" t="str">
            <v>Nguyen Quoc Dung</v>
          </cell>
          <cell r="F119" t="str">
            <v>DŨNG</v>
          </cell>
          <cell r="G119" t="str">
            <v>DUNG</v>
          </cell>
          <cell r="H119" t="str">
            <v>TNHN</v>
          </cell>
        </row>
        <row r="120">
          <cell r="C120" t="str">
            <v>H5HN</v>
          </cell>
          <cell r="D120" t="str">
            <v>Nguyễn Văn Trọng</v>
          </cell>
          <cell r="E120" t="str">
            <v>Nguyen Van Trong</v>
          </cell>
          <cell r="F120" t="str">
            <v>TRỌNG</v>
          </cell>
          <cell r="G120" t="str">
            <v>TRỌNG</v>
          </cell>
          <cell r="H120" t="str">
            <v>TNHN</v>
          </cell>
        </row>
        <row r="121">
          <cell r="C121" t="str">
            <v>H6HN</v>
          </cell>
          <cell r="D121" t="str">
            <v>Nguyễn Thị Ngọc Minh</v>
          </cell>
          <cell r="E121" t="str">
            <v>Nguyen Thi Ngoc Minh</v>
          </cell>
          <cell r="F121" t="str">
            <v>MINH (H)</v>
          </cell>
          <cell r="G121" t="str">
            <v>MINH (H)</v>
          </cell>
          <cell r="H121" t="str">
            <v>TNHN</v>
          </cell>
        </row>
        <row r="122">
          <cell r="C122" t="str">
            <v>H7HN</v>
          </cell>
          <cell r="D122" t="str">
            <v>Truương Ngọc Anh Luân</v>
          </cell>
          <cell r="E122" t="str">
            <v>Truong Ngoc Anh Luân</v>
          </cell>
          <cell r="F122" t="str">
            <v>LUÂN</v>
          </cell>
          <cell r="G122" t="str">
            <v>LUÂN</v>
          </cell>
          <cell r="H122" t="str">
            <v>TNHN</v>
          </cell>
        </row>
        <row r="123">
          <cell r="C123" t="str">
            <v>H9HN</v>
          </cell>
          <cell r="D123" t="str">
            <v>Nguyễn Thị Diến</v>
          </cell>
          <cell r="E123" t="str">
            <v>Nguyen Thi Dien</v>
          </cell>
          <cell r="F123" t="str">
            <v>DIẾN</v>
          </cell>
          <cell r="G123" t="str">
            <v>DIẾN</v>
          </cell>
          <cell r="H123" t="str">
            <v>TNHN</v>
          </cell>
        </row>
        <row r="124">
          <cell r="C124" t="str">
            <v>HN10</v>
          </cell>
          <cell r="D124" t="str">
            <v>Nguyễn Thụy Diễm Linh</v>
          </cell>
          <cell r="E124" t="str">
            <v>Nguyen Thuy Diem Linh</v>
          </cell>
          <cell r="F124" t="str">
            <v>Linh (TV)(HN)</v>
          </cell>
          <cell r="G124" t="str">
            <v>Linh (TV)</v>
          </cell>
          <cell r="H124" t="str">
            <v>TNHN</v>
          </cell>
        </row>
        <row r="125">
          <cell r="C125" t="str">
            <v>L10HN</v>
          </cell>
          <cell r="D125" t="str">
            <v>Vũ Thanh Vân</v>
          </cell>
          <cell r="E125" t="str">
            <v>Vu Thanh Van</v>
          </cell>
          <cell r="F125" t="str">
            <v>VÂN (L)</v>
          </cell>
          <cell r="G125" t="str">
            <v>VÂN (L)</v>
          </cell>
          <cell r="H125" t="str">
            <v>TNHN</v>
          </cell>
        </row>
        <row r="126">
          <cell r="C126" t="str">
            <v>L3HN</v>
          </cell>
          <cell r="D126" t="str">
            <v>Nguyễn Thị Xuân Hương</v>
          </cell>
          <cell r="E126" t="str">
            <v>Nguyen Thi Xuan Huong</v>
          </cell>
          <cell r="F126" t="str">
            <v>HƯƠNG (L)</v>
          </cell>
          <cell r="G126" t="str">
            <v>HUONG</v>
          </cell>
          <cell r="H126" t="str">
            <v>TNHN</v>
          </cell>
        </row>
        <row r="127">
          <cell r="C127" t="str">
            <v>L4HN</v>
          </cell>
          <cell r="D127" t="str">
            <v xml:space="preserve">Trần Thị Lam Hồng </v>
          </cell>
          <cell r="E127" t="str">
            <v>Tran Thi Lam Hong</v>
          </cell>
          <cell r="F127" t="str">
            <v>L.HỒNG</v>
          </cell>
          <cell r="G127" t="str">
            <v>L.HỒNG</v>
          </cell>
          <cell r="H127" t="str">
            <v>TNHN</v>
          </cell>
        </row>
        <row r="128">
          <cell r="C128" t="str">
            <v>L5HN</v>
          </cell>
          <cell r="D128" t="str">
            <v>Cao Đình Trung Hậu</v>
          </cell>
          <cell r="E128" t="str">
            <v>HẬU</v>
          </cell>
          <cell r="F128" t="str">
            <v>HẬU</v>
          </cell>
          <cell r="G128" t="str">
            <v>HẬU</v>
          </cell>
          <cell r="H128" t="str">
            <v>TNHN</v>
          </cell>
        </row>
        <row r="129">
          <cell r="C129" t="str">
            <v>L6HN</v>
          </cell>
          <cell r="D129" t="str">
            <v>Ngô Phát Thương</v>
          </cell>
          <cell r="E129" t="str">
            <v>Ngo Phat Thuong</v>
          </cell>
          <cell r="F129" t="str">
            <v>THƯƠNG</v>
          </cell>
          <cell r="G129" t="str">
            <v>THƯƠNG</v>
          </cell>
          <cell r="H129" t="str">
            <v>TNHN</v>
          </cell>
        </row>
        <row r="130">
          <cell r="C130" t="str">
            <v>L7HN</v>
          </cell>
          <cell r="D130" t="str">
            <v>Trần Thị Hạnh</v>
          </cell>
          <cell r="E130" t="str">
            <v>Tran Thi Hanh</v>
          </cell>
          <cell r="F130" t="str">
            <v>HẠNH (L)</v>
          </cell>
          <cell r="G130" t="str">
            <v>HẠNH (L)</v>
          </cell>
          <cell r="H130" t="str">
            <v>TNHN</v>
          </cell>
        </row>
        <row r="131">
          <cell r="C131" t="str">
            <v>L8HN</v>
          </cell>
          <cell r="D131" t="str">
            <v>Nguyễn Minh Hoàng</v>
          </cell>
          <cell r="E131" t="str">
            <v>Nguyen Minh Hoang</v>
          </cell>
          <cell r="F131" t="str">
            <v>HOÀNG</v>
          </cell>
          <cell r="G131" t="str">
            <v>HOANG</v>
          </cell>
          <cell r="H131" t="str">
            <v>TNHN</v>
          </cell>
        </row>
        <row r="132">
          <cell r="C132" t="str">
            <v>L9HN</v>
          </cell>
          <cell r="D132" t="str">
            <v>Dương Anh Quang</v>
          </cell>
          <cell r="E132" t="str">
            <v>Duong Anh Quang</v>
          </cell>
          <cell r="F132" t="str">
            <v>QUANG (L)</v>
          </cell>
          <cell r="G132" t="str">
            <v>QUANG</v>
          </cell>
          <cell r="H132" t="str">
            <v>TNHN</v>
          </cell>
        </row>
        <row r="133">
          <cell r="C133" t="str">
            <v>M1HN</v>
          </cell>
          <cell r="D133" t="str">
            <v>Tưởng Đông Diệm</v>
          </cell>
          <cell r="E133" t="str">
            <v>Tuong Dong Diem</v>
          </cell>
          <cell r="F133" t="str">
            <v>DIỆM (HN)</v>
          </cell>
          <cell r="G133" t="str">
            <v>DIỆM (QT)</v>
          </cell>
          <cell r="H133" t="str">
            <v>TNHN</v>
          </cell>
        </row>
        <row r="134">
          <cell r="C134" t="str">
            <v>M4HN</v>
          </cell>
          <cell r="D134" t="str">
            <v>Nguyễn Phi Hùng</v>
          </cell>
          <cell r="E134" t="str">
            <v>Nguyen Phi Hung</v>
          </cell>
          <cell r="F134" t="str">
            <v>HÙNG (QT)</v>
          </cell>
          <cell r="G134" t="str">
            <v>HÙNG (QT)</v>
          </cell>
          <cell r="H134" t="str">
            <v>TNHN</v>
          </cell>
        </row>
        <row r="135">
          <cell r="C135" t="str">
            <v>M6HN</v>
          </cell>
          <cell r="D135" t="str">
            <v>Nguyễn Ngọc Bảo Trân</v>
          </cell>
          <cell r="E135" t="str">
            <v>Bao TraN</v>
          </cell>
          <cell r="F135" t="str">
            <v>TRÂN</v>
          </cell>
          <cell r="G135" t="str">
            <v>TRAN</v>
          </cell>
          <cell r="H135" t="str">
            <v>TNHN</v>
          </cell>
        </row>
        <row r="136">
          <cell r="C136" t="str">
            <v>M8HN</v>
          </cell>
          <cell r="D136" t="str">
            <v>Kim Vĩnh Anh Khoa</v>
          </cell>
          <cell r="E136" t="str">
            <v>Kim Vĩnh Anh Khoa</v>
          </cell>
          <cell r="F136" t="str">
            <v>KHOA (THQT)</v>
          </cell>
          <cell r="G136" t="str">
            <v>KHOA (THQT)</v>
          </cell>
          <cell r="H136" t="str">
            <v>TNHN</v>
          </cell>
        </row>
        <row r="137">
          <cell r="C137" t="str">
            <v>Q1HN</v>
          </cell>
          <cell r="D137" t="str">
            <v>Hoàng Thị Tứ</v>
          </cell>
          <cell r="E137" t="str">
            <v>Hoang Thi Tu</v>
          </cell>
          <cell r="F137" t="str">
            <v>TỨ</v>
          </cell>
          <cell r="G137" t="str">
            <v>TU</v>
          </cell>
          <cell r="H137" t="str">
            <v>TNHN</v>
          </cell>
        </row>
        <row r="138">
          <cell r="C138" t="str">
            <v>Q3HN</v>
          </cell>
          <cell r="D138" t="str">
            <v>Hồ Phương Thảo</v>
          </cell>
          <cell r="E138" t="str">
            <v>Hồ Phương Thảo</v>
          </cell>
          <cell r="F138" t="str">
            <v>THẢO (QP)</v>
          </cell>
          <cell r="G138" t="str">
            <v>THẢO (QP)</v>
          </cell>
          <cell r="H138" t="str">
            <v>TNHN</v>
          </cell>
        </row>
        <row r="139">
          <cell r="C139" t="str">
            <v>S7HN</v>
          </cell>
          <cell r="D139" t="str">
            <v>Nguyễn Phước Khôi</v>
          </cell>
          <cell r="E139" t="str">
            <v>Nguyễn Phước Khôi</v>
          </cell>
          <cell r="F139" t="str">
            <v>KHÔI</v>
          </cell>
          <cell r="G139" t="str">
            <v>KHÔI</v>
          </cell>
          <cell r="H139" t="str">
            <v>TNHN</v>
          </cell>
        </row>
        <row r="140">
          <cell r="C140" t="str">
            <v>T10HN</v>
          </cell>
          <cell r="D140" t="str">
            <v>Đỗ Ức Tuệ</v>
          </cell>
          <cell r="E140" t="str">
            <v>Do Uc Tue</v>
          </cell>
          <cell r="F140" t="str">
            <v>TUỆ</v>
          </cell>
          <cell r="G140" t="str">
            <v>TUE</v>
          </cell>
          <cell r="H140" t="str">
            <v>TNHN</v>
          </cell>
        </row>
        <row r="141">
          <cell r="C141" t="str">
            <v>T12HN</v>
          </cell>
          <cell r="D141" t="str">
            <v>Trương Thúc Quảng</v>
          </cell>
          <cell r="E141" t="str">
            <v>Truong Thuc Quang</v>
          </cell>
          <cell r="F141" t="str">
            <v>QUẢNG(T)</v>
          </cell>
          <cell r="G141" t="str">
            <v>QUẢNG(T)</v>
          </cell>
          <cell r="H141" t="str">
            <v>TNHN</v>
          </cell>
        </row>
        <row r="142">
          <cell r="C142" t="str">
            <v>T13HN</v>
          </cell>
          <cell r="D142" t="str">
            <v>Nguyễn Duy Hưng</v>
          </cell>
          <cell r="E142" t="str">
            <v>Nguyen Duy Hung</v>
          </cell>
          <cell r="F142" t="str">
            <v>HƯNG</v>
          </cell>
          <cell r="G142" t="str">
            <v>HƯNG</v>
          </cell>
          <cell r="H142" t="str">
            <v>TNHN</v>
          </cell>
        </row>
        <row r="143">
          <cell r="C143" t="str">
            <v>T14HN</v>
          </cell>
          <cell r="D143" t="str">
            <v>Đoàn Thị Kim Hạnh</v>
          </cell>
          <cell r="E143" t="str">
            <v>Doan Thi Kim Hanh</v>
          </cell>
          <cell r="F143" t="str">
            <v>HẠNH (T)</v>
          </cell>
          <cell r="G143" t="str">
            <v>HẠNH (T)</v>
          </cell>
          <cell r="H143" t="str">
            <v>TNHN</v>
          </cell>
        </row>
        <row r="144">
          <cell r="C144" t="str">
            <v>T15HN</v>
          </cell>
          <cell r="D144" t="str">
            <v>Huỳnh Thị Diễm Linh</v>
          </cell>
          <cell r="E144" t="str">
            <v>Huỳnh Thị Diễm Linh</v>
          </cell>
          <cell r="F144" t="str">
            <v>D.LINH (T)</v>
          </cell>
          <cell r="G144" t="str">
            <v>D.LINH (T)</v>
          </cell>
          <cell r="H144" t="str">
            <v>TNHN</v>
          </cell>
        </row>
        <row r="145">
          <cell r="C145" t="str">
            <v>T18HN</v>
          </cell>
          <cell r="D145" t="str">
            <v>Trần Đại Nghĩa</v>
          </cell>
          <cell r="E145" t="str">
            <v>Tran Dai Nghia</v>
          </cell>
          <cell r="F145" t="str">
            <v>NGHĨA</v>
          </cell>
          <cell r="G145" t="str">
            <v>NGHĨA</v>
          </cell>
          <cell r="H145" t="str">
            <v>TNHN</v>
          </cell>
        </row>
        <row r="146">
          <cell r="C146" t="str">
            <v>T2HN</v>
          </cell>
          <cell r="D146" t="str">
            <v>Trần Phương Như</v>
          </cell>
          <cell r="E146" t="str">
            <v>Tran Phuong Nhu</v>
          </cell>
          <cell r="F146" t="str">
            <v>NHƯ</v>
          </cell>
          <cell r="G146" t="str">
            <v>NHƯ</v>
          </cell>
          <cell r="H146" t="str">
            <v>TNHN</v>
          </cell>
        </row>
        <row r="147">
          <cell r="C147" t="str">
            <v>T3HN</v>
          </cell>
          <cell r="D147" t="str">
            <v>NGUYỄN VĂN TÂM</v>
          </cell>
          <cell r="E147" t="str">
            <v>NGUYỄN VĂN TÂM</v>
          </cell>
          <cell r="F147" t="str">
            <v>TÂM</v>
          </cell>
          <cell r="G147" t="str">
            <v>TAM</v>
          </cell>
          <cell r="H147" t="str">
            <v>TNHN</v>
          </cell>
        </row>
        <row r="148">
          <cell r="C148" t="str">
            <v>T4HN</v>
          </cell>
          <cell r="D148" t="str">
            <v>Nguyễn Thị Thu Ba</v>
          </cell>
          <cell r="E148" t="str">
            <v>Nguyen Thi Thu Ba</v>
          </cell>
          <cell r="F148" t="str">
            <v>THU BA</v>
          </cell>
          <cell r="G148" t="str">
            <v>THU BA</v>
          </cell>
          <cell r="H148" t="str">
            <v>TNHN</v>
          </cell>
        </row>
        <row r="149">
          <cell r="C149" t="str">
            <v>T6HN</v>
          </cell>
          <cell r="D149" t="str">
            <v>Phạm Lê Thùy Dung</v>
          </cell>
          <cell r="E149" t="str">
            <v>Thùy Dung</v>
          </cell>
          <cell r="F149" t="str">
            <v>DUNG</v>
          </cell>
          <cell r="G149" t="str">
            <v>DUNG</v>
          </cell>
          <cell r="H149" t="str">
            <v>TNHN</v>
          </cell>
        </row>
        <row r="150">
          <cell r="C150" t="str">
            <v>T7HN</v>
          </cell>
          <cell r="D150" t="str">
            <v>Nguyễn Thị Lý</v>
          </cell>
          <cell r="E150" t="str">
            <v>Nguyen Thi Ly</v>
          </cell>
          <cell r="F150" t="str">
            <v>LÝ</v>
          </cell>
          <cell r="G150" t="str">
            <v>LÝ</v>
          </cell>
          <cell r="H150" t="str">
            <v>TNHN</v>
          </cell>
        </row>
        <row r="151">
          <cell r="C151" t="str">
            <v>T8HN</v>
          </cell>
          <cell r="D151" t="str">
            <v>Phan Quang Ánh</v>
          </cell>
          <cell r="E151" t="str">
            <v>Phan Quang Anh</v>
          </cell>
          <cell r="F151" t="str">
            <v>ÁNH</v>
          </cell>
          <cell r="G151" t="str">
            <v>ÁNH</v>
          </cell>
          <cell r="H151" t="str">
            <v>TNHN</v>
          </cell>
        </row>
        <row r="152">
          <cell r="C152" t="str">
            <v>T9HN</v>
          </cell>
          <cell r="D152" t="str">
            <v>Trần Anh Nga My</v>
          </cell>
          <cell r="E152" t="str">
            <v>Nga My</v>
          </cell>
          <cell r="F152" t="str">
            <v>MY</v>
          </cell>
          <cell r="G152" t="str">
            <v>MY</v>
          </cell>
          <cell r="H152" t="str">
            <v>TNHN</v>
          </cell>
        </row>
        <row r="153">
          <cell r="C153" t="str">
            <v>V10HN</v>
          </cell>
          <cell r="D153" t="str">
            <v>Lưu Thị Anh Thư</v>
          </cell>
          <cell r="E153" t="str">
            <v>Luu Thi Anh Thu</v>
          </cell>
          <cell r="F153" t="str">
            <v>THƯ (V)</v>
          </cell>
          <cell r="G153" t="str">
            <v>THƯ (V)</v>
          </cell>
          <cell r="H153" t="str">
            <v>TNHN</v>
          </cell>
        </row>
        <row r="154">
          <cell r="C154" t="str">
            <v>V13HN</v>
          </cell>
          <cell r="D154" t="str">
            <v>Nguyễn Thị Ngân</v>
          </cell>
          <cell r="E154" t="str">
            <v>Nguyen Thi Ngan</v>
          </cell>
          <cell r="F154" t="str">
            <v>NGÂN</v>
          </cell>
          <cell r="G154" t="str">
            <v>NGÂN</v>
          </cell>
          <cell r="H154" t="str">
            <v>TNHN</v>
          </cell>
        </row>
        <row r="155">
          <cell r="C155" t="str">
            <v>V1HN</v>
          </cell>
          <cell r="D155" t="str">
            <v>Nguyễn Thị Giang</v>
          </cell>
          <cell r="E155" t="str">
            <v>Nguyễn Thị Giang</v>
          </cell>
          <cell r="F155" t="str">
            <v>T.GIANG</v>
          </cell>
          <cell r="G155" t="str">
            <v>T.GIANG</v>
          </cell>
          <cell r="H155" t="str">
            <v>TNHN</v>
          </cell>
        </row>
        <row r="156">
          <cell r="C156" t="str">
            <v>V3HN</v>
          </cell>
          <cell r="D156" t="str">
            <v>Nguyễn Hồng Giang</v>
          </cell>
          <cell r="E156" t="str">
            <v>H Giang</v>
          </cell>
          <cell r="F156" t="str">
            <v>H.GIANG</v>
          </cell>
          <cell r="G156" t="str">
            <v>H Giang</v>
          </cell>
          <cell r="H156" t="str">
            <v>TNHN</v>
          </cell>
        </row>
        <row r="157">
          <cell r="C157" t="str">
            <v>V4HN</v>
          </cell>
          <cell r="D157" t="str">
            <v>Quách Thị Thủy</v>
          </cell>
          <cell r="E157" t="str">
            <v>Thủy</v>
          </cell>
          <cell r="F157" t="str">
            <v>THUỶ</v>
          </cell>
          <cell r="G157" t="str">
            <v>THUỶ</v>
          </cell>
          <cell r="H157" t="str">
            <v>TNHN</v>
          </cell>
        </row>
        <row r="158">
          <cell r="C158" t="str">
            <v>V4HN</v>
          </cell>
          <cell r="D158" t="str">
            <v>Quách Thị Thủy</v>
          </cell>
          <cell r="E158" t="str">
            <v>Thủy</v>
          </cell>
          <cell r="F158" t="str">
            <v>THUỶ</v>
          </cell>
          <cell r="G158" t="str">
            <v>Thủy</v>
          </cell>
          <cell r="H158" t="str">
            <v>TNHN</v>
          </cell>
        </row>
        <row r="159">
          <cell r="C159" t="str">
            <v>V5HN</v>
          </cell>
          <cell r="D159" t="str">
            <v>Trương Thu Trang</v>
          </cell>
          <cell r="E159" t="str">
            <v>Thu Trang</v>
          </cell>
          <cell r="F159" t="str">
            <v>TRANG</v>
          </cell>
          <cell r="G159" t="str">
            <v>TRANG</v>
          </cell>
          <cell r="H159" t="str">
            <v>TNHN</v>
          </cell>
        </row>
        <row r="160">
          <cell r="C160" t="str">
            <v>V7HN</v>
          </cell>
          <cell r="D160" t="str">
            <v>Lưu Bích Hoài Thêm</v>
          </cell>
          <cell r="E160" t="str">
            <v>Them</v>
          </cell>
          <cell r="F160" t="str">
            <v>THÊM</v>
          </cell>
          <cell r="G160" t="str">
            <v>THÊM</v>
          </cell>
          <cell r="H160" t="str">
            <v>TNHN</v>
          </cell>
        </row>
        <row r="161">
          <cell r="C161" t="str">
            <v>V8HN</v>
          </cell>
          <cell r="D161" t="str">
            <v>Nguyễn Hữu Bắc</v>
          </cell>
          <cell r="E161" t="str">
            <v>Nguyen Huu Bac</v>
          </cell>
          <cell r="F161" t="str">
            <v>BẮC</v>
          </cell>
          <cell r="G161" t="str">
            <v>BAC</v>
          </cell>
          <cell r="H161" t="str">
            <v>TNHN</v>
          </cell>
        </row>
        <row r="162">
          <cell r="C162" t="str">
            <v>V9HN</v>
          </cell>
          <cell r="D162" t="str">
            <v xml:space="preserve">Hoàng Thị Hải Yến </v>
          </cell>
          <cell r="E162" t="str">
            <v>Hoang Thi Hai Yen</v>
          </cell>
          <cell r="F162" t="str">
            <v>YẾN</v>
          </cell>
          <cell r="G162" t="str">
            <v>H.YEN</v>
          </cell>
          <cell r="H162" t="str">
            <v>TNHN</v>
          </cell>
        </row>
        <row r="163">
          <cell r="C163" t="str">
            <v>T1</v>
          </cell>
          <cell r="D163" t="str">
            <v>Đinh Văn Trí</v>
          </cell>
          <cell r="E163" t="str">
            <v>Dinh Van Tri</v>
          </cell>
          <cell r="F163" t="str">
            <v>TRÍ</v>
          </cell>
          <cell r="G163" t="str">
            <v xml:space="preserve">TRI </v>
          </cell>
          <cell r="H163" t="str">
            <v>TOÁN</v>
          </cell>
        </row>
        <row r="164">
          <cell r="C164" t="str">
            <v>T10</v>
          </cell>
          <cell r="D164" t="str">
            <v>Đỗ Ức Tuệ</v>
          </cell>
          <cell r="E164" t="str">
            <v>Do Uc Tue</v>
          </cell>
          <cell r="F164" t="str">
            <v>TUỆ</v>
          </cell>
          <cell r="G164" t="str">
            <v>TUE</v>
          </cell>
          <cell r="H164" t="str">
            <v>TOÁN</v>
          </cell>
        </row>
        <row r="165">
          <cell r="C165" t="str">
            <v>T12</v>
          </cell>
          <cell r="D165" t="str">
            <v>Trương Thúc Quảng</v>
          </cell>
          <cell r="E165" t="str">
            <v>Truong Thuc Quang</v>
          </cell>
          <cell r="F165" t="str">
            <v>QUẢNG(T)</v>
          </cell>
          <cell r="G165" t="str">
            <v>QUANG(T)</v>
          </cell>
          <cell r="H165" t="str">
            <v>TOÁN</v>
          </cell>
        </row>
        <row r="166">
          <cell r="C166" t="str">
            <v>T13</v>
          </cell>
          <cell r="D166" t="str">
            <v>Nguyễn Duy Hưng</v>
          </cell>
          <cell r="E166" t="str">
            <v>Nguyen Duy Hung</v>
          </cell>
          <cell r="F166" t="str">
            <v>HƯNG</v>
          </cell>
          <cell r="G166" t="str">
            <v>HUNG</v>
          </cell>
          <cell r="H166" t="str">
            <v>TOÁN</v>
          </cell>
        </row>
        <row r="167">
          <cell r="C167" t="str">
            <v>T14</v>
          </cell>
          <cell r="D167" t="str">
            <v>Đoàn Thị Kim Hạnh</v>
          </cell>
          <cell r="E167" t="str">
            <v>Doan Thi Kim Hanh</v>
          </cell>
          <cell r="F167" t="str">
            <v>HẠNH (T)</v>
          </cell>
          <cell r="G167" t="str">
            <v>HANH (T)</v>
          </cell>
          <cell r="H167" t="str">
            <v>TOÁN</v>
          </cell>
        </row>
        <row r="168">
          <cell r="C168" t="str">
            <v>T15</v>
          </cell>
          <cell r="D168" t="str">
            <v>Huỳnh Thị Diễm Linh</v>
          </cell>
          <cell r="E168" t="str">
            <v>Huỳnh Thị Diễm Linh</v>
          </cell>
          <cell r="F168" t="str">
            <v>D.LINH (T)</v>
          </cell>
          <cell r="G168" t="str">
            <v>D.LINH(T)</v>
          </cell>
          <cell r="H168" t="str">
            <v>TOÁN</v>
          </cell>
        </row>
        <row r="169">
          <cell r="C169" t="str">
            <v>T18</v>
          </cell>
          <cell r="D169" t="str">
            <v>Trần Đại Nghĩa</v>
          </cell>
          <cell r="E169" t="str">
            <v>Tran Dai Nghia</v>
          </cell>
          <cell r="F169" t="str">
            <v>NGHĨA</v>
          </cell>
          <cell r="G169" t="str">
            <v>NGHIA</v>
          </cell>
          <cell r="H169" t="str">
            <v>TOÁN</v>
          </cell>
        </row>
        <row r="170">
          <cell r="C170" t="str">
            <v>T2</v>
          </cell>
          <cell r="D170" t="str">
            <v>Trần Phương Như</v>
          </cell>
          <cell r="E170" t="str">
            <v>Tran Phuong Nhu</v>
          </cell>
          <cell r="F170" t="str">
            <v>NHƯ</v>
          </cell>
          <cell r="G170" t="str">
            <v>Nhu</v>
          </cell>
          <cell r="H170" t="str">
            <v>TOÁN</v>
          </cell>
        </row>
        <row r="171">
          <cell r="C171" t="str">
            <v>T3</v>
          </cell>
          <cell r="D171" t="str">
            <v>Nguyễn Văn Tâm</v>
          </cell>
          <cell r="E171" t="str">
            <v>NGUYỄN VĂN TÂM</v>
          </cell>
          <cell r="F171" t="str">
            <v>TÂM</v>
          </cell>
          <cell r="G171" t="str">
            <v>TAM</v>
          </cell>
          <cell r="H171" t="str">
            <v>TOÁN</v>
          </cell>
        </row>
        <row r="172">
          <cell r="C172" t="str">
            <v>T4</v>
          </cell>
          <cell r="D172" t="str">
            <v>Nguyễn Thị Thu Ba</v>
          </cell>
          <cell r="E172" t="str">
            <v>Nguyen Thi Thu Ba</v>
          </cell>
          <cell r="F172" t="str">
            <v>THU BA</v>
          </cell>
          <cell r="G172" t="str">
            <v>THU BA</v>
          </cell>
          <cell r="H172" t="str">
            <v>TOÁN</v>
          </cell>
        </row>
        <row r="173">
          <cell r="C173" t="str">
            <v>T5</v>
          </cell>
          <cell r="D173" t="str">
            <v>Nguyễn Việt Phương</v>
          </cell>
          <cell r="E173" t="str">
            <v>Nguyễn Việt Phương</v>
          </cell>
          <cell r="F173" t="str">
            <v>V.PHƯƠNG</v>
          </cell>
          <cell r="G173" t="str">
            <v>Phuong</v>
          </cell>
          <cell r="H173" t="str">
            <v>TOÁN</v>
          </cell>
        </row>
        <row r="174">
          <cell r="C174" t="str">
            <v>T6</v>
          </cell>
          <cell r="D174" t="str">
            <v>Phạm Lê Thùy Dung</v>
          </cell>
          <cell r="E174" t="str">
            <v>Thùy Dung</v>
          </cell>
          <cell r="F174" t="str">
            <v>DUNG</v>
          </cell>
          <cell r="G174" t="str">
            <v>Thùy Dung</v>
          </cell>
          <cell r="H174" t="str">
            <v>TOÁN</v>
          </cell>
        </row>
        <row r="175">
          <cell r="C175" t="str">
            <v>T7</v>
          </cell>
          <cell r="D175" t="str">
            <v>Nguyễn Thị Lý</v>
          </cell>
          <cell r="E175" t="str">
            <v>Nguyen Thi Ly</v>
          </cell>
          <cell r="F175" t="str">
            <v>LÝ</v>
          </cell>
          <cell r="G175" t="str">
            <v>LY</v>
          </cell>
          <cell r="H175" t="str">
            <v>TOÁN</v>
          </cell>
        </row>
        <row r="176">
          <cell r="C176" t="str">
            <v>T8</v>
          </cell>
          <cell r="D176" t="str">
            <v>Phan Quang Ánh</v>
          </cell>
          <cell r="E176" t="str">
            <v>Phan Quang Anh</v>
          </cell>
          <cell r="F176" t="str">
            <v>ÁNH</v>
          </cell>
          <cell r="G176" t="str">
            <v>ANH</v>
          </cell>
          <cell r="H176" t="str">
            <v>TOÁN</v>
          </cell>
        </row>
        <row r="177">
          <cell r="C177" t="str">
            <v>T9</v>
          </cell>
          <cell r="D177" t="str">
            <v>Trần Anh Nga My</v>
          </cell>
          <cell r="E177" t="str">
            <v>Nga My</v>
          </cell>
          <cell r="F177" t="str">
            <v>MY</v>
          </cell>
          <cell r="G177" t="str">
            <v>MY</v>
          </cell>
          <cell r="H177" t="str">
            <v>TOÁN</v>
          </cell>
        </row>
        <row r="178">
          <cell r="C178" t="str">
            <v>V1</v>
          </cell>
          <cell r="D178" t="str">
            <v>Nguyễn Thị Giang</v>
          </cell>
          <cell r="E178" t="str">
            <v>Nguyễn Thị Giang</v>
          </cell>
          <cell r="F178" t="str">
            <v>T.GIANG</v>
          </cell>
          <cell r="G178" t="str">
            <v>T.GIANG</v>
          </cell>
          <cell r="H178" t="str">
            <v>VĂN</v>
          </cell>
        </row>
        <row r="179">
          <cell r="C179" t="str">
            <v>V10</v>
          </cell>
          <cell r="D179" t="str">
            <v>Lưu Thị Anh Thư</v>
          </cell>
          <cell r="E179" t="str">
            <v>Luu Thi Anh Thu</v>
          </cell>
          <cell r="F179" t="str">
            <v>THƯ (V)</v>
          </cell>
          <cell r="G179" t="str">
            <v>THU</v>
          </cell>
          <cell r="H179" t="str">
            <v>VĂN</v>
          </cell>
        </row>
        <row r="180">
          <cell r="C180" t="str">
            <v>V11</v>
          </cell>
          <cell r="D180" t="str">
            <v>Nguyễn Đình Khoa</v>
          </cell>
          <cell r="E180" t="str">
            <v>Nguyen Dinh Khoa</v>
          </cell>
          <cell r="F180" t="str">
            <v>KHOA</v>
          </cell>
          <cell r="G180" t="str">
            <v>KHOA</v>
          </cell>
          <cell r="H180" t="str">
            <v>VĂN</v>
          </cell>
        </row>
        <row r="181">
          <cell r="C181" t="str">
            <v>V13</v>
          </cell>
          <cell r="D181" t="str">
            <v>Nguyễn Thị Ngân</v>
          </cell>
          <cell r="E181" t="str">
            <v>Nguyen Thi Ngan</v>
          </cell>
          <cell r="F181" t="str">
            <v>NGÂN</v>
          </cell>
          <cell r="G181" t="str">
            <v>NGÂN</v>
          </cell>
          <cell r="H181" t="str">
            <v>VĂN</v>
          </cell>
        </row>
        <row r="182">
          <cell r="C182" t="str">
            <v>V14</v>
          </cell>
          <cell r="D182" t="str">
            <v>Phạm Chí Nguyện</v>
          </cell>
          <cell r="E182" t="str">
            <v>Pham Chi Nguyen</v>
          </cell>
          <cell r="F182" t="str">
            <v>Nguyện</v>
          </cell>
          <cell r="G182" t="str">
            <v>Nguyen</v>
          </cell>
          <cell r="H182" t="str">
            <v>VĂN</v>
          </cell>
        </row>
        <row r="183">
          <cell r="C183" t="str">
            <v>V2</v>
          </cell>
          <cell r="D183" t="str">
            <v>Dương Thị Thắm</v>
          </cell>
          <cell r="E183" t="str">
            <v>Duong Thi Tham</v>
          </cell>
          <cell r="F183" t="str">
            <v>THẮM</v>
          </cell>
          <cell r="G183" t="str">
            <v>THAM</v>
          </cell>
          <cell r="H183" t="str">
            <v>VĂN</v>
          </cell>
        </row>
        <row r="184">
          <cell r="C184" t="str">
            <v>V3</v>
          </cell>
          <cell r="D184" t="str">
            <v>Nguyễn Hồng Giang</v>
          </cell>
          <cell r="E184" t="str">
            <v>H Giang</v>
          </cell>
          <cell r="F184" t="str">
            <v>H.GIANG</v>
          </cell>
          <cell r="G184" t="str">
            <v>H Giang</v>
          </cell>
          <cell r="H184" t="str">
            <v>VĂN</v>
          </cell>
        </row>
        <row r="185">
          <cell r="C185" t="str">
            <v>V4</v>
          </cell>
          <cell r="D185" t="str">
            <v>Quách Thị Thủy</v>
          </cell>
          <cell r="E185" t="str">
            <v>Thủy</v>
          </cell>
          <cell r="F185" t="str">
            <v>THUỶ</v>
          </cell>
          <cell r="G185" t="str">
            <v>Thủy</v>
          </cell>
          <cell r="H185" t="str">
            <v>VĂN</v>
          </cell>
        </row>
        <row r="186">
          <cell r="C186" t="str">
            <v>V5</v>
          </cell>
          <cell r="D186" t="str">
            <v>Trương Thu Trang</v>
          </cell>
          <cell r="E186" t="str">
            <v>Thu Trang</v>
          </cell>
          <cell r="F186" t="str">
            <v>TRANG</v>
          </cell>
          <cell r="G186" t="str">
            <v>TRANG</v>
          </cell>
          <cell r="H186" t="str">
            <v>VĂN</v>
          </cell>
        </row>
        <row r="187">
          <cell r="C187" t="str">
            <v>V6</v>
          </cell>
          <cell r="D187" t="str">
            <v>Lý Diệp Trường Phú</v>
          </cell>
          <cell r="E187" t="str">
            <v>Lý Diệp Trường Phú</v>
          </cell>
          <cell r="F187" t="str">
            <v>Phú</v>
          </cell>
          <cell r="G187" t="str">
            <v>Phu</v>
          </cell>
          <cell r="H187" t="str">
            <v>VĂN</v>
          </cell>
        </row>
        <row r="188">
          <cell r="C188" t="str">
            <v>V7</v>
          </cell>
          <cell r="D188" t="str">
            <v>Lưu Bích Hoài Thêm</v>
          </cell>
          <cell r="E188" t="str">
            <v>Them</v>
          </cell>
          <cell r="F188" t="str">
            <v>THÊM</v>
          </cell>
          <cell r="G188" t="str">
            <v>THEM</v>
          </cell>
          <cell r="H188" t="str">
            <v>VĂN</v>
          </cell>
        </row>
        <row r="189">
          <cell r="C189" t="str">
            <v>V8</v>
          </cell>
          <cell r="D189" t="str">
            <v>Nguyễn Hữu Bắc</v>
          </cell>
          <cell r="E189" t="str">
            <v>Nguyen Huu Bac</v>
          </cell>
          <cell r="F189" t="str">
            <v>BẮC</v>
          </cell>
          <cell r="G189" t="str">
            <v>BAC</v>
          </cell>
          <cell r="H189" t="str">
            <v>VĂN</v>
          </cell>
        </row>
        <row r="190">
          <cell r="C190" t="str">
            <v>V9</v>
          </cell>
          <cell r="D190" t="str">
            <v xml:space="preserve">Hoàng Thị Hải Yến </v>
          </cell>
          <cell r="E190" t="str">
            <v>Hoang Thi Hai Yen</v>
          </cell>
          <cell r="F190" t="str">
            <v>YẾN</v>
          </cell>
          <cell r="G190" t="str">
            <v>H.YEN</v>
          </cell>
          <cell r="H190" t="str">
            <v>VĂN</v>
          </cell>
        </row>
        <row r="191">
          <cell r="C191" t="str">
            <v>H3</v>
          </cell>
          <cell r="D191" t="str">
            <v>Nguyễn Thành Trung</v>
          </cell>
          <cell r="E191" t="str">
            <v>Nguyen Thanh Trung</v>
          </cell>
          <cell r="F191" t="str">
            <v>TRUNG</v>
          </cell>
          <cell r="G191" t="str">
            <v>TRUNG</v>
          </cell>
          <cell r="H191" t="str">
            <v>HÓA</v>
          </cell>
        </row>
        <row r="192">
          <cell r="C192" t="str">
            <v>H8</v>
          </cell>
          <cell r="D192" t="str">
            <v>Nguyễn Quốc Bảo</v>
          </cell>
          <cell r="E192" t="str">
            <v>Nguyen Quoc Bao</v>
          </cell>
          <cell r="F192" t="str">
            <v>BAO</v>
          </cell>
          <cell r="G192" t="str">
            <v>BAO</v>
          </cell>
          <cell r="H192" t="str">
            <v>HÓA</v>
          </cell>
        </row>
        <row r="193">
          <cell r="C193" t="str">
            <v>G1</v>
          </cell>
          <cell r="D193" t="str">
            <v>Huỳnh Thị Bích Vân</v>
          </cell>
          <cell r="E193" t="str">
            <v>Huynh Thi Bich Van</v>
          </cell>
          <cell r="F193" t="str">
            <v>B.VÂN</v>
          </cell>
          <cell r="G193" t="str">
            <v>VAN</v>
          </cell>
          <cell r="H193" t="str">
            <v>KT&amp;PL</v>
          </cell>
        </row>
        <row r="194">
          <cell r="C194" t="str">
            <v>E5</v>
          </cell>
          <cell r="D194" t="str">
            <v>Nguyễn Thị Phượng Anh</v>
          </cell>
          <cell r="E194" t="str">
            <v>Nguyen Thi Phuong Anh</v>
          </cell>
          <cell r="F194" t="str">
            <v>P.ANH</v>
          </cell>
          <cell r="G194" t="str">
            <v>ANH (SI)</v>
          </cell>
          <cell r="H194" t="str">
            <v>SINH</v>
          </cell>
        </row>
        <row r="195">
          <cell r="C195" t="str">
            <v>S6</v>
          </cell>
          <cell r="D195" t="str">
            <v>Nguyễn Anh Khoa</v>
          </cell>
          <cell r="E195" t="str">
            <v>Nguyễn Anh Khoa</v>
          </cell>
          <cell r="F195" t="str">
            <v>KHOA ( SỬ)</v>
          </cell>
          <cell r="G195" t="str">
            <v>KHOA (SU)</v>
          </cell>
          <cell r="H195" t="str">
            <v>SỬ</v>
          </cell>
        </row>
        <row r="196">
          <cell r="C196" t="str">
            <v>L4GD</v>
          </cell>
          <cell r="D196" t="str">
            <v xml:space="preserve">Trần Thị Lam Hồng </v>
          </cell>
          <cell r="E196" t="str">
            <v>Tran Thi Lam Hong</v>
          </cell>
          <cell r="F196" t="str">
            <v>L.HỒNG</v>
          </cell>
          <cell r="G196" t="str">
            <v>HONG</v>
          </cell>
          <cell r="H196" t="str">
            <v>GDĐP</v>
          </cell>
        </row>
        <row r="197">
          <cell r="C197" t="str">
            <v>M1</v>
          </cell>
          <cell r="D197" t="str">
            <v>Tưởng Đông Diệm</v>
          </cell>
          <cell r="E197" t="str">
            <v>Tuong Dong Diem</v>
          </cell>
          <cell r="F197" t="str">
            <v>DIỆM (TH)</v>
          </cell>
          <cell r="G197" t="str">
            <v>DIEM</v>
          </cell>
          <cell r="H197" t="str">
            <v>TIN HỌC</v>
          </cell>
        </row>
        <row r="198">
          <cell r="C198" t="str">
            <v>M7</v>
          </cell>
          <cell r="D198" t="str">
            <v>Nguyễn Thị Thanh Thảo</v>
          </cell>
          <cell r="E198" t="str">
            <v>Nguyen Thi Thanh Thao</v>
          </cell>
          <cell r="F198" t="str">
            <v>THAO</v>
          </cell>
          <cell r="G198" t="str">
            <v>THAO</v>
          </cell>
          <cell r="H198" t="str">
            <v>TIN HỌC</v>
          </cell>
        </row>
        <row r="199">
          <cell r="C199" t="str">
            <v>E5HN</v>
          </cell>
          <cell r="D199" t="str">
            <v>Nguyễn Thị Phượng Anh</v>
          </cell>
          <cell r="E199" t="str">
            <v>Nguyen Thi Phuong Anh</v>
          </cell>
          <cell r="F199" t="str">
            <v>P.ANH</v>
          </cell>
          <cell r="G199" t="str">
            <v>ANH (SI)</v>
          </cell>
          <cell r="H199" t="str">
            <v>TNHN</v>
          </cell>
        </row>
        <row r="200">
          <cell r="C200" t="str">
            <v>V12</v>
          </cell>
          <cell r="D200" t="str">
            <v>Lê Thị Phượng</v>
          </cell>
          <cell r="E200" t="str">
            <v>PHƯỢNG</v>
          </cell>
          <cell r="F200" t="str">
            <v>PHƯỢNG</v>
          </cell>
          <cell r="G200" t="str">
            <v>PHUONG</v>
          </cell>
          <cell r="H200" t="str">
            <v>VĂN</v>
          </cell>
        </row>
        <row r="201">
          <cell r="C201" t="str">
            <v>E8HN</v>
          </cell>
          <cell r="D201" t="str">
            <v>Nguyễn Bảo Trang</v>
          </cell>
          <cell r="E201" t="str">
            <v>Nguyen Bao Trang</v>
          </cell>
          <cell r="F201" t="str">
            <v>B.Trang</v>
          </cell>
          <cell r="G201" t="str">
            <v>Trang (Si)</v>
          </cell>
          <cell r="H201" t="str">
            <v>TNHN</v>
          </cell>
        </row>
        <row r="202">
          <cell r="C202" t="str">
            <v>T5HN</v>
          </cell>
          <cell r="D202" t="str">
            <v>Nguyễn Việt Phương</v>
          </cell>
          <cell r="E202" t="str">
            <v>Nguyễn Việt Phương</v>
          </cell>
          <cell r="F202" t="str">
            <v>V.PHƯƠNG</v>
          </cell>
          <cell r="G202" t="str">
            <v>Phuong</v>
          </cell>
          <cell r="H202" t="str">
            <v>GDĐP</v>
          </cell>
        </row>
        <row r="203">
          <cell r="C203" t="str">
            <v>L11HN</v>
          </cell>
          <cell r="D203" t="str">
            <v>Hồ Văn Bình</v>
          </cell>
          <cell r="E203" t="str">
            <v>Ho Van Binh</v>
          </cell>
          <cell r="F203" t="str">
            <v>BÌNH</v>
          </cell>
          <cell r="G203" t="str">
            <v>BINH</v>
          </cell>
          <cell r="H203" t="str">
            <v>TNHN</v>
          </cell>
        </row>
        <row r="204">
          <cell r="C204" t="str">
            <v>H5GD</v>
          </cell>
          <cell r="D204" t="str">
            <v>Nguyễn Văn Trọng</v>
          </cell>
          <cell r="E204" t="str">
            <v>Nguyen Van Trong</v>
          </cell>
          <cell r="F204" t="str">
            <v>TRỌNG</v>
          </cell>
          <cell r="G204" t="str">
            <v>TRONG</v>
          </cell>
          <cell r="H204" t="str">
            <v>GDĐP</v>
          </cell>
        </row>
        <row r="205">
          <cell r="C205" t="str">
            <v>V12HN</v>
          </cell>
          <cell r="D205" t="str">
            <v>Lê Thị Phượng</v>
          </cell>
          <cell r="E205" t="str">
            <v>PHƯỢNG</v>
          </cell>
          <cell r="F205" t="str">
            <v>PHƯỢNG</v>
          </cell>
          <cell r="G205" t="str">
            <v>PHUONG</v>
          </cell>
          <cell r="H205" t="str">
            <v>TNHN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K10"/>
      <sheetName val="GDTC K10"/>
      <sheetName val="GDTC K12"/>
      <sheetName val="GDTC K11"/>
      <sheetName val="TKB-GDTC"/>
      <sheetName val="DS_HS_XEP_V2"/>
      <sheetName val="Sheet1"/>
      <sheetName val="Trùng lịch GV K12"/>
      <sheetName val="Ma nhom"/>
      <sheetName val="THONG_KE"/>
      <sheetName val="THQT-STEM-AVBN (2)"/>
      <sheetName val="GDTC (2)"/>
      <sheetName val="THQT-STEM-AVBN"/>
      <sheetName val="AVBN K10-K11"/>
      <sheetName val="CTNT-K10-STEM-AVBN-THQT"/>
      <sheetName val="Sheet4"/>
      <sheetName val="DANHSACHHS_NHOMSTEM"/>
      <sheetName val="DANHSACHHS_NHOMTHQT"/>
      <sheetName val="DU_LIEU_HS_K10"/>
      <sheetName val="GDTC"/>
      <sheetName val="DU_LIEU_HS_K11"/>
      <sheetName val="DU_LIEU_HS_K12"/>
      <sheetName val="CTNHATRUONG"/>
      <sheetName val="TK_K10"/>
      <sheetName val="TK_K11"/>
      <sheetName val="TK_K1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B3" t="str">
            <v>Mã nhóm</v>
          </cell>
          <cell r="D3" t="str">
            <v>Tên giáo viên giảng dạy</v>
          </cell>
        </row>
        <row r="4">
          <cell r="B4" t="str">
            <v>CT10-AVBN-01</v>
          </cell>
          <cell r="D4" t="str">
            <v>Du Piesanie Nadia</v>
          </cell>
        </row>
        <row r="5">
          <cell r="B5" t="str">
            <v>CT10-AVBN-02</v>
          </cell>
          <cell r="D5" t="str">
            <v>Du Piesanie Nadia</v>
          </cell>
        </row>
        <row r="6">
          <cell r="B6" t="str">
            <v>CT10-AVBN-03</v>
          </cell>
          <cell r="D6" t="str">
            <v>Du Piesanie Nadia</v>
          </cell>
        </row>
        <row r="7">
          <cell r="B7" t="str">
            <v>CT10-AVBN-04</v>
          </cell>
          <cell r="D7" t="str">
            <v>Du Piesanie Nadia</v>
          </cell>
        </row>
        <row r="8">
          <cell r="B8" t="str">
            <v>CT10-AVBN-05</v>
          </cell>
          <cell r="D8" t="str">
            <v>Du Piesanie Nadia</v>
          </cell>
        </row>
        <row r="9">
          <cell r="B9" t="str">
            <v>CT10-AVBN-06</v>
          </cell>
          <cell r="D9" t="str">
            <v>Du Piesanie Nadia</v>
          </cell>
        </row>
        <row r="10">
          <cell r="B10" t="str">
            <v>CT10-AVBN-07</v>
          </cell>
          <cell r="D10" t="str">
            <v>Du Piesanie Nadia</v>
          </cell>
        </row>
        <row r="11">
          <cell r="B11" t="str">
            <v>CT10-AVBN-08</v>
          </cell>
          <cell r="D11" t="str">
            <v>Du Piesanie Nadia</v>
          </cell>
        </row>
        <row r="12">
          <cell r="B12" t="str">
            <v>CT10-AVBN-09</v>
          </cell>
          <cell r="D12" t="str">
            <v>Van Graan Rochelle</v>
          </cell>
        </row>
        <row r="13">
          <cell r="B13" t="str">
            <v>CT10-AVBN-10</v>
          </cell>
          <cell r="D13" t="str">
            <v>Van Graan Rochelle</v>
          </cell>
        </row>
        <row r="14">
          <cell r="B14" t="str">
            <v>CT10-AVBN-11</v>
          </cell>
          <cell r="D14" t="str">
            <v>Van Graan Rochelle</v>
          </cell>
        </row>
        <row r="15">
          <cell r="B15" t="str">
            <v>CT10-AVBN-12</v>
          </cell>
          <cell r="D15" t="str">
            <v>Van Graan Rochelle</v>
          </cell>
        </row>
        <row r="16">
          <cell r="B16" t="str">
            <v>CT10-STEM-01</v>
          </cell>
          <cell r="D16" t="str">
            <v>Nguyễn Lê Diệu Tuyến</v>
          </cell>
        </row>
        <row r="17">
          <cell r="B17" t="str">
            <v>CT10-STEM-02</v>
          </cell>
          <cell r="D17" t="str">
            <v>Nguyễn Lê Diệu Tuyến</v>
          </cell>
        </row>
        <row r="18">
          <cell r="B18" t="str">
            <v>CT10-STEM-03</v>
          </cell>
          <cell r="D18" t="str">
            <v>Lê Thiên Tân</v>
          </cell>
        </row>
        <row r="19">
          <cell r="B19" t="str">
            <v>CT10-STEM-04</v>
          </cell>
          <cell r="D19" t="str">
            <v>Lê Thiên Tân</v>
          </cell>
        </row>
        <row r="20">
          <cell r="B20" t="str">
            <v>CT10-STEM-05</v>
          </cell>
          <cell r="D20" t="str">
            <v>Lê Thiên Tân</v>
          </cell>
        </row>
        <row r="21">
          <cell r="B21" t="str">
            <v>CT10-STEM-06</v>
          </cell>
          <cell r="D21" t="str">
            <v>Lê Thiên Tân</v>
          </cell>
        </row>
        <row r="22">
          <cell r="B22" t="str">
            <v>CT10-THQT-01</v>
          </cell>
          <cell r="D22" t="str">
            <v>Đặng Thị Xuân</v>
          </cell>
        </row>
        <row r="23">
          <cell r="B23" t="str">
            <v>CT10-THQT-02</v>
          </cell>
          <cell r="D23" t="str">
            <v>Đặng Thị Xuân</v>
          </cell>
        </row>
        <row r="24">
          <cell r="B24" t="str">
            <v>CT10-THQT-03</v>
          </cell>
          <cell r="D24" t="str">
            <v>Đặng Thị Xuân</v>
          </cell>
        </row>
        <row r="25">
          <cell r="B25" t="str">
            <v>CT10-THQT-04</v>
          </cell>
          <cell r="D25" t="str">
            <v>Đặng Thị Xuân</v>
          </cell>
        </row>
        <row r="26">
          <cell r="B26" t="str">
            <v>CT10-THQT-05</v>
          </cell>
          <cell r="D26" t="str">
            <v>Huỳnh Chí Cường</v>
          </cell>
        </row>
        <row r="27">
          <cell r="B27" t="str">
            <v>CT10-THQT-06</v>
          </cell>
          <cell r="D27" t="str">
            <v>Huỳnh Chí Cường</v>
          </cell>
        </row>
        <row r="28">
          <cell r="B28" t="str">
            <v>CT10-THQT-07</v>
          </cell>
          <cell r="D28" t="str">
            <v>Nguyễn Phi Hùng</v>
          </cell>
        </row>
        <row r="29">
          <cell r="B29" t="str">
            <v>CT10-THQT-08</v>
          </cell>
          <cell r="D29" t="str">
            <v>Nguyễn Phi Hùng</v>
          </cell>
        </row>
        <row r="30">
          <cell r="B30" t="str">
            <v>CT10-THQT-09</v>
          </cell>
          <cell r="D30" t="str">
            <v>Nguyễn Phi Hùng</v>
          </cell>
        </row>
        <row r="31">
          <cell r="B31" t="str">
            <v>CT10-THQT-10</v>
          </cell>
          <cell r="D31" t="str">
            <v>Nguyễn Phi Hùng</v>
          </cell>
        </row>
        <row r="32">
          <cell r="B32" t="str">
            <v>CT10-THQT-11</v>
          </cell>
          <cell r="D32" t="str">
            <v>Kim Vĩnh Anh Khoa</v>
          </cell>
        </row>
        <row r="33">
          <cell r="B33" t="str">
            <v>TC10-BC-01</v>
          </cell>
          <cell r="D33" t="str">
            <v>BÙI VĂN CƯỜNG</v>
          </cell>
        </row>
        <row r="34">
          <cell r="B34" t="str">
            <v>TC10-BC-02</v>
          </cell>
          <cell r="D34" t="str">
            <v>BÙI VĂN CƯỜNG</v>
          </cell>
        </row>
        <row r="35">
          <cell r="B35" t="str">
            <v>TC10-BD-01</v>
          </cell>
          <cell r="D35" t="str">
            <v>NGUYỄN HỮU HIỆP</v>
          </cell>
        </row>
        <row r="36">
          <cell r="B36" t="str">
            <v>TC10-BD-02</v>
          </cell>
          <cell r="D36" t="str">
            <v>NGUYỄN HỮU HIỆP</v>
          </cell>
        </row>
        <row r="37">
          <cell r="B37" t="str">
            <v>TC10-BD-03</v>
          </cell>
          <cell r="D37" t="str">
            <v>NGUYỄN HỮU HIỆP</v>
          </cell>
        </row>
        <row r="38">
          <cell r="B38" t="str">
            <v>TC10-BR-01</v>
          </cell>
          <cell r="D38" t="str">
            <v>TRƯƠNG VĂN THƠ</v>
          </cell>
        </row>
        <row r="39">
          <cell r="B39" t="str">
            <v>TC10-BR-02</v>
          </cell>
          <cell r="D39" t="str">
            <v>TRƯƠNG VĂN THƠ</v>
          </cell>
        </row>
        <row r="40">
          <cell r="B40" t="str">
            <v>TC10-BR-03</v>
          </cell>
          <cell r="D40" t="str">
            <v>TRƯƠNG VĂN THƠ</v>
          </cell>
        </row>
        <row r="41">
          <cell r="B41" t="str">
            <v>TC10-CL-01</v>
          </cell>
          <cell r="D41" t="str">
            <v>NGUYỄN NGỌC TUẤN</v>
          </cell>
        </row>
        <row r="42">
          <cell r="B42" t="str">
            <v>TC10-CL-02</v>
          </cell>
          <cell r="D42" t="str">
            <v>NGUYỄN NGỌC TUẤN</v>
          </cell>
        </row>
        <row r="43">
          <cell r="B43" t="str">
            <v>TC10-CL-03</v>
          </cell>
          <cell r="D43" t="str">
            <v>NGUYỄN NGỌC TUẤN</v>
          </cell>
        </row>
        <row r="44">
          <cell r="B44" t="str">
            <v>TC10-CL-04</v>
          </cell>
          <cell r="D44" t="str">
            <v>NGUYỄN NGỌC TUẤN</v>
          </cell>
        </row>
        <row r="45">
          <cell r="B45" t="str">
            <v>TC10-CL-05</v>
          </cell>
          <cell r="D45" t="str">
            <v>NGUYỄN NGỌC TUẤN</v>
          </cell>
        </row>
        <row r="46">
          <cell r="B46" t="str">
            <v>TC10-CL-06</v>
          </cell>
          <cell r="D46" t="str">
            <v>DIỆP KIM HẢI</v>
          </cell>
        </row>
        <row r="47">
          <cell r="B47" t="str">
            <v>TC10-CL-07</v>
          </cell>
          <cell r="D47" t="str">
            <v>DIỆP KIM HẢI</v>
          </cell>
        </row>
        <row r="48">
          <cell r="B48" t="str">
            <v>TC10-CL-08</v>
          </cell>
          <cell r="D48" t="str">
            <v>DIỆP KIM HẢI</v>
          </cell>
        </row>
        <row r="49">
          <cell r="B49" t="str">
            <v>TC10-CL-09</v>
          </cell>
          <cell r="D49" t="str">
            <v>DIỆP KIM HẢI</v>
          </cell>
        </row>
        <row r="50">
          <cell r="B50" t="str">
            <v>TC10-CL-10</v>
          </cell>
          <cell r="D50" t="str">
            <v>DIỆP KIM HẢI</v>
          </cell>
        </row>
        <row r="51">
          <cell r="B51" t="str">
            <v>TC10-CL-11</v>
          </cell>
          <cell r="D51" t="str">
            <v>DIỆP KIM HẢI</v>
          </cell>
        </row>
        <row r="52">
          <cell r="B52" t="str">
            <v>TC10-CL-12</v>
          </cell>
          <cell r="D52" t="str">
            <v>DIỆP KIM HẢI</v>
          </cell>
        </row>
        <row r="53">
          <cell r="B53" t="str">
            <v>CT12-THQT-01</v>
          </cell>
          <cell r="D53" t="str">
            <v>Huỳnh Chí Cường</v>
          </cell>
        </row>
        <row r="54">
          <cell r="B54" t="str">
            <v>CT12-THQT-02</v>
          </cell>
          <cell r="D54" t="str">
            <v>Huỳnh Chí Cường</v>
          </cell>
        </row>
        <row r="55">
          <cell r="B55" t="str">
            <v>CT12-THQT-03</v>
          </cell>
          <cell r="D55" t="str">
            <v>Nguyễn Ngọc Bảo Trân</v>
          </cell>
        </row>
        <row r="56">
          <cell r="B56" t="str">
            <v>CT12-THQT-04</v>
          </cell>
          <cell r="D56" t="str">
            <v>Nguyễn Ngọc Bảo Trân</v>
          </cell>
        </row>
        <row r="57">
          <cell r="B57" t="str">
            <v>CT12-THQT-05</v>
          </cell>
          <cell r="D57" t="str">
            <v>Nguyễn Ngọc Bảo Trân</v>
          </cell>
        </row>
        <row r="58">
          <cell r="B58" t="str">
            <v>CT12-THQT-06</v>
          </cell>
          <cell r="D58" t="str">
            <v>Nguyễn Ngọc Bảo Trân</v>
          </cell>
        </row>
        <row r="59">
          <cell r="B59" t="str">
            <v>TC12-BC-01</v>
          </cell>
          <cell r="D59" t="str">
            <v>BÙI VĂN CƯỜNG</v>
          </cell>
        </row>
        <row r="60">
          <cell r="B60" t="str">
            <v>TC12-BC-02</v>
          </cell>
          <cell r="D60" t="str">
            <v>BÙI VĂN CƯỜNG</v>
          </cell>
        </row>
        <row r="61">
          <cell r="B61" t="str">
            <v>TC12-BD-01</v>
          </cell>
          <cell r="D61" t="str">
            <v>NGUYỄN HỮU HIỆP</v>
          </cell>
        </row>
        <row r="62">
          <cell r="B62" t="str">
            <v>TC12-BD-02</v>
          </cell>
          <cell r="D62" t="str">
            <v>NGUYỄN HỮU HIỆP</v>
          </cell>
        </row>
        <row r="63">
          <cell r="B63" t="str">
            <v>TC12-BD-03</v>
          </cell>
          <cell r="D63" t="str">
            <v>NGUYỄN HỮU HIỆP</v>
          </cell>
        </row>
        <row r="64">
          <cell r="B64" t="str">
            <v>TC12-BR-01</v>
          </cell>
          <cell r="D64" t="str">
            <v>TRƯƠNG VĂN THƠ</v>
          </cell>
        </row>
        <row r="65">
          <cell r="B65" t="str">
            <v>TC12-BR-02</v>
          </cell>
          <cell r="D65" t="str">
            <v>TRƯƠNG VĂN THƠ</v>
          </cell>
        </row>
        <row r="66">
          <cell r="B66" t="str">
            <v>TC12-BR-03</v>
          </cell>
          <cell r="D66" t="str">
            <v>TRƯƠNG VĂN THƠ</v>
          </cell>
        </row>
        <row r="67">
          <cell r="B67" t="str">
            <v>TC12-CL-01</v>
          </cell>
          <cell r="D67" t="str">
            <v>BÙI VĂN CƯỜNG</v>
          </cell>
        </row>
        <row r="68">
          <cell r="B68" t="str">
            <v>TC12-CL-02</v>
          </cell>
          <cell r="D68" t="str">
            <v>BÙI VĂN CƯỜNG</v>
          </cell>
        </row>
        <row r="69">
          <cell r="B69" t="str">
            <v>TC12-CL-03</v>
          </cell>
          <cell r="D69" t="str">
            <v>ĐỖ BÁ KHANG</v>
          </cell>
        </row>
        <row r="70">
          <cell r="B70" t="str">
            <v>TC12-CL-04</v>
          </cell>
          <cell r="D70" t="str">
            <v>ĐỖ BÁ KHANG</v>
          </cell>
        </row>
        <row r="71">
          <cell r="B71" t="str">
            <v>TC12-CL-05</v>
          </cell>
          <cell r="D71" t="str">
            <v>ĐỖ BÁ KHANG</v>
          </cell>
        </row>
        <row r="72">
          <cell r="B72" t="str">
            <v>TC12-CL-06</v>
          </cell>
          <cell r="D72" t="str">
            <v>ĐỖ BÁ KHANG</v>
          </cell>
        </row>
        <row r="73">
          <cell r="B73" t="str">
            <v>TC12-CL-07</v>
          </cell>
          <cell r="D73" t="str">
            <v>ĐỖ BÁ KHANG</v>
          </cell>
        </row>
        <row r="74">
          <cell r="B74" t="str">
            <v>TC12-CL-08</v>
          </cell>
          <cell r="D74" t="str">
            <v>DIỆP KIM HẢI</v>
          </cell>
        </row>
        <row r="75">
          <cell r="B75" t="str">
            <v>TN12-ANH-01</v>
          </cell>
          <cell r="D75" t="str">
            <v>NGUYỄN VĂN HÙNG</v>
          </cell>
        </row>
        <row r="76">
          <cell r="B76" t="str">
            <v>TN12-ANH-03</v>
          </cell>
          <cell r="D76" t="str">
            <v>PHẠM THỊ PHƯƠNG ĐIỀN</v>
          </cell>
        </row>
        <row r="77">
          <cell r="B77" t="str">
            <v>TN12-ANH-05</v>
          </cell>
          <cell r="D77" t="str">
            <v>LÊ THỊ TƯỜNG VY</v>
          </cell>
        </row>
        <row r="78">
          <cell r="B78" t="str">
            <v>TN12-ANH-07</v>
          </cell>
          <cell r="D78" t="str">
            <v>TRẦN THỊ MỸ THANH</v>
          </cell>
        </row>
        <row r="79">
          <cell r="B79" t="str">
            <v>TN12-ANH-09</v>
          </cell>
          <cell r="D79" t="str">
            <v>NGUYỄN THỊ THUỲ DƯƠNG</v>
          </cell>
        </row>
        <row r="80">
          <cell r="B80" t="str">
            <v>TN12-DIA-02</v>
          </cell>
          <cell r="D80" t="str">
            <v>PHẠM THỊ THU HƯỜNG</v>
          </cell>
        </row>
        <row r="81">
          <cell r="B81" t="str">
            <v>TN12-HOA-01</v>
          </cell>
          <cell r="D81" t="str">
            <v>TRƯƠNG NGỌC ANH LUÂN</v>
          </cell>
        </row>
        <row r="82">
          <cell r="B82" t="str">
            <v>TN12-HOA-03</v>
          </cell>
          <cell r="D82" t="str">
            <v>NGUYỄN VĂN TRỌNG</v>
          </cell>
        </row>
        <row r="83">
          <cell r="B83" t="str">
            <v>TN12-HOA-04</v>
          </cell>
          <cell r="D83" t="str">
            <v>NGUYỄN QUỐC DŨNG</v>
          </cell>
        </row>
        <row r="84">
          <cell r="B84" t="str">
            <v>TN12-LY-03</v>
          </cell>
          <cell r="D84" t="str">
            <v>DƯƠNG ANH QUANG</v>
          </cell>
        </row>
        <row r="85">
          <cell r="B85" t="str">
            <v>TN12-SINH-01</v>
          </cell>
          <cell r="D85" t="str">
            <v>NGUYỄN THỊ TUYẾT NHUNG</v>
          </cell>
        </row>
        <row r="86">
          <cell r="B86" t="str">
            <v>TN12-SU-01</v>
          </cell>
          <cell r="D86" t="str">
            <v>NGÔ THÚY DUY</v>
          </cell>
        </row>
        <row r="87">
          <cell r="B87" t="str">
            <v>TN12-ANH-08</v>
          </cell>
          <cell r="D87" t="str">
            <v>TRẦN THỊ MỸ THANH</v>
          </cell>
        </row>
        <row r="88">
          <cell r="B88" t="str">
            <v>TN12-ANH-10</v>
          </cell>
          <cell r="D88" t="str">
            <v>NGUYỄN VĂN HÙNG</v>
          </cell>
        </row>
        <row r="89">
          <cell r="B89" t="str">
            <v>TN12-DIA-03</v>
          </cell>
          <cell r="D89" t="str">
            <v>HUỲNH THỊ BÍCH HUYỀN</v>
          </cell>
        </row>
        <row r="90">
          <cell r="B90" t="str">
            <v>TN12-KTPL-02</v>
          </cell>
          <cell r="D90" t="str">
            <v>MAI THỊ BÍCH PHƯƠNG</v>
          </cell>
        </row>
        <row r="91">
          <cell r="B91" t="str">
            <v>TN12-LY-01</v>
          </cell>
          <cell r="D91" t="str">
            <v>HỒ VĂN BÌNH</v>
          </cell>
        </row>
        <row r="92">
          <cell r="B92" t="str">
            <v>TN12-LY-04</v>
          </cell>
          <cell r="D92" t="str">
            <v>NGUYỄN MINH HOÀNG</v>
          </cell>
        </row>
        <row r="93">
          <cell r="B93" t="str">
            <v>TN12-SINH-02</v>
          </cell>
          <cell r="D93" t="str">
            <v>TRẦN THỊ MỸ SƯƠNG</v>
          </cell>
        </row>
        <row r="94">
          <cell r="B94" t="str">
            <v>TN12-SU-04</v>
          </cell>
          <cell r="D94" t="str">
            <v>LÊ THỊ NHẬT THẢO</v>
          </cell>
        </row>
        <row r="95">
          <cell r="B95" t="str">
            <v>TN12-ANH-06</v>
          </cell>
          <cell r="D95" t="str">
            <v>NGUYỄN MINH THANH TÙNG</v>
          </cell>
        </row>
        <row r="96">
          <cell r="B96" t="str">
            <v>TN12-LY-02</v>
          </cell>
          <cell r="D96" t="str">
            <v>NGÔ PHÁT THƯƠNG</v>
          </cell>
        </row>
        <row r="97">
          <cell r="B97" t="str">
            <v>TN12-LY-05</v>
          </cell>
          <cell r="D97" t="str">
            <v>NGUYỄN MINH HOÀNG</v>
          </cell>
        </row>
        <row r="98">
          <cell r="B98" t="str">
            <v>TN12-SU-03</v>
          </cell>
          <cell r="D98" t="str">
            <v>PHẠM VĂN HẢI</v>
          </cell>
        </row>
        <row r="99">
          <cell r="B99" t="str">
            <v>TN12-ANH-02</v>
          </cell>
          <cell r="D99" t="str">
            <v>PHẠM THỊ PHƯƠNG ĐIỀN</v>
          </cell>
        </row>
        <row r="100">
          <cell r="B100" t="str">
            <v>TN12-ANH-04</v>
          </cell>
          <cell r="D100" t="str">
            <v>NGUYỄN THỊ THUỲ DƯƠNG</v>
          </cell>
        </row>
        <row r="101">
          <cell r="B101" t="str">
            <v>TN12-DIA-01</v>
          </cell>
          <cell r="D101" t="str">
            <v>ĐÀO THỊ THÀNH</v>
          </cell>
        </row>
        <row r="102">
          <cell r="B102" t="str">
            <v>TN12-HOA-02</v>
          </cell>
          <cell r="D102" t="str">
            <v>LÂM GIA HÂN</v>
          </cell>
        </row>
        <row r="103">
          <cell r="B103" t="str">
            <v>TN12-KTPL-01</v>
          </cell>
          <cell r="D103" t="str">
            <v>TRẦN THỊ XUÂN ĐÀO</v>
          </cell>
        </row>
        <row r="104">
          <cell r="B104" t="str">
            <v>TN12-LY-06</v>
          </cell>
          <cell r="D104" t="str">
            <v>DƯƠNG ANH QUANG</v>
          </cell>
        </row>
        <row r="105">
          <cell r="B105" t="str">
            <v>TN12-SU-02</v>
          </cell>
          <cell r="D105" t="str">
            <v>NGUYỄN THỊ DIỆP LÀI</v>
          </cell>
        </row>
        <row r="106">
          <cell r="B106" t="str">
            <v>TN12-TIN-01</v>
          </cell>
          <cell r="D106" t="str">
            <v>NGUYỄN PHI HÙNG</v>
          </cell>
        </row>
        <row r="107">
          <cell r="B107" t="str">
            <v>TC11-BC-01</v>
          </cell>
          <cell r="D107" t="str">
            <v>BÙI VĂN CƯỜNG</v>
          </cell>
        </row>
        <row r="108">
          <cell r="B108" t="str">
            <v>TC11-BC-02</v>
          </cell>
          <cell r="D108" t="str">
            <v>BÙI VĂN CƯỜNG</v>
          </cell>
        </row>
        <row r="109">
          <cell r="B109" t="str">
            <v>TC11-BD-01</v>
          </cell>
          <cell r="D109" t="str">
            <v>NGUYỄN HỮU HIỆP</v>
          </cell>
        </row>
        <row r="110">
          <cell r="B110" t="str">
            <v>TC11-BD-02</v>
          </cell>
          <cell r="D110" t="str">
            <v>NGUYỄN HỮU HIỆP</v>
          </cell>
        </row>
        <row r="111">
          <cell r="B111" t="str">
            <v>TC11-BR-01</v>
          </cell>
          <cell r="D111" t="str">
            <v>TRƯƠNG VĂN THƠ</v>
          </cell>
        </row>
        <row r="112">
          <cell r="B112" t="str">
            <v>TC11-BR-02</v>
          </cell>
          <cell r="D112" t="str">
            <v>TRƯƠNG VĂN THƠ</v>
          </cell>
        </row>
        <row r="113">
          <cell r="B113" t="str">
            <v>TC11-BR-03</v>
          </cell>
          <cell r="D113" t="str">
            <v>TRƯƠNG VĂN THƠ</v>
          </cell>
        </row>
        <row r="114">
          <cell r="B114" t="str">
            <v>TC11-CL-01</v>
          </cell>
          <cell r="D114" t="str">
            <v>ĐỖ BÁ KHANG</v>
          </cell>
        </row>
        <row r="115">
          <cell r="B115" t="str">
            <v>TC11-CL-02</v>
          </cell>
          <cell r="D115" t="str">
            <v>ĐỖ BÁ KHANG</v>
          </cell>
        </row>
        <row r="116">
          <cell r="B116" t="str">
            <v>TC11-CL-03</v>
          </cell>
          <cell r="D116" t="str">
            <v>ĐỖ BÁ KHANG</v>
          </cell>
        </row>
        <row r="117">
          <cell r="B117" t="str">
            <v>TC11-CL-04</v>
          </cell>
          <cell r="D117" t="str">
            <v>ĐỖ BÁ KHANG</v>
          </cell>
        </row>
        <row r="118">
          <cell r="B118" t="str">
            <v>TC11-CL-05</v>
          </cell>
          <cell r="D118" t="str">
            <v>NGUYỄN NGỌC TUẤN</v>
          </cell>
        </row>
        <row r="119">
          <cell r="B119" t="str">
            <v>TC11-CL-06</v>
          </cell>
          <cell r="D119" t="str">
            <v>NGUYỄN NGỌC TUẤN</v>
          </cell>
        </row>
        <row r="120">
          <cell r="B120" t="str">
            <v>TC11-CL-07</v>
          </cell>
          <cell r="D120" t="str">
            <v>NGUYỄN NGỌC TUẤN</v>
          </cell>
        </row>
        <row r="121">
          <cell r="B121" t="str">
            <v>CT11-AVBN-01</v>
          </cell>
          <cell r="D121" t="str">
            <v>Rayas Lilliana Isabel</v>
          </cell>
        </row>
        <row r="122">
          <cell r="B122" t="str">
            <v>CT11-AVBN-02</v>
          </cell>
          <cell r="D122" t="str">
            <v>Rayas Lilliana Isabel</v>
          </cell>
        </row>
        <row r="123">
          <cell r="B123" t="str">
            <v>CT11-AVBN-03</v>
          </cell>
          <cell r="D123" t="str">
            <v>Rayas Lilliana Isabel</v>
          </cell>
        </row>
        <row r="124">
          <cell r="B124" t="str">
            <v>CT11-AVBN-04</v>
          </cell>
          <cell r="D124" t="str">
            <v>Rayas Lilliana Isabel</v>
          </cell>
        </row>
        <row r="125">
          <cell r="B125" t="str">
            <v>CT11-AVBN-05</v>
          </cell>
          <cell r="D125" t="str">
            <v>Rayas Lilliana Isabel</v>
          </cell>
        </row>
        <row r="126">
          <cell r="B126" t="str">
            <v>CT11-STEM-01</v>
          </cell>
          <cell r="D126" t="str">
            <v>Nguyễn Lê Diệu Tuyến</v>
          </cell>
        </row>
        <row r="127">
          <cell r="B127" t="str">
            <v>CT11-STEM-02</v>
          </cell>
          <cell r="D127" t="str">
            <v>Nguyễn Lê Diệu Tuyến</v>
          </cell>
        </row>
        <row r="128">
          <cell r="B128" t="str">
            <v>CT11-THQT-01</v>
          </cell>
          <cell r="D128" t="str">
            <v>Trương Văn Phúc</v>
          </cell>
        </row>
        <row r="129">
          <cell r="B129" t="str">
            <v>CT11-THQT-02</v>
          </cell>
          <cell r="D129" t="str">
            <v>Trương Văn Phúc</v>
          </cell>
        </row>
        <row r="130">
          <cell r="B130" t="str">
            <v>CT11-THQT-03</v>
          </cell>
          <cell r="D130" t="str">
            <v>Kim Vĩnh Anh Khoa</v>
          </cell>
        </row>
        <row r="131">
          <cell r="B131" t="str">
            <v>CT11-THQT-04</v>
          </cell>
          <cell r="D131" t="str">
            <v>Kim Vĩnh Anh Khoa</v>
          </cell>
        </row>
        <row r="132">
          <cell r="B132" t="str">
            <v>CT11-THQT-05</v>
          </cell>
          <cell r="D132" t="str">
            <v>Kim Vĩnh Anh Khoa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2">
          <cell r="J2" t="str">
            <v>MÃ NHÓM THQT</v>
          </cell>
        </row>
        <row r="3">
          <cell r="C3" t="str">
            <v>10A1</v>
          </cell>
          <cell r="J3" t="str">
            <v>CT10-THQT-11</v>
          </cell>
        </row>
        <row r="4">
          <cell r="C4" t="str">
            <v>10A1</v>
          </cell>
          <cell r="J4" t="str">
            <v>CT10-THQT-02</v>
          </cell>
        </row>
        <row r="5">
          <cell r="C5" t="str">
            <v>10A1</v>
          </cell>
          <cell r="J5" t="str">
            <v>CT10-THQT-03</v>
          </cell>
        </row>
        <row r="6">
          <cell r="C6" t="str">
            <v>10A1</v>
          </cell>
          <cell r="J6" t="str">
            <v>CT10-THQT-11</v>
          </cell>
        </row>
        <row r="7">
          <cell r="C7" t="str">
            <v>10A1</v>
          </cell>
          <cell r="J7" t="str">
            <v>CT10-THQT-03</v>
          </cell>
        </row>
        <row r="8">
          <cell r="C8" t="str">
            <v>10A1</v>
          </cell>
          <cell r="J8" t="str">
            <v>CT10-THQT-03</v>
          </cell>
        </row>
        <row r="9">
          <cell r="C9" t="str">
            <v>10A1</v>
          </cell>
        </row>
        <row r="10">
          <cell r="C10" t="str">
            <v>10A1</v>
          </cell>
          <cell r="J10" t="str">
            <v>CT10-THQT-03</v>
          </cell>
        </row>
        <row r="11">
          <cell r="C11" t="str">
            <v>10A1</v>
          </cell>
        </row>
        <row r="12">
          <cell r="C12" t="str">
            <v>10A1</v>
          </cell>
          <cell r="J12" t="str">
            <v>CT10-THQT-11</v>
          </cell>
        </row>
        <row r="13">
          <cell r="C13" t="str">
            <v>10A1</v>
          </cell>
          <cell r="J13" t="str">
            <v>CT10-THQT-11</v>
          </cell>
        </row>
        <row r="14">
          <cell r="C14" t="str">
            <v>10A1</v>
          </cell>
          <cell r="J14" t="str">
            <v>CT10-THQT-03</v>
          </cell>
        </row>
        <row r="15">
          <cell r="C15" t="str">
            <v>10A1</v>
          </cell>
        </row>
        <row r="16">
          <cell r="C16" t="str">
            <v>10A1</v>
          </cell>
          <cell r="J16" t="str">
            <v>CT10-THQT-02</v>
          </cell>
        </row>
        <row r="17">
          <cell r="C17" t="str">
            <v>10A1</v>
          </cell>
        </row>
        <row r="18">
          <cell r="C18" t="str">
            <v>10A1</v>
          </cell>
          <cell r="J18" t="str">
            <v>CT10-THQT-03</v>
          </cell>
        </row>
        <row r="19">
          <cell r="C19" t="str">
            <v>10A1</v>
          </cell>
          <cell r="J19" t="str">
            <v>CT10-THQT-03</v>
          </cell>
        </row>
        <row r="20">
          <cell r="C20" t="str">
            <v>10A1</v>
          </cell>
          <cell r="J20" t="str">
            <v>CT10-THQT-02</v>
          </cell>
        </row>
        <row r="21">
          <cell r="C21" t="str">
            <v>10A1</v>
          </cell>
        </row>
        <row r="22">
          <cell r="C22" t="str">
            <v>10A1</v>
          </cell>
          <cell r="J22" t="str">
            <v>CT10-THQT-03</v>
          </cell>
        </row>
        <row r="23">
          <cell r="C23" t="str">
            <v>10A1</v>
          </cell>
        </row>
        <row r="24">
          <cell r="C24" t="str">
            <v>10A1</v>
          </cell>
          <cell r="J24" t="str">
            <v>CT10-THQT-03</v>
          </cell>
        </row>
        <row r="25">
          <cell r="C25" t="str">
            <v>10A1</v>
          </cell>
          <cell r="J25" t="str">
            <v>CT10-THQT-03</v>
          </cell>
        </row>
        <row r="26">
          <cell r="C26" t="str">
            <v>10A1</v>
          </cell>
        </row>
        <row r="27">
          <cell r="C27" t="str">
            <v>10A1</v>
          </cell>
        </row>
        <row r="28">
          <cell r="C28" t="str">
            <v>10A1</v>
          </cell>
          <cell r="J28" t="str">
            <v>CT10-THQT-03</v>
          </cell>
        </row>
        <row r="29">
          <cell r="C29" t="str">
            <v>10A1</v>
          </cell>
          <cell r="J29" t="str">
            <v>CT10-THQT-03</v>
          </cell>
        </row>
        <row r="30">
          <cell r="C30" t="str">
            <v>10A1</v>
          </cell>
          <cell r="J30" t="str">
            <v>CT10-THQT-03</v>
          </cell>
        </row>
        <row r="31">
          <cell r="C31" t="str">
            <v>10A1</v>
          </cell>
          <cell r="J31" t="str">
            <v>CT10-THQT-03</v>
          </cell>
        </row>
        <row r="32">
          <cell r="C32" t="str">
            <v>10A1</v>
          </cell>
        </row>
        <row r="33">
          <cell r="C33" t="str">
            <v>10A1</v>
          </cell>
          <cell r="J33" t="str">
            <v>CT10-THQT-03</v>
          </cell>
        </row>
        <row r="34">
          <cell r="C34" t="str">
            <v>10A1</v>
          </cell>
          <cell r="J34" t="str">
            <v>CT10-THQT-03</v>
          </cell>
        </row>
        <row r="35">
          <cell r="C35" t="str">
            <v>10A1</v>
          </cell>
          <cell r="J35" t="str">
            <v>CT10-THQT-03</v>
          </cell>
        </row>
        <row r="36">
          <cell r="C36" t="str">
            <v>10A1</v>
          </cell>
        </row>
        <row r="37">
          <cell r="C37" t="str">
            <v>10A1</v>
          </cell>
          <cell r="J37" t="str">
            <v>CT10-THQT-11</v>
          </cell>
        </row>
        <row r="38">
          <cell r="C38" t="str">
            <v>10A1</v>
          </cell>
        </row>
        <row r="39">
          <cell r="C39" t="str">
            <v>10A1</v>
          </cell>
        </row>
        <row r="40">
          <cell r="C40" t="str">
            <v>10A1</v>
          </cell>
        </row>
        <row r="41">
          <cell r="C41" t="str">
            <v>10A1</v>
          </cell>
        </row>
        <row r="42">
          <cell r="C42" t="str">
            <v>10A1</v>
          </cell>
          <cell r="J42" t="str">
            <v>CT10-THQT-03</v>
          </cell>
        </row>
        <row r="43">
          <cell r="C43" t="str">
            <v>10A1</v>
          </cell>
          <cell r="J43" t="str">
            <v>CT10-THQT-03</v>
          </cell>
        </row>
        <row r="44">
          <cell r="C44" t="str">
            <v>10A1</v>
          </cell>
          <cell r="J44" t="str">
            <v>CT10-THQT-03</v>
          </cell>
        </row>
        <row r="45">
          <cell r="C45" t="str">
            <v>10A1</v>
          </cell>
          <cell r="J45" t="str">
            <v>CT10-THQT-03</v>
          </cell>
        </row>
        <row r="46">
          <cell r="C46" t="str">
            <v>10A1</v>
          </cell>
        </row>
        <row r="47">
          <cell r="C47" t="str">
            <v>10A1</v>
          </cell>
        </row>
        <row r="48">
          <cell r="C48" t="str">
            <v>10A1</v>
          </cell>
          <cell r="J48" t="str">
            <v>CT10-THQT-03</v>
          </cell>
        </row>
        <row r="49">
          <cell r="C49" t="str">
            <v>10A2</v>
          </cell>
        </row>
        <row r="50">
          <cell r="C50" t="str">
            <v>10A2</v>
          </cell>
          <cell r="J50" t="str">
            <v>CT10-THQT-02</v>
          </cell>
        </row>
        <row r="51">
          <cell r="C51" t="str">
            <v>10A2</v>
          </cell>
          <cell r="J51" t="str">
            <v>CT10-THQT-02</v>
          </cell>
        </row>
        <row r="52">
          <cell r="C52" t="str">
            <v>10A2</v>
          </cell>
          <cell r="J52" t="str">
            <v>CT10-THQT-02</v>
          </cell>
        </row>
        <row r="53">
          <cell r="C53" t="str">
            <v>10A2</v>
          </cell>
        </row>
        <row r="54">
          <cell r="C54" t="str">
            <v>10A2</v>
          </cell>
          <cell r="J54" t="str">
            <v>CT10-THQT-02</v>
          </cell>
        </row>
        <row r="55">
          <cell r="C55" t="str">
            <v>10A2</v>
          </cell>
        </row>
        <row r="56">
          <cell r="C56" t="str">
            <v>10A2</v>
          </cell>
          <cell r="J56" t="str">
            <v>CT10-THQT-02</v>
          </cell>
        </row>
        <row r="57">
          <cell r="C57" t="str">
            <v>10A2</v>
          </cell>
          <cell r="J57" t="str">
            <v>CT10-THQT-02</v>
          </cell>
        </row>
        <row r="58">
          <cell r="C58" t="str">
            <v>10A2</v>
          </cell>
          <cell r="J58" t="str">
            <v>CT10-THQT-02</v>
          </cell>
        </row>
        <row r="59">
          <cell r="C59" t="str">
            <v>10A2</v>
          </cell>
        </row>
        <row r="60">
          <cell r="C60" t="str">
            <v>10A2</v>
          </cell>
          <cell r="J60" t="str">
            <v>CT10-THQT-02</v>
          </cell>
        </row>
        <row r="61">
          <cell r="C61" t="str">
            <v>10A2</v>
          </cell>
        </row>
        <row r="62">
          <cell r="C62" t="str">
            <v>10A2</v>
          </cell>
        </row>
        <row r="63">
          <cell r="C63" t="str">
            <v>10A2</v>
          </cell>
        </row>
        <row r="64">
          <cell r="C64" t="str">
            <v>10A2</v>
          </cell>
          <cell r="J64" t="str">
            <v>CT10-THQT-02</v>
          </cell>
        </row>
        <row r="65">
          <cell r="C65" t="str">
            <v>10A2</v>
          </cell>
        </row>
        <row r="66">
          <cell r="C66" t="str">
            <v>10A2</v>
          </cell>
          <cell r="J66" t="str">
            <v>CT10-THQT-02</v>
          </cell>
        </row>
        <row r="67">
          <cell r="C67" t="str">
            <v>10A2</v>
          </cell>
        </row>
        <row r="68">
          <cell r="C68" t="str">
            <v>10A2</v>
          </cell>
          <cell r="J68" t="str">
            <v>CT10-THQT-02</v>
          </cell>
        </row>
        <row r="69">
          <cell r="C69" t="str">
            <v>10A2</v>
          </cell>
          <cell r="J69" t="str">
            <v>CT10-THQT-02</v>
          </cell>
        </row>
        <row r="70">
          <cell r="C70" t="str">
            <v>10A2</v>
          </cell>
          <cell r="J70" t="str">
            <v>CT10-THQT-02</v>
          </cell>
        </row>
        <row r="71">
          <cell r="C71" t="str">
            <v>10A2</v>
          </cell>
          <cell r="J71" t="str">
            <v>CT10-THQT-02</v>
          </cell>
        </row>
        <row r="72">
          <cell r="C72" t="str">
            <v>10A2</v>
          </cell>
        </row>
        <row r="73">
          <cell r="C73" t="str">
            <v>10A2</v>
          </cell>
          <cell r="J73" t="str">
            <v>CT10-THQT-02</v>
          </cell>
        </row>
        <row r="74">
          <cell r="C74" t="str">
            <v>10A2</v>
          </cell>
        </row>
        <row r="75">
          <cell r="C75" t="str">
            <v>10A2</v>
          </cell>
        </row>
        <row r="76">
          <cell r="C76" t="str">
            <v>10A2</v>
          </cell>
          <cell r="J76" t="str">
            <v>CT10-THQT-02</v>
          </cell>
        </row>
        <row r="77">
          <cell r="C77" t="str">
            <v>10A2</v>
          </cell>
          <cell r="J77" t="str">
            <v>CT10-THQT-02</v>
          </cell>
        </row>
        <row r="78">
          <cell r="C78" t="str">
            <v>10A2</v>
          </cell>
          <cell r="J78" t="str">
            <v>CT10-THQT-02</v>
          </cell>
        </row>
        <row r="79">
          <cell r="C79" t="str">
            <v>10A2</v>
          </cell>
        </row>
        <row r="80">
          <cell r="C80" t="str">
            <v>10A2</v>
          </cell>
          <cell r="J80" t="str">
            <v>CT10-THQT-02</v>
          </cell>
        </row>
        <row r="81">
          <cell r="C81" t="str">
            <v>10A2</v>
          </cell>
          <cell r="J81" t="str">
            <v>CT10-THQT-02</v>
          </cell>
        </row>
        <row r="82">
          <cell r="C82" t="str">
            <v>10A2</v>
          </cell>
          <cell r="J82" t="str">
            <v>CT10-THQT-01</v>
          </cell>
        </row>
        <row r="83">
          <cell r="C83" t="str">
            <v>10A2</v>
          </cell>
          <cell r="J83" t="str">
            <v>CT10-THQT-02</v>
          </cell>
        </row>
        <row r="84">
          <cell r="C84" t="str">
            <v>10A2</v>
          </cell>
        </row>
        <row r="85">
          <cell r="C85" t="str">
            <v>10A2</v>
          </cell>
          <cell r="J85" t="str">
            <v>CT10-THQT-02</v>
          </cell>
        </row>
        <row r="86">
          <cell r="C86" t="str">
            <v>10A2</v>
          </cell>
          <cell r="J86" t="str">
            <v>CT10-THQT-01</v>
          </cell>
        </row>
        <row r="87">
          <cell r="C87" t="str">
            <v>10A2</v>
          </cell>
          <cell r="J87" t="str">
            <v>CT10-THQT-02</v>
          </cell>
        </row>
        <row r="88">
          <cell r="C88" t="str">
            <v>10A2</v>
          </cell>
          <cell r="J88" t="str">
            <v>CT10-THQT-02</v>
          </cell>
        </row>
        <row r="89">
          <cell r="C89" t="str">
            <v>10A2</v>
          </cell>
          <cell r="J89" t="str">
            <v>CT10-THQT-02</v>
          </cell>
        </row>
        <row r="90">
          <cell r="C90" t="str">
            <v>10A2</v>
          </cell>
          <cell r="J90" t="str">
            <v>CT10-THQT-01</v>
          </cell>
        </row>
        <row r="91">
          <cell r="C91" t="str">
            <v>10A2</v>
          </cell>
          <cell r="J91" t="str">
            <v>CT10-THQT-02</v>
          </cell>
        </row>
        <row r="92">
          <cell r="C92" t="str">
            <v>10A2</v>
          </cell>
          <cell r="J92" t="str">
            <v>CT10-THQT-02</v>
          </cell>
        </row>
        <row r="93">
          <cell r="C93" t="str">
            <v>10A2</v>
          </cell>
          <cell r="J93" t="str">
            <v>CT10-THQT-02</v>
          </cell>
        </row>
        <row r="94">
          <cell r="C94" t="str">
            <v>10A3</v>
          </cell>
          <cell r="J94" t="str">
            <v>CT10-THQT-10</v>
          </cell>
        </row>
        <row r="95">
          <cell r="C95" t="str">
            <v>10A3</v>
          </cell>
        </row>
        <row r="96">
          <cell r="C96" t="str">
            <v>10A3</v>
          </cell>
          <cell r="J96" t="str">
            <v>CT10-THQT-10</v>
          </cell>
        </row>
        <row r="97">
          <cell r="C97" t="str">
            <v>10A3</v>
          </cell>
          <cell r="J97" t="str">
            <v>CT10-THQT-10</v>
          </cell>
        </row>
        <row r="98">
          <cell r="C98" t="str">
            <v>10A3</v>
          </cell>
        </row>
        <row r="99">
          <cell r="C99" t="str">
            <v>10A3</v>
          </cell>
          <cell r="J99" t="str">
            <v>CT10-THQT-10</v>
          </cell>
        </row>
        <row r="100">
          <cell r="C100" t="str">
            <v>10A3</v>
          </cell>
          <cell r="J100" t="str">
            <v>CT10-THQT-10</v>
          </cell>
        </row>
        <row r="101">
          <cell r="C101" t="str">
            <v>10A3</v>
          </cell>
          <cell r="J101" t="str">
            <v>CT10-THQT-10</v>
          </cell>
        </row>
        <row r="102">
          <cell r="C102" t="str">
            <v>10A3</v>
          </cell>
          <cell r="J102" t="str">
            <v>CT10-THQT-10</v>
          </cell>
        </row>
        <row r="103">
          <cell r="C103" t="str">
            <v>10A3</v>
          </cell>
          <cell r="J103" t="str">
            <v>CT10-THQT-10</v>
          </cell>
        </row>
        <row r="104">
          <cell r="C104" t="str">
            <v>10A3</v>
          </cell>
          <cell r="J104" t="str">
            <v>CT10-THQT-10</v>
          </cell>
        </row>
        <row r="105">
          <cell r="C105" t="str">
            <v>10A3</v>
          </cell>
          <cell r="J105" t="str">
            <v>CT10-THQT-10</v>
          </cell>
        </row>
        <row r="106">
          <cell r="C106" t="str">
            <v>10A3</v>
          </cell>
          <cell r="J106" t="str">
            <v>CT10-THQT-10</v>
          </cell>
        </row>
        <row r="107">
          <cell r="C107" t="str">
            <v>10A3</v>
          </cell>
        </row>
        <row r="108">
          <cell r="C108" t="str">
            <v>10A3</v>
          </cell>
          <cell r="J108" t="str">
            <v>CT10-THQT-10</v>
          </cell>
        </row>
        <row r="109">
          <cell r="C109" t="str">
            <v>10A3</v>
          </cell>
          <cell r="J109" t="str">
            <v>CT10-THQT-10</v>
          </cell>
        </row>
        <row r="110">
          <cell r="C110" t="str">
            <v>10A3</v>
          </cell>
          <cell r="J110" t="str">
            <v>CT10-THQT-10</v>
          </cell>
        </row>
        <row r="111">
          <cell r="C111" t="str">
            <v>10A3</v>
          </cell>
          <cell r="J111" t="str">
            <v>CT10-THQT-10</v>
          </cell>
        </row>
        <row r="112">
          <cell r="C112" t="str">
            <v>10A3</v>
          </cell>
          <cell r="J112" t="str">
            <v>CT10-THQT-10</v>
          </cell>
        </row>
        <row r="113">
          <cell r="C113" t="str">
            <v>10A3</v>
          </cell>
          <cell r="J113" t="str">
            <v>CT10-THQT-10</v>
          </cell>
        </row>
        <row r="114">
          <cell r="C114" t="str">
            <v>10A3</v>
          </cell>
          <cell r="J114" t="str">
            <v>CT10-THQT-10</v>
          </cell>
        </row>
        <row r="115">
          <cell r="C115" t="str">
            <v>10A3</v>
          </cell>
          <cell r="J115" t="str">
            <v>CT10-THQT-10</v>
          </cell>
        </row>
        <row r="116">
          <cell r="C116" t="str">
            <v>10A3</v>
          </cell>
        </row>
        <row r="117">
          <cell r="C117" t="str">
            <v>10A3</v>
          </cell>
          <cell r="J117" t="str">
            <v>CT10-THQT-10</v>
          </cell>
        </row>
        <row r="118">
          <cell r="C118" t="str">
            <v>10A3</v>
          </cell>
        </row>
        <row r="119">
          <cell r="C119" t="str">
            <v>10A3</v>
          </cell>
        </row>
        <row r="120">
          <cell r="C120" t="str">
            <v>10A3</v>
          </cell>
        </row>
        <row r="121">
          <cell r="C121" t="str">
            <v>10A3</v>
          </cell>
        </row>
        <row r="122">
          <cell r="C122" t="str">
            <v>10A3</v>
          </cell>
        </row>
        <row r="123">
          <cell r="C123" t="str">
            <v>10A3</v>
          </cell>
          <cell r="J123" t="str">
            <v>CT10-THQT-10</v>
          </cell>
        </row>
        <row r="124">
          <cell r="C124" t="str">
            <v>10A3</v>
          </cell>
        </row>
        <row r="125">
          <cell r="C125" t="str">
            <v>10A3</v>
          </cell>
          <cell r="J125" t="str">
            <v>CT10-THQT-10</v>
          </cell>
        </row>
        <row r="126">
          <cell r="C126" t="str">
            <v>10A3</v>
          </cell>
        </row>
        <row r="127">
          <cell r="C127" t="str">
            <v>10A3</v>
          </cell>
          <cell r="J127" t="str">
            <v>CT10-THQT-10</v>
          </cell>
        </row>
        <row r="128">
          <cell r="C128" t="str">
            <v>10A3</v>
          </cell>
        </row>
        <row r="129">
          <cell r="C129" t="str">
            <v>10A3</v>
          </cell>
        </row>
        <row r="130">
          <cell r="C130" t="str">
            <v>10A3</v>
          </cell>
          <cell r="J130" t="str">
            <v>CT10-THQT-10</v>
          </cell>
        </row>
        <row r="131">
          <cell r="C131" t="str">
            <v>10A3</v>
          </cell>
        </row>
        <row r="132">
          <cell r="C132" t="str">
            <v>10A3</v>
          </cell>
          <cell r="J132" t="str">
            <v>CT10-THQT-10</v>
          </cell>
        </row>
        <row r="133">
          <cell r="C133" t="str">
            <v>10A3</v>
          </cell>
          <cell r="J133" t="str">
            <v>CT10-THQT-10</v>
          </cell>
        </row>
        <row r="134">
          <cell r="C134" t="str">
            <v>10A3</v>
          </cell>
        </row>
        <row r="135">
          <cell r="C135" t="str">
            <v>10A3</v>
          </cell>
          <cell r="J135" t="str">
            <v>CT10-THQT-10</v>
          </cell>
        </row>
        <row r="136">
          <cell r="C136" t="str">
            <v>10A3</v>
          </cell>
        </row>
        <row r="137">
          <cell r="C137" t="str">
            <v>10A3</v>
          </cell>
        </row>
        <row r="138">
          <cell r="C138" t="str">
            <v>10A4</v>
          </cell>
          <cell r="J138" t="str">
            <v>CT10-THQT-01</v>
          </cell>
        </row>
        <row r="139">
          <cell r="C139" t="str">
            <v>10A4</v>
          </cell>
          <cell r="J139" t="str">
            <v>CT10-THQT-01</v>
          </cell>
        </row>
        <row r="140">
          <cell r="C140" t="str">
            <v>10A4</v>
          </cell>
          <cell r="J140" t="str">
            <v>CT10-THQT-01</v>
          </cell>
        </row>
        <row r="141">
          <cell r="C141" t="str">
            <v>10A4</v>
          </cell>
          <cell r="J141" t="str">
            <v>CT10-THQT-01</v>
          </cell>
        </row>
        <row r="142">
          <cell r="C142" t="str">
            <v>10A4</v>
          </cell>
          <cell r="J142" t="str">
            <v>CT10-THQT-01</v>
          </cell>
        </row>
        <row r="143">
          <cell r="C143" t="str">
            <v>10A4</v>
          </cell>
          <cell r="J143" t="str">
            <v>CT10-THQT-01</v>
          </cell>
        </row>
        <row r="144">
          <cell r="C144" t="str">
            <v>10A4</v>
          </cell>
          <cell r="J144" t="str">
            <v>CT10-THQT-04</v>
          </cell>
        </row>
        <row r="145">
          <cell r="C145" t="str">
            <v>10A4</v>
          </cell>
          <cell r="J145" t="str">
            <v>CT10-THQT-01</v>
          </cell>
        </row>
        <row r="146">
          <cell r="C146" t="str">
            <v>10A4</v>
          </cell>
          <cell r="J146" t="str">
            <v>CT10-THQT-01</v>
          </cell>
        </row>
        <row r="147">
          <cell r="C147" t="str">
            <v>10A4</v>
          </cell>
          <cell r="J147" t="str">
            <v>CT10-THQT-01</v>
          </cell>
        </row>
        <row r="148">
          <cell r="C148" t="str">
            <v>10A4</v>
          </cell>
        </row>
        <row r="149">
          <cell r="C149" t="str">
            <v>10A4</v>
          </cell>
          <cell r="J149" t="str">
            <v>CT10-THQT-01</v>
          </cell>
        </row>
        <row r="150">
          <cell r="C150" t="str">
            <v>10A4</v>
          </cell>
        </row>
        <row r="151">
          <cell r="C151" t="str">
            <v>10A4</v>
          </cell>
          <cell r="J151" t="str">
            <v>CT10-THQT-01</v>
          </cell>
        </row>
        <row r="152">
          <cell r="C152" t="str">
            <v>10A4</v>
          </cell>
          <cell r="J152" t="str">
            <v>CT10-THQT-01</v>
          </cell>
        </row>
        <row r="153">
          <cell r="C153" t="str">
            <v>10A4</v>
          </cell>
          <cell r="J153" t="str">
            <v>CT10-THQT-01</v>
          </cell>
        </row>
        <row r="154">
          <cell r="C154" t="str">
            <v>10A4</v>
          </cell>
          <cell r="J154" t="str">
            <v>CT10-THQT-01</v>
          </cell>
        </row>
        <row r="155">
          <cell r="C155" t="str">
            <v>10A4</v>
          </cell>
          <cell r="J155" t="str">
            <v>CT10-THQT-01</v>
          </cell>
        </row>
        <row r="156">
          <cell r="C156" t="str">
            <v>10A4</v>
          </cell>
          <cell r="J156" t="str">
            <v>CT10-THQT-01</v>
          </cell>
        </row>
        <row r="157">
          <cell r="C157" t="str">
            <v>10A4</v>
          </cell>
          <cell r="J157" t="str">
            <v>CT10-THQT-01</v>
          </cell>
        </row>
        <row r="158">
          <cell r="C158" t="str">
            <v>10A4</v>
          </cell>
          <cell r="J158" t="str">
            <v>CT10-THQT-01</v>
          </cell>
        </row>
        <row r="159">
          <cell r="C159" t="str">
            <v>10A4</v>
          </cell>
        </row>
        <row r="160">
          <cell r="C160" t="str">
            <v>10A4</v>
          </cell>
        </row>
        <row r="161">
          <cell r="C161" t="str">
            <v>10A4</v>
          </cell>
        </row>
        <row r="162">
          <cell r="C162" t="str">
            <v>10A4</v>
          </cell>
        </row>
        <row r="163">
          <cell r="C163" t="str">
            <v>10A4</v>
          </cell>
        </row>
        <row r="164">
          <cell r="C164" t="str">
            <v>10A4</v>
          </cell>
        </row>
        <row r="165">
          <cell r="C165" t="str">
            <v>10A4</v>
          </cell>
          <cell r="J165" t="str">
            <v>CT10-THQT-01</v>
          </cell>
        </row>
        <row r="166">
          <cell r="C166" t="str">
            <v>10A4</v>
          </cell>
          <cell r="J166" t="str">
            <v>CT10-THQT-04</v>
          </cell>
        </row>
        <row r="167">
          <cell r="C167" t="str">
            <v>10A4</v>
          </cell>
          <cell r="J167" t="str">
            <v>CT10-THQT-01</v>
          </cell>
        </row>
        <row r="168">
          <cell r="C168" t="str">
            <v>10A4</v>
          </cell>
          <cell r="J168" t="str">
            <v>CT10-THQT-01</v>
          </cell>
        </row>
        <row r="169">
          <cell r="C169" t="str">
            <v>10A4</v>
          </cell>
          <cell r="J169" t="str">
            <v>CT10-THQT-01</v>
          </cell>
        </row>
        <row r="170">
          <cell r="C170" t="str">
            <v>10A4</v>
          </cell>
        </row>
        <row r="171">
          <cell r="C171" t="str">
            <v>10A4</v>
          </cell>
        </row>
        <row r="172">
          <cell r="C172" t="str">
            <v>10A4</v>
          </cell>
        </row>
        <row r="173">
          <cell r="C173" t="str">
            <v>10A4</v>
          </cell>
          <cell r="J173" t="str">
            <v>CT10-THQT-01</v>
          </cell>
        </row>
        <row r="174">
          <cell r="C174" t="str">
            <v>10A4</v>
          </cell>
          <cell r="J174" t="str">
            <v>CT10-THQT-01</v>
          </cell>
        </row>
        <row r="175">
          <cell r="C175" t="str">
            <v>10A4</v>
          </cell>
        </row>
        <row r="176">
          <cell r="C176" t="str">
            <v>10A4</v>
          </cell>
          <cell r="J176" t="str">
            <v>CT10-THQT-01</v>
          </cell>
        </row>
        <row r="177">
          <cell r="C177" t="str">
            <v>10A4</v>
          </cell>
        </row>
        <row r="178">
          <cell r="C178" t="str">
            <v>10A4</v>
          </cell>
          <cell r="J178" t="str">
            <v>CT10-THQT-01</v>
          </cell>
        </row>
        <row r="179">
          <cell r="C179" t="str">
            <v>10A4</v>
          </cell>
        </row>
        <row r="180">
          <cell r="C180" t="str">
            <v>10A4</v>
          </cell>
          <cell r="J180" t="str">
            <v>CT10-THQT-01</v>
          </cell>
        </row>
        <row r="181">
          <cell r="C181" t="str">
            <v>10A4</v>
          </cell>
          <cell r="J181" t="str">
            <v>CT10-THQT-01</v>
          </cell>
        </row>
        <row r="182">
          <cell r="C182" t="str">
            <v>10A4</v>
          </cell>
          <cell r="J182" t="str">
            <v>CT10-THQT-01</v>
          </cell>
        </row>
        <row r="183">
          <cell r="C183" t="str">
            <v>10A5</v>
          </cell>
        </row>
        <row r="184">
          <cell r="C184" t="str">
            <v>10A5</v>
          </cell>
        </row>
        <row r="185">
          <cell r="C185" t="str">
            <v>10A5</v>
          </cell>
        </row>
        <row r="186">
          <cell r="C186" t="str">
            <v>10A5</v>
          </cell>
          <cell r="J186" t="str">
            <v>CT10-THQT-07</v>
          </cell>
        </row>
        <row r="187">
          <cell r="C187" t="str">
            <v>10A5</v>
          </cell>
          <cell r="J187" t="str">
            <v>CT10-THQT-07</v>
          </cell>
        </row>
        <row r="188">
          <cell r="C188" t="str">
            <v>10A5</v>
          </cell>
          <cell r="J188" t="str">
            <v>CT10-THQT-07</v>
          </cell>
        </row>
        <row r="189">
          <cell r="C189" t="str">
            <v>10A5</v>
          </cell>
          <cell r="J189" t="str">
            <v>CT10-THQT-07</v>
          </cell>
        </row>
        <row r="190">
          <cell r="C190" t="str">
            <v>10A5</v>
          </cell>
        </row>
        <row r="191">
          <cell r="C191" t="str">
            <v>10A5</v>
          </cell>
          <cell r="J191" t="str">
            <v>CT10-THQT-07</v>
          </cell>
        </row>
        <row r="192">
          <cell r="C192" t="str">
            <v>10A5</v>
          </cell>
          <cell r="J192" t="str">
            <v>CT10-THQT-07</v>
          </cell>
        </row>
        <row r="193">
          <cell r="C193" t="str">
            <v>10A5</v>
          </cell>
          <cell r="J193" t="str">
            <v>CT10-THQT-07</v>
          </cell>
        </row>
        <row r="194">
          <cell r="C194" t="str">
            <v>10A5</v>
          </cell>
        </row>
        <row r="195">
          <cell r="C195" t="str">
            <v>10A5</v>
          </cell>
        </row>
        <row r="196">
          <cell r="C196" t="str">
            <v>10A5</v>
          </cell>
        </row>
        <row r="197">
          <cell r="C197" t="str">
            <v>10A5</v>
          </cell>
        </row>
        <row r="198">
          <cell r="C198" t="str">
            <v>10A5</v>
          </cell>
        </row>
        <row r="199">
          <cell r="C199" t="str">
            <v>10A5</v>
          </cell>
        </row>
        <row r="200">
          <cell r="C200" t="str">
            <v>10A5</v>
          </cell>
        </row>
        <row r="201">
          <cell r="C201" t="str">
            <v>10A5</v>
          </cell>
          <cell r="J201" t="str">
            <v>CT10-THQT-07</v>
          </cell>
        </row>
        <row r="202">
          <cell r="C202" t="str">
            <v>10A5</v>
          </cell>
        </row>
        <row r="203">
          <cell r="C203" t="str">
            <v>10A5</v>
          </cell>
          <cell r="J203" t="str">
            <v>CT10-THQT-07</v>
          </cell>
        </row>
        <row r="204">
          <cell r="C204" t="str">
            <v>10A5</v>
          </cell>
          <cell r="J204" t="str">
            <v>CT10-THQT-07</v>
          </cell>
        </row>
        <row r="205">
          <cell r="C205" t="str">
            <v>10A5</v>
          </cell>
          <cell r="J205" t="str">
            <v>CT10-THQT-07</v>
          </cell>
        </row>
        <row r="206">
          <cell r="C206" t="str">
            <v>10A5</v>
          </cell>
        </row>
        <row r="207">
          <cell r="C207" t="str">
            <v>10A5</v>
          </cell>
          <cell r="J207" t="str">
            <v>CT10-THQT-07</v>
          </cell>
        </row>
        <row r="208">
          <cell r="C208" t="str">
            <v>10A5</v>
          </cell>
          <cell r="J208" t="str">
            <v>CT10-THQT-07</v>
          </cell>
        </row>
        <row r="209">
          <cell r="C209" t="str">
            <v>10A5</v>
          </cell>
          <cell r="J209" t="str">
            <v>CT10-THQT-05</v>
          </cell>
        </row>
        <row r="210">
          <cell r="C210" t="str">
            <v>10A5</v>
          </cell>
        </row>
        <row r="211">
          <cell r="C211" t="str">
            <v>10A5</v>
          </cell>
          <cell r="J211" t="str">
            <v>CT10-THQT-05</v>
          </cell>
        </row>
        <row r="212">
          <cell r="C212" t="str">
            <v>10A5</v>
          </cell>
          <cell r="J212" t="str">
            <v>CT10-THQT-07</v>
          </cell>
        </row>
        <row r="213">
          <cell r="C213" t="str">
            <v>10A5</v>
          </cell>
          <cell r="J213" t="str">
            <v>CT10-THQT-07</v>
          </cell>
        </row>
        <row r="214">
          <cell r="C214" t="str">
            <v>10A5</v>
          </cell>
        </row>
        <row r="215">
          <cell r="C215" t="str">
            <v>10A5</v>
          </cell>
        </row>
        <row r="216">
          <cell r="C216" t="str">
            <v>10A5</v>
          </cell>
        </row>
        <row r="217">
          <cell r="C217" t="str">
            <v>10A5</v>
          </cell>
        </row>
        <row r="218">
          <cell r="C218" t="str">
            <v>10A5</v>
          </cell>
          <cell r="J218" t="str">
            <v>CT10-THQT-07</v>
          </cell>
        </row>
        <row r="219">
          <cell r="C219" t="str">
            <v>10A5</v>
          </cell>
        </row>
        <row r="220">
          <cell r="C220" t="str">
            <v>10A5</v>
          </cell>
        </row>
        <row r="221">
          <cell r="C221" t="str">
            <v>10A5</v>
          </cell>
        </row>
        <row r="222">
          <cell r="C222" t="str">
            <v>10A5</v>
          </cell>
        </row>
        <row r="223">
          <cell r="C223" t="str">
            <v>10A5</v>
          </cell>
          <cell r="J223" t="str">
            <v>CT10-THQT-07</v>
          </cell>
        </row>
        <row r="224">
          <cell r="C224" t="str">
            <v>10A5</v>
          </cell>
          <cell r="J224" t="str">
            <v>CT10-THQT-05</v>
          </cell>
        </row>
        <row r="225">
          <cell r="C225" t="str">
            <v>10A5</v>
          </cell>
          <cell r="J225" t="str">
            <v>CT10-THQT-05</v>
          </cell>
        </row>
        <row r="226">
          <cell r="C226" t="str">
            <v>10A6</v>
          </cell>
        </row>
        <row r="227">
          <cell r="C227" t="str">
            <v>10A6</v>
          </cell>
        </row>
        <row r="228">
          <cell r="C228" t="str">
            <v>10A6</v>
          </cell>
        </row>
        <row r="229">
          <cell r="C229" t="str">
            <v>10A6</v>
          </cell>
          <cell r="J229" t="str">
            <v>CT10-THQT-08</v>
          </cell>
        </row>
        <row r="230">
          <cell r="C230" t="str">
            <v>10A6</v>
          </cell>
        </row>
        <row r="231">
          <cell r="C231" t="str">
            <v>10A6</v>
          </cell>
        </row>
        <row r="232">
          <cell r="C232" t="str">
            <v>10A6</v>
          </cell>
          <cell r="J232" t="str">
            <v>CT10-THQT-08</v>
          </cell>
        </row>
        <row r="233">
          <cell r="C233" t="str">
            <v>10A6</v>
          </cell>
        </row>
        <row r="234">
          <cell r="C234" t="str">
            <v>10A6</v>
          </cell>
        </row>
        <row r="235">
          <cell r="C235" t="str">
            <v>10A6</v>
          </cell>
          <cell r="J235" t="str">
            <v>CT10-THQT-08</v>
          </cell>
        </row>
        <row r="236">
          <cell r="C236" t="str">
            <v>10A6</v>
          </cell>
        </row>
        <row r="237">
          <cell r="C237" t="str">
            <v>10A6</v>
          </cell>
        </row>
        <row r="238">
          <cell r="C238" t="str">
            <v>10A6</v>
          </cell>
          <cell r="J238" t="str">
            <v>CT10-THQT-08</v>
          </cell>
        </row>
        <row r="239">
          <cell r="C239" t="str">
            <v>10A6</v>
          </cell>
          <cell r="J239" t="str">
            <v>CT10-THQT-08</v>
          </cell>
        </row>
        <row r="240">
          <cell r="C240" t="str">
            <v>10A6</v>
          </cell>
          <cell r="J240" t="str">
            <v>CT10-THQT-08</v>
          </cell>
        </row>
        <row r="241">
          <cell r="C241" t="str">
            <v>10A6</v>
          </cell>
          <cell r="J241" t="str">
            <v>CT10-THQT-08</v>
          </cell>
        </row>
        <row r="242">
          <cell r="C242" t="str">
            <v>10A6</v>
          </cell>
        </row>
        <row r="243">
          <cell r="C243" t="str">
            <v>10A6</v>
          </cell>
        </row>
        <row r="244">
          <cell r="C244" t="str">
            <v>10A6</v>
          </cell>
          <cell r="J244" t="str">
            <v>CT10-THQT-08</v>
          </cell>
        </row>
        <row r="245">
          <cell r="C245" t="str">
            <v>10A6</v>
          </cell>
          <cell r="J245" t="str">
            <v>CT10-THQT-08</v>
          </cell>
        </row>
        <row r="246">
          <cell r="C246" t="str">
            <v>10A6</v>
          </cell>
        </row>
        <row r="247">
          <cell r="C247" t="str">
            <v>10A6</v>
          </cell>
          <cell r="J247" t="str">
            <v>CT10-THQT-08</v>
          </cell>
        </row>
        <row r="248">
          <cell r="C248" t="str">
            <v>10A6</v>
          </cell>
          <cell r="J248" t="str">
            <v>CT10-THQT-08</v>
          </cell>
        </row>
        <row r="249">
          <cell r="C249" t="str">
            <v>10A6</v>
          </cell>
        </row>
        <row r="250">
          <cell r="C250" t="str">
            <v>10A6</v>
          </cell>
          <cell r="J250" t="str">
            <v>CT10-THQT-08</v>
          </cell>
        </row>
        <row r="251">
          <cell r="C251" t="str">
            <v>10A6</v>
          </cell>
        </row>
        <row r="252">
          <cell r="C252" t="str">
            <v>10A6</v>
          </cell>
          <cell r="J252" t="str">
            <v>CT10-THQT-08</v>
          </cell>
        </row>
        <row r="253">
          <cell r="C253" t="str">
            <v>10A6</v>
          </cell>
        </row>
        <row r="254">
          <cell r="C254" t="str">
            <v>10A6</v>
          </cell>
          <cell r="J254" t="str">
            <v>CT10-THQT-08</v>
          </cell>
        </row>
        <row r="255">
          <cell r="C255" t="str">
            <v>10A6</v>
          </cell>
          <cell r="J255" t="str">
            <v>CT10-THQT-08</v>
          </cell>
        </row>
        <row r="256">
          <cell r="C256" t="str">
            <v>10A6</v>
          </cell>
        </row>
        <row r="257">
          <cell r="C257" t="str">
            <v>10A6</v>
          </cell>
          <cell r="J257" t="str">
            <v>CT10-THQT-08</v>
          </cell>
        </row>
        <row r="258">
          <cell r="C258" t="str">
            <v>10A6</v>
          </cell>
        </row>
        <row r="259">
          <cell r="C259" t="str">
            <v>10A6</v>
          </cell>
        </row>
        <row r="260">
          <cell r="C260" t="str">
            <v>10A6</v>
          </cell>
        </row>
        <row r="261">
          <cell r="C261" t="str">
            <v>10A6</v>
          </cell>
          <cell r="J261" t="str">
            <v>CT10-THQT-08</v>
          </cell>
        </row>
        <row r="262">
          <cell r="C262" t="str">
            <v>10A6</v>
          </cell>
          <cell r="J262" t="str">
            <v>CT10-THQT-08</v>
          </cell>
        </row>
        <row r="263">
          <cell r="C263" t="str">
            <v>10A6</v>
          </cell>
        </row>
        <row r="264">
          <cell r="C264" t="str">
            <v>10A6</v>
          </cell>
        </row>
        <row r="265">
          <cell r="C265" t="str">
            <v>10A6</v>
          </cell>
          <cell r="J265" t="str">
            <v>CT10-THQT-08</v>
          </cell>
        </row>
        <row r="266">
          <cell r="C266" t="str">
            <v>10A6</v>
          </cell>
          <cell r="J266" t="str">
            <v>CT10-THQT-08</v>
          </cell>
        </row>
        <row r="267">
          <cell r="C267" t="str">
            <v>10A6</v>
          </cell>
        </row>
        <row r="268">
          <cell r="C268" t="str">
            <v>10A6</v>
          </cell>
        </row>
        <row r="269">
          <cell r="C269" t="str">
            <v>10A7</v>
          </cell>
        </row>
        <row r="270">
          <cell r="C270" t="str">
            <v>10A7</v>
          </cell>
          <cell r="J270" t="str">
            <v>CT10-THQT-11</v>
          </cell>
        </row>
        <row r="271">
          <cell r="C271" t="str">
            <v>10A7</v>
          </cell>
          <cell r="J271" t="str">
            <v>CT10-THQT-11</v>
          </cell>
        </row>
        <row r="272">
          <cell r="C272" t="str">
            <v>10A7</v>
          </cell>
          <cell r="J272" t="str">
            <v>CT10-THQT-11</v>
          </cell>
        </row>
        <row r="273">
          <cell r="C273" t="str">
            <v>10A7</v>
          </cell>
          <cell r="J273" t="str">
            <v>CT10-THQT-03</v>
          </cell>
        </row>
        <row r="274">
          <cell r="C274" t="str">
            <v>10A7</v>
          </cell>
          <cell r="J274" t="str">
            <v>CT10-THQT-11</v>
          </cell>
        </row>
        <row r="275">
          <cell r="C275" t="str">
            <v>10A7</v>
          </cell>
          <cell r="J275" t="str">
            <v>CT10-THQT-11</v>
          </cell>
        </row>
        <row r="276">
          <cell r="C276" t="str">
            <v>10A7</v>
          </cell>
          <cell r="J276" t="str">
            <v>CT10-THQT-11</v>
          </cell>
        </row>
        <row r="277">
          <cell r="C277" t="str">
            <v>10A7</v>
          </cell>
        </row>
        <row r="278">
          <cell r="C278" t="str">
            <v>10A7</v>
          </cell>
          <cell r="J278" t="str">
            <v>CT10-THQT-11</v>
          </cell>
        </row>
        <row r="279">
          <cell r="C279" t="str">
            <v>10A7</v>
          </cell>
        </row>
        <row r="280">
          <cell r="C280" t="str">
            <v>10A7</v>
          </cell>
        </row>
        <row r="281">
          <cell r="C281" t="str">
            <v>10A7</v>
          </cell>
        </row>
        <row r="282">
          <cell r="C282" t="str">
            <v>10A7</v>
          </cell>
        </row>
        <row r="283">
          <cell r="C283" t="str">
            <v>10A7</v>
          </cell>
          <cell r="J283" t="str">
            <v>CT10-THQT-03</v>
          </cell>
        </row>
        <row r="284">
          <cell r="C284" t="str">
            <v>10A7</v>
          </cell>
        </row>
        <row r="285">
          <cell r="C285" t="str">
            <v>10A7</v>
          </cell>
        </row>
        <row r="286">
          <cell r="C286" t="str">
            <v>10A7</v>
          </cell>
        </row>
        <row r="287">
          <cell r="C287" t="str">
            <v>10A7</v>
          </cell>
        </row>
        <row r="288">
          <cell r="C288" t="str">
            <v>10A7</v>
          </cell>
          <cell r="J288" t="str">
            <v>CT10-THQT-11</v>
          </cell>
        </row>
        <row r="289">
          <cell r="C289" t="str">
            <v>10A7</v>
          </cell>
        </row>
        <row r="290">
          <cell r="C290" t="str">
            <v>10A7</v>
          </cell>
          <cell r="J290" t="str">
            <v>CT10-THQT-11</v>
          </cell>
        </row>
        <row r="291">
          <cell r="C291" t="str">
            <v>10A7</v>
          </cell>
          <cell r="J291" t="str">
            <v>CT10-THQT-11</v>
          </cell>
        </row>
        <row r="292">
          <cell r="C292" t="str">
            <v>10A7</v>
          </cell>
          <cell r="J292" t="str">
            <v>CT10-THQT-11</v>
          </cell>
        </row>
        <row r="293">
          <cell r="C293" t="str">
            <v>10A7</v>
          </cell>
          <cell r="J293" t="str">
            <v>CT10-THQT-11</v>
          </cell>
        </row>
        <row r="294">
          <cell r="C294" t="str">
            <v>10A7</v>
          </cell>
          <cell r="J294" t="str">
            <v>CT10-THQT-11</v>
          </cell>
        </row>
        <row r="295">
          <cell r="C295" t="str">
            <v>10A7</v>
          </cell>
        </row>
        <row r="296">
          <cell r="C296" t="str">
            <v>10A7</v>
          </cell>
          <cell r="J296" t="str">
            <v>CT10-THQT-11</v>
          </cell>
        </row>
        <row r="297">
          <cell r="C297" t="str">
            <v>10A7</v>
          </cell>
          <cell r="J297" t="str">
            <v>CT10-THQT-11</v>
          </cell>
        </row>
        <row r="298">
          <cell r="C298" t="str">
            <v>10A7</v>
          </cell>
        </row>
        <row r="299">
          <cell r="C299" t="str">
            <v>10A7</v>
          </cell>
          <cell r="J299" t="str">
            <v>CT10-THQT-11</v>
          </cell>
        </row>
        <row r="300">
          <cell r="C300" t="str">
            <v>10A7</v>
          </cell>
          <cell r="J300" t="str">
            <v>CT10-THQT-11</v>
          </cell>
        </row>
        <row r="301">
          <cell r="C301" t="str">
            <v>10A7</v>
          </cell>
        </row>
        <row r="302">
          <cell r="C302" t="str">
            <v>10A7</v>
          </cell>
        </row>
        <row r="303">
          <cell r="C303" t="str">
            <v>10A7</v>
          </cell>
        </row>
        <row r="304">
          <cell r="C304" t="str">
            <v>10A7</v>
          </cell>
          <cell r="J304" t="str">
            <v>CT10-THQT-11</v>
          </cell>
        </row>
        <row r="305">
          <cell r="C305" t="str">
            <v>10A7</v>
          </cell>
          <cell r="J305" t="str">
            <v>CT10-THQT-11</v>
          </cell>
        </row>
        <row r="306">
          <cell r="C306" t="str">
            <v>10A7</v>
          </cell>
        </row>
        <row r="307">
          <cell r="C307" t="str">
            <v>10A7</v>
          </cell>
        </row>
        <row r="308">
          <cell r="C308" t="str">
            <v>10A7</v>
          </cell>
        </row>
        <row r="309">
          <cell r="C309" t="str">
            <v>10A7</v>
          </cell>
          <cell r="J309" t="str">
            <v>CT10-THQT-11</v>
          </cell>
        </row>
        <row r="310">
          <cell r="C310" t="str">
            <v>10A7</v>
          </cell>
        </row>
        <row r="311">
          <cell r="C311" t="str">
            <v>10A7</v>
          </cell>
          <cell r="J311" t="str">
            <v>CT10-THQT-11</v>
          </cell>
        </row>
        <row r="312">
          <cell r="C312" t="str">
            <v>10A7</v>
          </cell>
        </row>
        <row r="313">
          <cell r="C313" t="str">
            <v>10A7</v>
          </cell>
          <cell r="J313" t="str">
            <v>CT10-THQT-11</v>
          </cell>
        </row>
        <row r="314">
          <cell r="C314" t="str">
            <v>10A8</v>
          </cell>
          <cell r="J314" t="str">
            <v>CT10-THQT-04</v>
          </cell>
        </row>
        <row r="315">
          <cell r="C315" t="str">
            <v>10A8</v>
          </cell>
        </row>
        <row r="316">
          <cell r="C316" t="str">
            <v>10A8</v>
          </cell>
          <cell r="J316" t="str">
            <v>CT10-THQT-04</v>
          </cell>
        </row>
        <row r="317">
          <cell r="C317" t="str">
            <v>10A8</v>
          </cell>
        </row>
        <row r="318">
          <cell r="C318" t="str">
            <v>10A8</v>
          </cell>
        </row>
        <row r="319">
          <cell r="C319" t="str">
            <v>10A8</v>
          </cell>
          <cell r="J319" t="str">
            <v>CT10-THQT-04</v>
          </cell>
        </row>
        <row r="320">
          <cell r="C320" t="str">
            <v>10A8</v>
          </cell>
          <cell r="J320" t="str">
            <v>CT10-THQT-04</v>
          </cell>
        </row>
        <row r="321">
          <cell r="C321" t="str">
            <v>10A8</v>
          </cell>
          <cell r="J321" t="str">
            <v>CT10-THQT-04</v>
          </cell>
        </row>
        <row r="322">
          <cell r="C322" t="str">
            <v>10A8</v>
          </cell>
        </row>
        <row r="323">
          <cell r="C323" t="str">
            <v>10A8</v>
          </cell>
        </row>
        <row r="324">
          <cell r="C324" t="str">
            <v>10A8</v>
          </cell>
          <cell r="J324" t="str">
            <v>CT10-THQT-04</v>
          </cell>
        </row>
        <row r="325">
          <cell r="C325" t="str">
            <v>10A8</v>
          </cell>
        </row>
        <row r="326">
          <cell r="C326" t="str">
            <v>10A8</v>
          </cell>
          <cell r="J326" t="str">
            <v>CT10-THQT-04</v>
          </cell>
        </row>
        <row r="327">
          <cell r="C327" t="str">
            <v>10A8</v>
          </cell>
          <cell r="J327" t="str">
            <v>CT10-THQT-04</v>
          </cell>
        </row>
        <row r="328">
          <cell r="C328" t="str">
            <v>10A8</v>
          </cell>
        </row>
        <row r="329">
          <cell r="C329" t="str">
            <v>10A8</v>
          </cell>
          <cell r="J329" t="str">
            <v>CT10-THQT-04</v>
          </cell>
        </row>
        <row r="330">
          <cell r="C330" t="str">
            <v>10A8</v>
          </cell>
        </row>
        <row r="331">
          <cell r="C331" t="str">
            <v>10A8</v>
          </cell>
        </row>
        <row r="332">
          <cell r="C332" t="str">
            <v>10A8</v>
          </cell>
        </row>
        <row r="333">
          <cell r="C333" t="str">
            <v>10A8</v>
          </cell>
        </row>
        <row r="334">
          <cell r="C334" t="str">
            <v>10A8</v>
          </cell>
          <cell r="J334" t="str">
            <v>CT10-THQT-04</v>
          </cell>
        </row>
        <row r="335">
          <cell r="C335" t="str">
            <v>10A8</v>
          </cell>
          <cell r="J335" t="str">
            <v>CT10-THQT-04</v>
          </cell>
        </row>
        <row r="336">
          <cell r="C336" t="str">
            <v>10A8</v>
          </cell>
        </row>
        <row r="337">
          <cell r="C337" t="str">
            <v>10A8</v>
          </cell>
          <cell r="J337" t="str">
            <v>CT10-THQT-04</v>
          </cell>
        </row>
        <row r="338">
          <cell r="C338" t="str">
            <v>10A8</v>
          </cell>
          <cell r="J338" t="str">
            <v>CT10-THQT-04</v>
          </cell>
        </row>
        <row r="339">
          <cell r="C339" t="str">
            <v>10A8</v>
          </cell>
          <cell r="J339" t="str">
            <v>CT10-THQT-04</v>
          </cell>
        </row>
        <row r="340">
          <cell r="C340" t="str">
            <v>10A8</v>
          </cell>
          <cell r="J340" t="str">
            <v>CT10-THQT-04</v>
          </cell>
        </row>
        <row r="341">
          <cell r="C341" t="str">
            <v>10A8</v>
          </cell>
        </row>
        <row r="342">
          <cell r="C342" t="str">
            <v>10A8</v>
          </cell>
        </row>
        <row r="343">
          <cell r="C343" t="str">
            <v>10A8</v>
          </cell>
        </row>
        <row r="344">
          <cell r="C344" t="str">
            <v>10A8</v>
          </cell>
          <cell r="J344" t="str">
            <v>CT10-THQT-04</v>
          </cell>
        </row>
        <row r="345">
          <cell r="C345" t="str">
            <v>10A8</v>
          </cell>
        </row>
        <row r="346">
          <cell r="C346" t="str">
            <v>10A8</v>
          </cell>
          <cell r="J346" t="str">
            <v>CT10-THQT-04</v>
          </cell>
        </row>
        <row r="347">
          <cell r="C347" t="str">
            <v>10A8</v>
          </cell>
          <cell r="J347" t="str">
            <v>CT10-THQT-04</v>
          </cell>
        </row>
        <row r="348">
          <cell r="C348" t="str">
            <v>10A8</v>
          </cell>
        </row>
        <row r="349">
          <cell r="C349" t="str">
            <v>10A8</v>
          </cell>
          <cell r="J349" t="str">
            <v>CT10-THQT-04</v>
          </cell>
        </row>
        <row r="350">
          <cell r="C350" t="str">
            <v>10A8</v>
          </cell>
          <cell r="J350" t="str">
            <v>CT10-THQT-04</v>
          </cell>
        </row>
        <row r="351">
          <cell r="C351" t="str">
            <v>10A8</v>
          </cell>
          <cell r="J351" t="str">
            <v>CT10-THQT-04</v>
          </cell>
        </row>
        <row r="352">
          <cell r="C352" t="str">
            <v>10A8</v>
          </cell>
        </row>
        <row r="353">
          <cell r="C353" t="str">
            <v>10A8</v>
          </cell>
        </row>
        <row r="354">
          <cell r="C354" t="str">
            <v>10A8</v>
          </cell>
        </row>
        <row r="355">
          <cell r="C355" t="str">
            <v>10A8</v>
          </cell>
        </row>
        <row r="356">
          <cell r="C356" t="str">
            <v>10A8</v>
          </cell>
        </row>
        <row r="357">
          <cell r="C357" t="str">
            <v>10A8</v>
          </cell>
          <cell r="J357" t="str">
            <v>CT10-THQT-04</v>
          </cell>
        </row>
        <row r="358">
          <cell r="C358" t="str">
            <v>10A8</v>
          </cell>
          <cell r="J358" t="str">
            <v>CT10-THQT-04</v>
          </cell>
        </row>
        <row r="359">
          <cell r="C359" t="str">
            <v>10A8</v>
          </cell>
          <cell r="J359" t="str">
            <v>CT10-THQT-04</v>
          </cell>
        </row>
        <row r="360">
          <cell r="C360" t="str">
            <v>10A8</v>
          </cell>
          <cell r="J360" t="str">
            <v>CT10-THQT-04</v>
          </cell>
        </row>
        <row r="361">
          <cell r="C361" t="str">
            <v>10A9</v>
          </cell>
        </row>
        <row r="362">
          <cell r="C362" t="str">
            <v>10A9</v>
          </cell>
          <cell r="J362" t="str">
            <v>CT10-THQT-08</v>
          </cell>
        </row>
        <row r="363">
          <cell r="C363" t="str">
            <v>10A9</v>
          </cell>
        </row>
        <row r="364">
          <cell r="C364" t="str">
            <v>10A9</v>
          </cell>
          <cell r="J364" t="str">
            <v>CT10-THQT-08</v>
          </cell>
        </row>
        <row r="365">
          <cell r="C365" t="str">
            <v>10A9</v>
          </cell>
        </row>
        <row r="366">
          <cell r="C366" t="str">
            <v>10A9</v>
          </cell>
          <cell r="J366" t="str">
            <v>CT10-THQT-08</v>
          </cell>
        </row>
        <row r="367">
          <cell r="C367" t="str">
            <v>10A9</v>
          </cell>
          <cell r="J367" t="str">
            <v>CT10-THQT-08</v>
          </cell>
        </row>
        <row r="368">
          <cell r="C368" t="str">
            <v>10A9</v>
          </cell>
          <cell r="J368" t="str">
            <v>CT10-THQT-08</v>
          </cell>
        </row>
        <row r="369">
          <cell r="C369" t="str">
            <v>10A9</v>
          </cell>
          <cell r="J369" t="str">
            <v>CT10-THQT-08</v>
          </cell>
        </row>
        <row r="370">
          <cell r="C370" t="str">
            <v>10A9</v>
          </cell>
        </row>
        <row r="371">
          <cell r="C371" t="str">
            <v>10A9</v>
          </cell>
          <cell r="J371" t="str">
            <v>CT10-THQT-08</v>
          </cell>
        </row>
        <row r="372">
          <cell r="C372" t="str">
            <v>10A9</v>
          </cell>
          <cell r="J372" t="str">
            <v>CT10-THQT-08</v>
          </cell>
        </row>
        <row r="373">
          <cell r="C373" t="str">
            <v>10A9</v>
          </cell>
          <cell r="J373" t="str">
            <v>CT10-THQT-08</v>
          </cell>
        </row>
        <row r="374">
          <cell r="C374" t="str">
            <v>10A9</v>
          </cell>
        </row>
        <row r="375">
          <cell r="C375" t="str">
            <v>10A9</v>
          </cell>
          <cell r="J375" t="str">
            <v>CT10-THQT-08</v>
          </cell>
        </row>
        <row r="376">
          <cell r="C376" t="str">
            <v>10A9</v>
          </cell>
          <cell r="J376" t="str">
            <v>CT10-THQT-08</v>
          </cell>
        </row>
        <row r="377">
          <cell r="C377" t="str">
            <v>10A9</v>
          </cell>
        </row>
        <row r="378">
          <cell r="C378" t="str">
            <v>10A9</v>
          </cell>
          <cell r="J378" t="str">
            <v>CT10-THQT-08</v>
          </cell>
        </row>
        <row r="379">
          <cell r="C379" t="str">
            <v>10A9</v>
          </cell>
        </row>
        <row r="380">
          <cell r="C380" t="str">
            <v>10A9</v>
          </cell>
        </row>
        <row r="381">
          <cell r="C381" t="str">
            <v>10A9</v>
          </cell>
          <cell r="J381" t="str">
            <v>CT10-THQT-08</v>
          </cell>
        </row>
        <row r="382">
          <cell r="C382" t="str">
            <v>10A9</v>
          </cell>
          <cell r="J382" t="str">
            <v>CT10-THQT-08</v>
          </cell>
        </row>
        <row r="383">
          <cell r="C383" t="str">
            <v>10A9</v>
          </cell>
        </row>
        <row r="384">
          <cell r="C384" t="str">
            <v>10A9</v>
          </cell>
        </row>
        <row r="385">
          <cell r="C385" t="str">
            <v>10A9</v>
          </cell>
        </row>
        <row r="386">
          <cell r="C386" t="str">
            <v>10A9</v>
          </cell>
          <cell r="J386" t="str">
            <v>CT10-THQT-08</v>
          </cell>
        </row>
        <row r="387">
          <cell r="C387" t="str">
            <v>10A9</v>
          </cell>
        </row>
        <row r="388">
          <cell r="C388" t="str">
            <v>10A9</v>
          </cell>
          <cell r="J388" t="str">
            <v>CT10-THQT-08</v>
          </cell>
        </row>
        <row r="389">
          <cell r="C389" t="str">
            <v>10A9</v>
          </cell>
        </row>
        <row r="390">
          <cell r="C390" t="str">
            <v>10A9</v>
          </cell>
          <cell r="J390" t="str">
            <v>CT10-THQT-08</v>
          </cell>
        </row>
        <row r="391">
          <cell r="C391" t="str">
            <v>10A9</v>
          </cell>
          <cell r="J391" t="str">
            <v>CT10-THQT-08</v>
          </cell>
        </row>
        <row r="392">
          <cell r="C392" t="str">
            <v>10A9</v>
          </cell>
          <cell r="J392" t="str">
            <v>CT10-THQT-08</v>
          </cell>
        </row>
        <row r="393">
          <cell r="C393" t="str">
            <v>10A9</v>
          </cell>
          <cell r="J393" t="str">
            <v>CT10-THQT-08</v>
          </cell>
        </row>
        <row r="394">
          <cell r="C394" t="str">
            <v>10A9</v>
          </cell>
          <cell r="J394" t="str">
            <v>CT10-THQT-08</v>
          </cell>
        </row>
        <row r="395">
          <cell r="C395" t="str">
            <v>10A9</v>
          </cell>
          <cell r="J395" t="str">
            <v>CT10-THQT-08</v>
          </cell>
        </row>
        <row r="396">
          <cell r="C396" t="str">
            <v>10A9</v>
          </cell>
        </row>
        <row r="397">
          <cell r="C397" t="str">
            <v>10A9</v>
          </cell>
          <cell r="J397" t="str">
            <v>CT10-THQT-08</v>
          </cell>
        </row>
        <row r="398">
          <cell r="C398" t="str">
            <v>10A9</v>
          </cell>
          <cell r="J398" t="str">
            <v>CT10-THQT-08</v>
          </cell>
        </row>
        <row r="399">
          <cell r="C399" t="str">
            <v>10A9</v>
          </cell>
          <cell r="J399" t="str">
            <v>CT10-THQT-08</v>
          </cell>
        </row>
        <row r="400">
          <cell r="C400" t="str">
            <v>10A9</v>
          </cell>
          <cell r="J400" t="str">
            <v>CT10-THQT-08</v>
          </cell>
        </row>
        <row r="401">
          <cell r="C401" t="str">
            <v>10A9</v>
          </cell>
          <cell r="J401" t="str">
            <v>CT10-THQT-08</v>
          </cell>
        </row>
        <row r="402">
          <cell r="C402" t="str">
            <v>10A9</v>
          </cell>
          <cell r="J402" t="str">
            <v>CT10-THQT-08</v>
          </cell>
        </row>
        <row r="403">
          <cell r="C403" t="str">
            <v>10A9</v>
          </cell>
          <cell r="J403" t="str">
            <v>CT10-THQT-08</v>
          </cell>
        </row>
        <row r="404">
          <cell r="C404" t="str">
            <v>10A9</v>
          </cell>
        </row>
        <row r="405">
          <cell r="C405" t="str">
            <v>10A9</v>
          </cell>
          <cell r="J405" t="str">
            <v>CT10-THQT-08</v>
          </cell>
        </row>
        <row r="406">
          <cell r="C406" t="str">
            <v>10A9</v>
          </cell>
        </row>
        <row r="407">
          <cell r="C407" t="str">
            <v>10A10</v>
          </cell>
          <cell r="J407" t="str">
            <v>CT10-THQT-07</v>
          </cell>
        </row>
        <row r="408">
          <cell r="C408" t="str">
            <v>10A10</v>
          </cell>
          <cell r="J408" t="str">
            <v>CT10-THQT-07</v>
          </cell>
        </row>
        <row r="409">
          <cell r="C409" t="str">
            <v>10A10</v>
          </cell>
        </row>
        <row r="410">
          <cell r="C410" t="str">
            <v>10A10</v>
          </cell>
          <cell r="J410" t="str">
            <v>CT10-THQT-07</v>
          </cell>
        </row>
        <row r="411">
          <cell r="C411" t="str">
            <v>10A10</v>
          </cell>
          <cell r="J411" t="str">
            <v>CT10-THQT-07</v>
          </cell>
        </row>
        <row r="412">
          <cell r="C412" t="str">
            <v>10A10</v>
          </cell>
          <cell r="J412" t="str">
            <v>CT10-THQT-07</v>
          </cell>
        </row>
        <row r="413">
          <cell r="C413" t="str">
            <v>10A10</v>
          </cell>
        </row>
        <row r="414">
          <cell r="C414" t="str">
            <v>10A10</v>
          </cell>
        </row>
        <row r="415">
          <cell r="C415" t="str">
            <v>10A10</v>
          </cell>
        </row>
        <row r="416">
          <cell r="C416" t="str">
            <v>10A10</v>
          </cell>
          <cell r="J416" t="str">
            <v>CT10-THQT-07</v>
          </cell>
        </row>
        <row r="417">
          <cell r="C417" t="str">
            <v>10A10</v>
          </cell>
          <cell r="J417" t="str">
            <v>CT10-THQT-07</v>
          </cell>
        </row>
        <row r="418">
          <cell r="C418" t="str">
            <v>10A10</v>
          </cell>
          <cell r="J418" t="str">
            <v>CT10-THQT-07</v>
          </cell>
        </row>
        <row r="419">
          <cell r="C419" t="str">
            <v>10A10</v>
          </cell>
          <cell r="J419" t="str">
            <v>CT10-THQT-07</v>
          </cell>
        </row>
        <row r="420">
          <cell r="C420" t="str">
            <v>10A10</v>
          </cell>
          <cell r="J420" t="str">
            <v>CT10-THQT-07</v>
          </cell>
        </row>
        <row r="421">
          <cell r="C421" t="str">
            <v>10A10</v>
          </cell>
        </row>
        <row r="422">
          <cell r="C422" t="str">
            <v>10A10</v>
          </cell>
        </row>
        <row r="423">
          <cell r="C423" t="str">
            <v>10A10</v>
          </cell>
          <cell r="J423" t="str">
            <v>CT10-THQT-07</v>
          </cell>
        </row>
        <row r="424">
          <cell r="C424" t="str">
            <v>10A10</v>
          </cell>
          <cell r="J424" t="str">
            <v>CT10-THQT-07</v>
          </cell>
        </row>
        <row r="425">
          <cell r="C425" t="str">
            <v>10A10</v>
          </cell>
          <cell r="J425" t="str">
            <v>CT10-THQT-07</v>
          </cell>
        </row>
        <row r="426">
          <cell r="C426" t="str">
            <v>10A10</v>
          </cell>
        </row>
        <row r="427">
          <cell r="C427" t="str">
            <v>10A10</v>
          </cell>
        </row>
        <row r="428">
          <cell r="C428" t="str">
            <v>10A10</v>
          </cell>
          <cell r="J428" t="str">
            <v>CT10-THQT-07</v>
          </cell>
        </row>
        <row r="429">
          <cell r="C429" t="str">
            <v>10A10</v>
          </cell>
          <cell r="J429" t="str">
            <v>CT10-THQT-07</v>
          </cell>
        </row>
        <row r="430">
          <cell r="C430" t="str">
            <v>10A10</v>
          </cell>
        </row>
        <row r="431">
          <cell r="C431" t="str">
            <v>10A10</v>
          </cell>
          <cell r="J431" t="str">
            <v>CT10-THQT-07</v>
          </cell>
        </row>
        <row r="432">
          <cell r="C432" t="str">
            <v>10A10</v>
          </cell>
          <cell r="J432" t="str">
            <v>CT10-THQT-07</v>
          </cell>
        </row>
        <row r="433">
          <cell r="C433" t="str">
            <v>10A10</v>
          </cell>
          <cell r="J433" t="str">
            <v>CT10-THQT-07</v>
          </cell>
        </row>
        <row r="434">
          <cell r="C434" t="str">
            <v>10A10</v>
          </cell>
          <cell r="J434" t="str">
            <v>CT10-THQT-07</v>
          </cell>
        </row>
        <row r="435">
          <cell r="C435" t="str">
            <v>10A10</v>
          </cell>
          <cell r="J435" t="str">
            <v>CT10-THQT-07</v>
          </cell>
        </row>
        <row r="436">
          <cell r="C436" t="str">
            <v>10A10</v>
          </cell>
        </row>
        <row r="437">
          <cell r="C437" t="str">
            <v>10A10</v>
          </cell>
          <cell r="J437" t="str">
            <v>CT10-THQT-07</v>
          </cell>
        </row>
        <row r="438">
          <cell r="C438" t="str">
            <v>10A10</v>
          </cell>
          <cell r="J438" t="str">
            <v>CT10-THQT-07</v>
          </cell>
        </row>
        <row r="439">
          <cell r="C439" t="str">
            <v>10A10</v>
          </cell>
        </row>
        <row r="440">
          <cell r="C440" t="str">
            <v>10A10</v>
          </cell>
          <cell r="J440" t="str">
            <v>CT10-THQT-07</v>
          </cell>
        </row>
        <row r="441">
          <cell r="C441" t="str">
            <v>10A10</v>
          </cell>
          <cell r="J441" t="str">
            <v>CT10-THQT-07</v>
          </cell>
        </row>
        <row r="442">
          <cell r="C442" t="str">
            <v>10A10</v>
          </cell>
          <cell r="J442" t="str">
            <v>CT10-THQT-07</v>
          </cell>
        </row>
        <row r="443">
          <cell r="C443" t="str">
            <v>10A10</v>
          </cell>
        </row>
        <row r="444">
          <cell r="C444" t="str">
            <v>10A10</v>
          </cell>
          <cell r="J444" t="str">
            <v>CT10-THQT-07</v>
          </cell>
        </row>
        <row r="445">
          <cell r="C445" t="str">
            <v>10A10</v>
          </cell>
        </row>
        <row r="446">
          <cell r="C446" t="str">
            <v>10A10</v>
          </cell>
          <cell r="J446" t="str">
            <v>CT10-THQT-07</v>
          </cell>
        </row>
        <row r="447">
          <cell r="C447" t="str">
            <v>10A10</v>
          </cell>
          <cell r="J447" t="str">
            <v>CT10-THQT-07</v>
          </cell>
        </row>
        <row r="448">
          <cell r="C448" t="str">
            <v>10A10</v>
          </cell>
          <cell r="J448" t="str">
            <v>CT10-THQT-07</v>
          </cell>
        </row>
        <row r="449">
          <cell r="C449" t="str">
            <v>10A10</v>
          </cell>
          <cell r="J449" t="str">
            <v>CT10-THQT-07</v>
          </cell>
        </row>
        <row r="450">
          <cell r="C450" t="str">
            <v>10A10</v>
          </cell>
          <cell r="J450" t="str">
            <v>CT10-THQT-07</v>
          </cell>
        </row>
        <row r="451">
          <cell r="C451" t="str">
            <v>10A11</v>
          </cell>
        </row>
        <row r="452">
          <cell r="C452" t="str">
            <v>10A11</v>
          </cell>
          <cell r="J452" t="str">
            <v>CT10-THQT-11</v>
          </cell>
        </row>
        <row r="453">
          <cell r="C453" t="str">
            <v>10A11</v>
          </cell>
          <cell r="J453" t="str">
            <v>CT10-THQT-11</v>
          </cell>
        </row>
        <row r="454">
          <cell r="C454" t="str">
            <v>10A11</v>
          </cell>
        </row>
        <row r="455">
          <cell r="C455" t="str">
            <v>10A11</v>
          </cell>
          <cell r="J455" t="str">
            <v>CT10-THQT-11</v>
          </cell>
        </row>
        <row r="456">
          <cell r="C456" t="str">
            <v>10A11</v>
          </cell>
        </row>
        <row r="457">
          <cell r="C457" t="str">
            <v>10A11</v>
          </cell>
          <cell r="J457" t="str">
            <v>CT10-THQT-11</v>
          </cell>
        </row>
        <row r="458">
          <cell r="C458" t="str">
            <v>10A11</v>
          </cell>
          <cell r="J458" t="str">
            <v>CT10-THQT-11</v>
          </cell>
        </row>
        <row r="459">
          <cell r="C459" t="str">
            <v>10A11</v>
          </cell>
          <cell r="J459" t="str">
            <v>CT10-THQT-11</v>
          </cell>
        </row>
        <row r="460">
          <cell r="C460" t="str">
            <v>10A11</v>
          </cell>
          <cell r="J460" t="str">
            <v>CT10-THQT-11</v>
          </cell>
        </row>
        <row r="461">
          <cell r="C461" t="str">
            <v>10A11</v>
          </cell>
        </row>
        <row r="462">
          <cell r="C462" t="str">
            <v>10A11</v>
          </cell>
        </row>
        <row r="463">
          <cell r="C463" t="str">
            <v>10A11</v>
          </cell>
          <cell r="J463" t="str">
            <v>CT10-THQT-06</v>
          </cell>
        </row>
        <row r="464">
          <cell r="C464" t="str">
            <v>10A11</v>
          </cell>
        </row>
        <row r="465">
          <cell r="C465" t="str">
            <v>10A11</v>
          </cell>
        </row>
        <row r="466">
          <cell r="C466" t="str">
            <v>10A11</v>
          </cell>
        </row>
        <row r="467">
          <cell r="C467" t="str">
            <v>10A11</v>
          </cell>
        </row>
        <row r="468">
          <cell r="C468" t="str">
            <v>10A11</v>
          </cell>
        </row>
        <row r="469">
          <cell r="C469" t="str">
            <v>10A11</v>
          </cell>
        </row>
        <row r="470">
          <cell r="C470" t="str">
            <v>10A11</v>
          </cell>
        </row>
        <row r="471">
          <cell r="C471" t="str">
            <v>10A11</v>
          </cell>
          <cell r="J471" t="str">
            <v>CT10-THQT-11</v>
          </cell>
        </row>
        <row r="472">
          <cell r="C472" t="str">
            <v>10A11</v>
          </cell>
        </row>
        <row r="473">
          <cell r="C473" t="str">
            <v>10A11</v>
          </cell>
        </row>
        <row r="474">
          <cell r="C474" t="str">
            <v>10A11</v>
          </cell>
        </row>
        <row r="475">
          <cell r="C475" t="str">
            <v>10A11</v>
          </cell>
          <cell r="J475" t="str">
            <v>CT10-THQT-06</v>
          </cell>
        </row>
        <row r="476">
          <cell r="C476" t="str">
            <v>10A11</v>
          </cell>
          <cell r="J476" t="str">
            <v>CT10-THQT-11</v>
          </cell>
        </row>
        <row r="477">
          <cell r="C477" t="str">
            <v>10A11</v>
          </cell>
          <cell r="J477" t="str">
            <v>CT10-THQT-06</v>
          </cell>
        </row>
        <row r="478">
          <cell r="C478" t="str">
            <v>10A11</v>
          </cell>
        </row>
        <row r="479">
          <cell r="C479" t="str">
            <v>10A11</v>
          </cell>
        </row>
        <row r="480">
          <cell r="C480" t="str">
            <v>10A11</v>
          </cell>
        </row>
        <row r="481">
          <cell r="C481" t="str">
            <v>10A11</v>
          </cell>
          <cell r="J481" t="str">
            <v>CT10-THQT-11</v>
          </cell>
        </row>
        <row r="482">
          <cell r="C482" t="str">
            <v>10A11</v>
          </cell>
          <cell r="J482" t="str">
            <v>CT10-THQT-11</v>
          </cell>
        </row>
        <row r="483">
          <cell r="C483" t="str">
            <v>10A11</v>
          </cell>
        </row>
        <row r="484">
          <cell r="C484" t="str">
            <v>10A11</v>
          </cell>
          <cell r="J484" t="str">
            <v>CT10-THQT-11</v>
          </cell>
        </row>
        <row r="485">
          <cell r="C485" t="str">
            <v>10A11</v>
          </cell>
          <cell r="J485" t="str">
            <v>CT10-THQT-11</v>
          </cell>
        </row>
        <row r="486">
          <cell r="C486" t="str">
            <v>10A11</v>
          </cell>
          <cell r="J486" t="str">
            <v>CT10-THQT-11</v>
          </cell>
        </row>
        <row r="487">
          <cell r="C487" t="str">
            <v>10A11</v>
          </cell>
          <cell r="J487" t="str">
            <v>CT10-THQT-11</v>
          </cell>
        </row>
        <row r="488">
          <cell r="C488" t="str">
            <v>10A11</v>
          </cell>
          <cell r="J488" t="str">
            <v>CT10-THQT-11</v>
          </cell>
        </row>
        <row r="489">
          <cell r="C489" t="str">
            <v>10A11</v>
          </cell>
        </row>
        <row r="490">
          <cell r="C490" t="str">
            <v>10A11</v>
          </cell>
          <cell r="J490" t="str">
            <v>CT10-THQT-11</v>
          </cell>
        </row>
        <row r="491">
          <cell r="C491" t="str">
            <v>10A11</v>
          </cell>
          <cell r="J491" t="str">
            <v>CT10-THQT-11</v>
          </cell>
        </row>
        <row r="492">
          <cell r="C492" t="str">
            <v>10A11</v>
          </cell>
        </row>
        <row r="493">
          <cell r="C493" t="str">
            <v>10A11</v>
          </cell>
        </row>
        <row r="494">
          <cell r="C494" t="str">
            <v>10A11</v>
          </cell>
          <cell r="J494" t="str">
            <v>CT10-THQT-11</v>
          </cell>
        </row>
        <row r="495">
          <cell r="C495" t="str">
            <v>10A12</v>
          </cell>
          <cell r="J495" t="str">
            <v>CT10-THQT-10</v>
          </cell>
        </row>
        <row r="496">
          <cell r="C496" t="str">
            <v>10A12</v>
          </cell>
          <cell r="J496" t="str">
            <v>CT10-THQT-10</v>
          </cell>
        </row>
        <row r="497">
          <cell r="C497" t="str">
            <v>10A12</v>
          </cell>
        </row>
        <row r="498">
          <cell r="C498" t="str">
            <v>10A12</v>
          </cell>
          <cell r="J498" t="str">
            <v>CT10-THQT-10</v>
          </cell>
        </row>
        <row r="499">
          <cell r="C499" t="str">
            <v>10A12</v>
          </cell>
          <cell r="J499" t="str">
            <v>CT10-THQT-10</v>
          </cell>
        </row>
        <row r="500">
          <cell r="C500" t="str">
            <v>10A12</v>
          </cell>
        </row>
        <row r="501">
          <cell r="C501" t="str">
            <v>10A12</v>
          </cell>
        </row>
        <row r="502">
          <cell r="C502" t="str">
            <v>10A12</v>
          </cell>
          <cell r="J502" t="str">
            <v>CT10-THQT-10</v>
          </cell>
        </row>
        <row r="503">
          <cell r="C503" t="str">
            <v>10A12</v>
          </cell>
          <cell r="J503" t="str">
            <v>CT10-THQT-10</v>
          </cell>
        </row>
        <row r="504">
          <cell r="C504" t="str">
            <v>10A12</v>
          </cell>
          <cell r="J504" t="str">
            <v>CT10-THQT-10</v>
          </cell>
        </row>
        <row r="505">
          <cell r="C505" t="str">
            <v>10A12</v>
          </cell>
          <cell r="J505" t="str">
            <v>CT10-THQT-10</v>
          </cell>
        </row>
        <row r="506">
          <cell r="C506" t="str">
            <v>10A12</v>
          </cell>
          <cell r="J506" t="str">
            <v>CT10-THQT-10</v>
          </cell>
        </row>
        <row r="507">
          <cell r="C507" t="str">
            <v>10A12</v>
          </cell>
          <cell r="J507" t="str">
            <v>CT10-THQT-10</v>
          </cell>
        </row>
        <row r="508">
          <cell r="C508" t="str">
            <v>10A12</v>
          </cell>
        </row>
        <row r="509">
          <cell r="C509" t="str">
            <v>10A12</v>
          </cell>
        </row>
        <row r="510">
          <cell r="C510" t="str">
            <v>10A12</v>
          </cell>
        </row>
        <row r="511">
          <cell r="C511" t="str">
            <v>10A12</v>
          </cell>
        </row>
        <row r="512">
          <cell r="C512" t="str">
            <v>10A12</v>
          </cell>
        </row>
        <row r="513">
          <cell r="C513" t="str">
            <v>10A12</v>
          </cell>
        </row>
        <row r="514">
          <cell r="C514" t="str">
            <v>10A12</v>
          </cell>
          <cell r="J514" t="str">
            <v>CT10-THQT-10</v>
          </cell>
        </row>
        <row r="515">
          <cell r="C515" t="str">
            <v>10A12</v>
          </cell>
          <cell r="J515" t="str">
            <v>CT10-THQT-10</v>
          </cell>
        </row>
        <row r="516">
          <cell r="C516" t="str">
            <v>10A12</v>
          </cell>
          <cell r="J516" t="str">
            <v>CT10-THQT-10</v>
          </cell>
        </row>
        <row r="517">
          <cell r="C517" t="str">
            <v>10A12</v>
          </cell>
        </row>
        <row r="518">
          <cell r="C518" t="str">
            <v>10A12</v>
          </cell>
        </row>
        <row r="519">
          <cell r="C519" t="str">
            <v>10A12</v>
          </cell>
          <cell r="J519" t="str">
            <v>CT10-THQT-10</v>
          </cell>
        </row>
        <row r="520">
          <cell r="C520" t="str">
            <v>10A12</v>
          </cell>
        </row>
        <row r="521">
          <cell r="C521" t="str">
            <v>10A12</v>
          </cell>
          <cell r="J521" t="str">
            <v>CT10-THQT-10</v>
          </cell>
        </row>
        <row r="522">
          <cell r="C522" t="str">
            <v>10A12</v>
          </cell>
        </row>
        <row r="523">
          <cell r="C523" t="str">
            <v>10A12</v>
          </cell>
        </row>
        <row r="524">
          <cell r="C524" t="str">
            <v>10A12</v>
          </cell>
          <cell r="J524" t="str">
            <v>CT10-THQT-10</v>
          </cell>
        </row>
        <row r="525">
          <cell r="C525" t="str">
            <v>10A12</v>
          </cell>
          <cell r="J525" t="str">
            <v>CT10-THQT-10</v>
          </cell>
        </row>
        <row r="526">
          <cell r="C526" t="str">
            <v>10A12</v>
          </cell>
        </row>
        <row r="527">
          <cell r="C527" t="str">
            <v>10A12</v>
          </cell>
        </row>
        <row r="528">
          <cell r="C528" t="str">
            <v>10A12</v>
          </cell>
          <cell r="J528" t="str">
            <v>CT10-THQT-10</v>
          </cell>
        </row>
        <row r="529">
          <cell r="C529" t="str">
            <v>10A12</v>
          </cell>
        </row>
        <row r="530">
          <cell r="C530" t="str">
            <v>10A12</v>
          </cell>
          <cell r="J530" t="str">
            <v>CT10-THQT-10</v>
          </cell>
        </row>
        <row r="531">
          <cell r="C531" t="str">
            <v>10A12</v>
          </cell>
        </row>
        <row r="532">
          <cell r="C532" t="str">
            <v>10A12</v>
          </cell>
          <cell r="J532" t="str">
            <v>CT10-THQT-10</v>
          </cell>
        </row>
        <row r="533">
          <cell r="C533" t="str">
            <v>10A12</v>
          </cell>
          <cell r="J533" t="str">
            <v>CT10-THQT-10</v>
          </cell>
        </row>
        <row r="534">
          <cell r="C534" t="str">
            <v>10A12</v>
          </cell>
        </row>
        <row r="535">
          <cell r="C535" t="str">
            <v>10A12</v>
          </cell>
        </row>
        <row r="536">
          <cell r="C536" t="str">
            <v>10A12</v>
          </cell>
        </row>
        <row r="537">
          <cell r="C537" t="str">
            <v>10A12</v>
          </cell>
          <cell r="J537" t="str">
            <v>CT10-THQT-10</v>
          </cell>
        </row>
        <row r="538">
          <cell r="C538" t="str">
            <v>10A12</v>
          </cell>
          <cell r="J538" t="str">
            <v>CT10-THQT-10</v>
          </cell>
        </row>
        <row r="539">
          <cell r="C539" t="str">
            <v>10A12</v>
          </cell>
        </row>
        <row r="540">
          <cell r="C540" t="str">
            <v>10A13</v>
          </cell>
        </row>
        <row r="541">
          <cell r="C541" t="str">
            <v>10A13</v>
          </cell>
        </row>
        <row r="542">
          <cell r="C542" t="str">
            <v>10A13</v>
          </cell>
          <cell r="J542" t="str">
            <v>CT10-THQT-04</v>
          </cell>
        </row>
        <row r="543">
          <cell r="C543" t="str">
            <v>10A13</v>
          </cell>
        </row>
        <row r="544">
          <cell r="C544" t="str">
            <v>10A13</v>
          </cell>
          <cell r="J544" t="str">
            <v>CT10-THQT-04</v>
          </cell>
        </row>
        <row r="545">
          <cell r="C545" t="str">
            <v>10A13</v>
          </cell>
        </row>
        <row r="546">
          <cell r="C546" t="str">
            <v>10A13</v>
          </cell>
        </row>
        <row r="547">
          <cell r="C547" t="str">
            <v>10A13</v>
          </cell>
        </row>
        <row r="548">
          <cell r="C548" t="str">
            <v>10A13</v>
          </cell>
          <cell r="J548" t="str">
            <v>CT10-THQT-04</v>
          </cell>
        </row>
        <row r="549">
          <cell r="C549" t="str">
            <v>10A13</v>
          </cell>
        </row>
        <row r="550">
          <cell r="C550" t="str">
            <v>10A13</v>
          </cell>
          <cell r="J550" t="str">
            <v>CT10-THQT-04</v>
          </cell>
        </row>
        <row r="551">
          <cell r="C551" t="str">
            <v>10A13</v>
          </cell>
        </row>
        <row r="552">
          <cell r="C552" t="str">
            <v>10A13</v>
          </cell>
          <cell r="J552" t="str">
            <v>CT10-THQT-04</v>
          </cell>
        </row>
        <row r="553">
          <cell r="C553" t="str">
            <v>10A13</v>
          </cell>
        </row>
        <row r="554">
          <cell r="C554" t="str">
            <v>10A13</v>
          </cell>
        </row>
        <row r="555">
          <cell r="C555" t="str">
            <v>10A13</v>
          </cell>
          <cell r="J555" t="str">
            <v>CT10-THQT-04</v>
          </cell>
        </row>
        <row r="556">
          <cell r="C556" t="str">
            <v>10A13</v>
          </cell>
          <cell r="J556" t="str">
            <v>CT10-THQT-04</v>
          </cell>
        </row>
        <row r="557">
          <cell r="C557" t="str">
            <v>10A13</v>
          </cell>
          <cell r="J557" t="str">
            <v>CT10-THQT-04</v>
          </cell>
        </row>
        <row r="558">
          <cell r="C558" t="str">
            <v>10A13</v>
          </cell>
          <cell r="J558" t="str">
            <v>CT10-THQT-04</v>
          </cell>
        </row>
        <row r="559">
          <cell r="C559" t="str">
            <v>10A13</v>
          </cell>
          <cell r="J559" t="str">
            <v>CT10-THQT-04</v>
          </cell>
        </row>
        <row r="560">
          <cell r="C560" t="str">
            <v>10A13</v>
          </cell>
        </row>
        <row r="561">
          <cell r="C561" t="str">
            <v>10A13</v>
          </cell>
          <cell r="J561" t="str">
            <v>CT10-THQT-04</v>
          </cell>
        </row>
        <row r="562">
          <cell r="C562" t="str">
            <v>10A13</v>
          </cell>
          <cell r="J562" t="str">
            <v>CT10-THQT-04</v>
          </cell>
        </row>
        <row r="563">
          <cell r="C563" t="str">
            <v>10A13</v>
          </cell>
        </row>
        <row r="564">
          <cell r="C564" t="str">
            <v>10A13</v>
          </cell>
        </row>
        <row r="565">
          <cell r="C565" t="str">
            <v>10A13</v>
          </cell>
        </row>
        <row r="566">
          <cell r="C566" t="str">
            <v>10A13</v>
          </cell>
          <cell r="J566" t="str">
            <v>CT10-THQT-04</v>
          </cell>
        </row>
        <row r="567">
          <cell r="C567" t="str">
            <v>10A13</v>
          </cell>
        </row>
        <row r="568">
          <cell r="C568" t="str">
            <v>10A13</v>
          </cell>
        </row>
        <row r="569">
          <cell r="C569" t="str">
            <v>10A13</v>
          </cell>
        </row>
        <row r="570">
          <cell r="C570" t="str">
            <v>10A13</v>
          </cell>
        </row>
        <row r="571">
          <cell r="C571" t="str">
            <v>10A13</v>
          </cell>
        </row>
        <row r="572">
          <cell r="C572" t="str">
            <v>10A13</v>
          </cell>
          <cell r="J572" t="str">
            <v>CT10-THQT-04</v>
          </cell>
        </row>
        <row r="573">
          <cell r="C573" t="str">
            <v>10A13</v>
          </cell>
        </row>
        <row r="574">
          <cell r="C574" t="str">
            <v>10A13</v>
          </cell>
        </row>
        <row r="575">
          <cell r="C575" t="str">
            <v>10A13</v>
          </cell>
          <cell r="J575" t="str">
            <v>CT10-THQT-04</v>
          </cell>
        </row>
        <row r="576">
          <cell r="C576" t="str">
            <v>10A13</v>
          </cell>
          <cell r="J576" t="str">
            <v>CT10-THQT-04</v>
          </cell>
        </row>
        <row r="577">
          <cell r="C577" t="str">
            <v>10A13</v>
          </cell>
        </row>
        <row r="578">
          <cell r="C578" t="str">
            <v>10A13</v>
          </cell>
          <cell r="J578" t="str">
            <v>CT10-THQT-04</v>
          </cell>
        </row>
        <row r="579">
          <cell r="C579" t="str">
            <v>10A13</v>
          </cell>
          <cell r="J579" t="str">
            <v>CT10-THQT-04</v>
          </cell>
        </row>
        <row r="580">
          <cell r="C580" t="str">
            <v>10A13</v>
          </cell>
        </row>
        <row r="581">
          <cell r="C581" t="str">
            <v>10A13</v>
          </cell>
          <cell r="J581" t="str">
            <v>CT10-THQT-04</v>
          </cell>
        </row>
        <row r="582">
          <cell r="C582" t="str">
            <v>10A13</v>
          </cell>
          <cell r="J582" t="str">
            <v>CT10-THQT-04</v>
          </cell>
        </row>
        <row r="583">
          <cell r="C583" t="str">
            <v>10A13</v>
          </cell>
        </row>
        <row r="584">
          <cell r="C584" t="str">
            <v>10A13</v>
          </cell>
        </row>
        <row r="585">
          <cell r="C585" t="str">
            <v>10A14</v>
          </cell>
          <cell r="J585" t="str">
            <v>CT10-THQT-05</v>
          </cell>
        </row>
        <row r="586">
          <cell r="C586" t="str">
            <v>10A14</v>
          </cell>
          <cell r="J586" t="str">
            <v>CT10-THQT-05</v>
          </cell>
        </row>
        <row r="587">
          <cell r="C587" t="str">
            <v>10A14</v>
          </cell>
          <cell r="J587" t="str">
            <v>CT10-THQT-05</v>
          </cell>
        </row>
        <row r="588">
          <cell r="C588" t="str">
            <v>10A14</v>
          </cell>
          <cell r="J588" t="str">
            <v>CT10-THQT-05</v>
          </cell>
        </row>
        <row r="589">
          <cell r="C589" t="str">
            <v>10A14</v>
          </cell>
        </row>
        <row r="590">
          <cell r="C590" t="str">
            <v>10A14</v>
          </cell>
        </row>
        <row r="591">
          <cell r="C591" t="str">
            <v>10A14</v>
          </cell>
          <cell r="J591" t="str">
            <v>CT10-THQT-05</v>
          </cell>
        </row>
        <row r="592">
          <cell r="C592" t="str">
            <v>10A14</v>
          </cell>
          <cell r="J592" t="str">
            <v>CT10-THQT-05</v>
          </cell>
        </row>
        <row r="593">
          <cell r="C593" t="str">
            <v>10A14</v>
          </cell>
          <cell r="J593" t="str">
            <v>CT10-THQT-05</v>
          </cell>
        </row>
        <row r="594">
          <cell r="C594" t="str">
            <v>10A14</v>
          </cell>
          <cell r="J594" t="str">
            <v>CT10-THQT-05</v>
          </cell>
        </row>
        <row r="595">
          <cell r="C595" t="str">
            <v>10A14</v>
          </cell>
          <cell r="J595" t="str">
            <v>CT10-THQT-05</v>
          </cell>
        </row>
        <row r="596">
          <cell r="C596" t="str">
            <v>10A14</v>
          </cell>
          <cell r="J596" t="str">
            <v>CT10-THQT-05</v>
          </cell>
        </row>
        <row r="597">
          <cell r="C597" t="str">
            <v>10A14</v>
          </cell>
          <cell r="J597" t="str">
            <v>CT10-THQT-05</v>
          </cell>
        </row>
        <row r="598">
          <cell r="C598" t="str">
            <v>10A14</v>
          </cell>
          <cell r="J598" t="str">
            <v>CT10-THQT-05</v>
          </cell>
        </row>
        <row r="599">
          <cell r="C599" t="str">
            <v>10A14</v>
          </cell>
          <cell r="J599" t="str">
            <v>CT10-THQT-05</v>
          </cell>
        </row>
        <row r="600">
          <cell r="C600" t="str">
            <v>10A14</v>
          </cell>
          <cell r="J600" t="str">
            <v>CT10-THQT-05</v>
          </cell>
        </row>
        <row r="601">
          <cell r="C601" t="str">
            <v>10A14</v>
          </cell>
          <cell r="J601" t="str">
            <v>CT10-THQT-05</v>
          </cell>
        </row>
        <row r="602">
          <cell r="C602" t="str">
            <v>10A14</v>
          </cell>
        </row>
        <row r="603">
          <cell r="C603" t="str">
            <v>10A14</v>
          </cell>
          <cell r="J603" t="str">
            <v>CT10-THQT-05</v>
          </cell>
        </row>
        <row r="604">
          <cell r="C604" t="str">
            <v>10A14</v>
          </cell>
        </row>
        <row r="605">
          <cell r="C605" t="str">
            <v>10A14</v>
          </cell>
          <cell r="J605" t="str">
            <v>CT10-THQT-05</v>
          </cell>
        </row>
        <row r="606">
          <cell r="C606" t="str">
            <v>10A14</v>
          </cell>
          <cell r="J606" t="str">
            <v>CT10-THQT-05</v>
          </cell>
        </row>
        <row r="607">
          <cell r="C607" t="str">
            <v>10A14</v>
          </cell>
          <cell r="J607" t="str">
            <v>CT10-THQT-05</v>
          </cell>
        </row>
        <row r="608">
          <cell r="C608" t="str">
            <v>10A14</v>
          </cell>
          <cell r="J608" t="str">
            <v>CT10-THQT-05</v>
          </cell>
        </row>
        <row r="609">
          <cell r="C609" t="str">
            <v>10A14</v>
          </cell>
          <cell r="J609" t="str">
            <v>CT10-THQT-05</v>
          </cell>
        </row>
        <row r="610">
          <cell r="C610" t="str">
            <v>10A14</v>
          </cell>
          <cell r="J610" t="str">
            <v>CT10-THQT-05</v>
          </cell>
        </row>
        <row r="611">
          <cell r="C611" t="str">
            <v>10A14</v>
          </cell>
          <cell r="J611" t="str">
            <v>CT10-THQT-05</v>
          </cell>
        </row>
        <row r="612">
          <cell r="C612" t="str">
            <v>10A14</v>
          </cell>
          <cell r="J612" t="str">
            <v>CT10-THQT-05</v>
          </cell>
        </row>
        <row r="613">
          <cell r="C613" t="str">
            <v>10A14</v>
          </cell>
          <cell r="J613" t="str">
            <v>CT10-THQT-05</v>
          </cell>
        </row>
        <row r="614">
          <cell r="C614" t="str">
            <v>10A14</v>
          </cell>
        </row>
        <row r="615">
          <cell r="C615" t="str">
            <v>10A14</v>
          </cell>
        </row>
        <row r="616">
          <cell r="C616" t="str">
            <v>10A14</v>
          </cell>
          <cell r="J616" t="str">
            <v>CT10-THQT-05</v>
          </cell>
        </row>
        <row r="617">
          <cell r="C617" t="str">
            <v>10A14</v>
          </cell>
          <cell r="J617" t="str">
            <v>CT10-THQT-05</v>
          </cell>
        </row>
        <row r="618">
          <cell r="C618" t="str">
            <v>10A14</v>
          </cell>
          <cell r="J618" t="str">
            <v>CT10-THQT-05</v>
          </cell>
        </row>
        <row r="619">
          <cell r="C619" t="str">
            <v>10A14</v>
          </cell>
          <cell r="J619" t="str">
            <v>CT10-THQT-05</v>
          </cell>
        </row>
        <row r="620">
          <cell r="C620" t="str">
            <v>10A14</v>
          </cell>
          <cell r="J620" t="str">
            <v>CT10-THQT-05</v>
          </cell>
        </row>
        <row r="621">
          <cell r="C621" t="str">
            <v>10A14</v>
          </cell>
          <cell r="J621" t="str">
            <v>CT10-THQT-05</v>
          </cell>
        </row>
        <row r="622">
          <cell r="C622" t="str">
            <v>10A14</v>
          </cell>
          <cell r="J622" t="str">
            <v>CT10-THQT-05</v>
          </cell>
        </row>
        <row r="623">
          <cell r="C623" t="str">
            <v>10A14</v>
          </cell>
          <cell r="J623" t="str">
            <v>CT10-THQT-05</v>
          </cell>
        </row>
        <row r="624">
          <cell r="C624" t="str">
            <v>10A14</v>
          </cell>
          <cell r="J624" t="str">
            <v>CT10-THQT-05</v>
          </cell>
        </row>
        <row r="625">
          <cell r="C625" t="str">
            <v>10A14</v>
          </cell>
          <cell r="J625" t="str">
            <v>CT10-THQT-05</v>
          </cell>
        </row>
        <row r="626">
          <cell r="C626" t="str">
            <v>10A14</v>
          </cell>
          <cell r="J626" t="str">
            <v>CT10-THQT-05</v>
          </cell>
        </row>
        <row r="627">
          <cell r="C627" t="str">
            <v>10A14</v>
          </cell>
        </row>
        <row r="628">
          <cell r="C628" t="str">
            <v>10A14</v>
          </cell>
          <cell r="J628" t="str">
            <v>CT10-THQT-05</v>
          </cell>
        </row>
        <row r="629">
          <cell r="C629" t="str">
            <v>10A15</v>
          </cell>
          <cell r="J629" t="str">
            <v>CT10-THQT-06</v>
          </cell>
        </row>
        <row r="630">
          <cell r="C630" t="str">
            <v>10A15</v>
          </cell>
          <cell r="J630" t="str">
            <v>CT10-THQT-06</v>
          </cell>
        </row>
        <row r="631">
          <cell r="C631" t="str">
            <v>10A15</v>
          </cell>
        </row>
        <row r="632">
          <cell r="C632" t="str">
            <v>10A15</v>
          </cell>
        </row>
        <row r="633">
          <cell r="C633" t="str">
            <v>10A15</v>
          </cell>
          <cell r="J633" t="str">
            <v>CT10-THQT-06</v>
          </cell>
        </row>
        <row r="634">
          <cell r="C634" t="str">
            <v>10A15</v>
          </cell>
          <cell r="J634" t="str">
            <v>CT10-THQT-06</v>
          </cell>
        </row>
        <row r="635">
          <cell r="C635" t="str">
            <v>10A15</v>
          </cell>
        </row>
        <row r="636">
          <cell r="C636" t="str">
            <v>10A15</v>
          </cell>
        </row>
        <row r="637">
          <cell r="C637" t="str">
            <v>10A15</v>
          </cell>
          <cell r="J637" t="str">
            <v>CT10-THQT-06</v>
          </cell>
        </row>
        <row r="638">
          <cell r="C638" t="str">
            <v>10A15</v>
          </cell>
        </row>
        <row r="639">
          <cell r="C639" t="str">
            <v>10A15</v>
          </cell>
          <cell r="J639" t="str">
            <v>CT10-THQT-06</v>
          </cell>
        </row>
        <row r="640">
          <cell r="C640" t="str">
            <v>10A15</v>
          </cell>
        </row>
        <row r="641">
          <cell r="C641" t="str">
            <v>10A15</v>
          </cell>
          <cell r="J641" t="str">
            <v>CT10-THQT-06</v>
          </cell>
        </row>
        <row r="642">
          <cell r="C642" t="str">
            <v>10A15</v>
          </cell>
        </row>
        <row r="643">
          <cell r="C643" t="str">
            <v>10A15</v>
          </cell>
        </row>
        <row r="644">
          <cell r="C644" t="str">
            <v>10A15</v>
          </cell>
        </row>
        <row r="645">
          <cell r="C645" t="str">
            <v>10A15</v>
          </cell>
          <cell r="J645" t="str">
            <v>CT10-THQT-06</v>
          </cell>
        </row>
        <row r="646">
          <cell r="C646" t="str">
            <v>10A15</v>
          </cell>
        </row>
        <row r="647">
          <cell r="C647" t="str">
            <v>10A15</v>
          </cell>
          <cell r="J647" t="str">
            <v>CT10-THQT-06</v>
          </cell>
        </row>
        <row r="648">
          <cell r="C648" t="str">
            <v>10A15</v>
          </cell>
        </row>
        <row r="649">
          <cell r="C649" t="str">
            <v>10A15</v>
          </cell>
          <cell r="J649" t="str">
            <v>CT10-THQT-06</v>
          </cell>
        </row>
        <row r="650">
          <cell r="C650" t="str">
            <v>10A15</v>
          </cell>
        </row>
        <row r="651">
          <cell r="C651" t="str">
            <v>10A15</v>
          </cell>
          <cell r="J651" t="str">
            <v>CT10-THQT-06</v>
          </cell>
        </row>
        <row r="652">
          <cell r="C652" t="str">
            <v>10A15</v>
          </cell>
          <cell r="J652" t="str">
            <v>CT10-THQT-06</v>
          </cell>
        </row>
        <row r="653">
          <cell r="C653" t="str">
            <v>10A15</v>
          </cell>
          <cell r="J653" t="str">
            <v>CT10-THQT-06</v>
          </cell>
        </row>
        <row r="654">
          <cell r="C654" t="str">
            <v>10A15</v>
          </cell>
          <cell r="J654" t="str">
            <v>CT10-THQT-06</v>
          </cell>
        </row>
        <row r="655">
          <cell r="C655" t="str">
            <v>10A15</v>
          </cell>
          <cell r="J655" t="str">
            <v>CT10-THQT-06</v>
          </cell>
        </row>
        <row r="656">
          <cell r="C656" t="str">
            <v>10A15</v>
          </cell>
        </row>
        <row r="657">
          <cell r="C657" t="str">
            <v>10A15</v>
          </cell>
        </row>
        <row r="658">
          <cell r="C658" t="str">
            <v>10A15</v>
          </cell>
          <cell r="J658" t="str">
            <v>CT10-THQT-06</v>
          </cell>
        </row>
        <row r="659">
          <cell r="C659" t="str">
            <v>10A15</v>
          </cell>
          <cell r="J659" t="str">
            <v>CT10-THQT-06</v>
          </cell>
        </row>
        <row r="660">
          <cell r="C660" t="str">
            <v>10A15</v>
          </cell>
          <cell r="J660" t="str">
            <v>CT10-THQT-06</v>
          </cell>
        </row>
        <row r="661">
          <cell r="C661" t="str">
            <v>10A15</v>
          </cell>
          <cell r="J661" t="str">
            <v>CT10-THQT-06</v>
          </cell>
        </row>
        <row r="662">
          <cell r="C662" t="str">
            <v>10A15</v>
          </cell>
        </row>
        <row r="663">
          <cell r="C663" t="str">
            <v>10A15</v>
          </cell>
          <cell r="J663" t="str">
            <v>CT10-THQT-06</v>
          </cell>
        </row>
        <row r="664">
          <cell r="C664" t="str">
            <v>10A15</v>
          </cell>
        </row>
        <row r="665">
          <cell r="C665" t="str">
            <v>10A15</v>
          </cell>
          <cell r="J665" t="str">
            <v>CT10-THQT-06</v>
          </cell>
        </row>
        <row r="666">
          <cell r="C666" t="str">
            <v>10A15</v>
          </cell>
        </row>
        <row r="667">
          <cell r="C667" t="str">
            <v>10A15</v>
          </cell>
          <cell r="J667" t="str">
            <v>CT10-THQT-06</v>
          </cell>
        </row>
        <row r="668">
          <cell r="C668" t="str">
            <v>10A15</v>
          </cell>
          <cell r="J668" t="str">
            <v>CT10-THQT-06</v>
          </cell>
        </row>
        <row r="669">
          <cell r="C669" t="str">
            <v>10A15</v>
          </cell>
          <cell r="J669" t="str">
            <v>CT10-THQT-06</v>
          </cell>
        </row>
        <row r="670">
          <cell r="C670" t="str">
            <v>10A15</v>
          </cell>
        </row>
        <row r="671">
          <cell r="C671" t="str">
            <v>10A15</v>
          </cell>
          <cell r="J671" t="str">
            <v>CT10-THQT-06</v>
          </cell>
        </row>
        <row r="672">
          <cell r="C672" t="str">
            <v>10A15</v>
          </cell>
          <cell r="J672" t="str">
            <v>CT10-THQT-06</v>
          </cell>
        </row>
        <row r="673">
          <cell r="C673" t="str">
            <v>10A15</v>
          </cell>
        </row>
        <row r="674">
          <cell r="C674" t="str">
            <v>10A15</v>
          </cell>
          <cell r="J674" t="str">
            <v>CT10-THQT-06</v>
          </cell>
        </row>
        <row r="675">
          <cell r="C675" t="str">
            <v>10A15</v>
          </cell>
        </row>
        <row r="676">
          <cell r="C676" t="str">
            <v>10A15</v>
          </cell>
          <cell r="J676" t="str">
            <v>CT10-THQT-06</v>
          </cell>
        </row>
        <row r="677">
          <cell r="C677" t="str">
            <v>10A15</v>
          </cell>
        </row>
        <row r="678">
          <cell r="C678" t="str">
            <v>10A16</v>
          </cell>
        </row>
        <row r="679">
          <cell r="C679" t="str">
            <v>10A16</v>
          </cell>
        </row>
        <row r="680">
          <cell r="C680" t="str">
            <v>10A16</v>
          </cell>
          <cell r="J680" t="str">
            <v>CT10-THQT-09</v>
          </cell>
        </row>
        <row r="681">
          <cell r="C681" t="str">
            <v>10A16</v>
          </cell>
          <cell r="J681" t="str">
            <v>CT10-THQT-09</v>
          </cell>
        </row>
        <row r="682">
          <cell r="C682" t="str">
            <v>10A16</v>
          </cell>
          <cell r="J682" t="str">
            <v>CT10-THQT-09</v>
          </cell>
        </row>
        <row r="683">
          <cell r="C683" t="str">
            <v>10A16</v>
          </cell>
        </row>
        <row r="684">
          <cell r="C684" t="str">
            <v>10A16</v>
          </cell>
          <cell r="J684" t="str">
            <v>CT10-THQT-09</v>
          </cell>
        </row>
        <row r="685">
          <cell r="C685" t="str">
            <v>10A16</v>
          </cell>
        </row>
        <row r="686">
          <cell r="C686" t="str">
            <v>10A16</v>
          </cell>
          <cell r="J686" t="str">
            <v>CT10-THQT-09</v>
          </cell>
        </row>
        <row r="687">
          <cell r="C687" t="str">
            <v>10A16</v>
          </cell>
        </row>
        <row r="688">
          <cell r="C688" t="str">
            <v>10A16</v>
          </cell>
          <cell r="J688" t="str">
            <v>CT10-THQT-09</v>
          </cell>
        </row>
        <row r="689">
          <cell r="C689" t="str">
            <v>10A16</v>
          </cell>
          <cell r="J689" t="str">
            <v>CT10-THQT-09</v>
          </cell>
        </row>
        <row r="690">
          <cell r="C690" t="str">
            <v>10A16</v>
          </cell>
          <cell r="J690" t="str">
            <v>CT10-THQT-09</v>
          </cell>
        </row>
        <row r="691">
          <cell r="C691" t="str">
            <v>10A16</v>
          </cell>
          <cell r="J691" t="str">
            <v>CT10-THQT-09</v>
          </cell>
        </row>
        <row r="692">
          <cell r="C692" t="str">
            <v>10A16</v>
          </cell>
        </row>
        <row r="693">
          <cell r="C693" t="str">
            <v>10A16</v>
          </cell>
          <cell r="J693" t="str">
            <v>CT10-THQT-09</v>
          </cell>
        </row>
        <row r="694">
          <cell r="C694" t="str">
            <v>10A16</v>
          </cell>
        </row>
        <row r="695">
          <cell r="C695" t="str">
            <v>10A16</v>
          </cell>
          <cell r="J695" t="str">
            <v>CT10-THQT-09</v>
          </cell>
        </row>
        <row r="696">
          <cell r="C696" t="str">
            <v>10A16</v>
          </cell>
          <cell r="J696" t="str">
            <v>CT10-THQT-09</v>
          </cell>
        </row>
        <row r="697">
          <cell r="C697" t="str">
            <v>10A16</v>
          </cell>
          <cell r="J697" t="str">
            <v>CT10-THQT-09</v>
          </cell>
        </row>
        <row r="698">
          <cell r="C698" t="str">
            <v>10A16</v>
          </cell>
          <cell r="J698" t="str">
            <v>CT10-THQT-09</v>
          </cell>
        </row>
        <row r="699">
          <cell r="C699" t="str">
            <v>10A16</v>
          </cell>
          <cell r="J699" t="str">
            <v>CT10-THQT-09</v>
          </cell>
        </row>
        <row r="700">
          <cell r="C700" t="str">
            <v>10A16</v>
          </cell>
        </row>
        <row r="701">
          <cell r="C701" t="str">
            <v>10A16</v>
          </cell>
        </row>
        <row r="702">
          <cell r="C702" t="str">
            <v>10A16</v>
          </cell>
          <cell r="J702" t="str">
            <v>CT10-THQT-09</v>
          </cell>
        </row>
        <row r="703">
          <cell r="C703" t="str">
            <v>10A16</v>
          </cell>
        </row>
        <row r="704">
          <cell r="C704" t="str">
            <v>10A16</v>
          </cell>
        </row>
        <row r="705">
          <cell r="C705" t="str">
            <v>10A16</v>
          </cell>
        </row>
        <row r="706">
          <cell r="C706" t="str">
            <v>10A16</v>
          </cell>
          <cell r="J706" t="str">
            <v>CT10-THQT-09</v>
          </cell>
        </row>
        <row r="707">
          <cell r="C707" t="str">
            <v>10A16</v>
          </cell>
          <cell r="J707" t="str">
            <v>CT10-THQT-09</v>
          </cell>
        </row>
        <row r="708">
          <cell r="C708" t="str">
            <v>10A16</v>
          </cell>
        </row>
        <row r="709">
          <cell r="C709" t="str">
            <v>10A16</v>
          </cell>
        </row>
        <row r="710">
          <cell r="C710" t="str">
            <v>10A16</v>
          </cell>
          <cell r="J710" t="str">
            <v>CT10-THQT-09</v>
          </cell>
        </row>
        <row r="711">
          <cell r="C711" t="str">
            <v>10A16</v>
          </cell>
          <cell r="J711" t="str">
            <v>CT10-THQT-09</v>
          </cell>
        </row>
        <row r="712">
          <cell r="C712" t="str">
            <v>10A16</v>
          </cell>
          <cell r="J712" t="str">
            <v>CT10-THQT-09</v>
          </cell>
        </row>
        <row r="713">
          <cell r="C713" t="str">
            <v>10A16</v>
          </cell>
          <cell r="J713" t="str">
            <v>CT10-THQT-09</v>
          </cell>
        </row>
        <row r="714">
          <cell r="C714" t="str">
            <v>10A16</v>
          </cell>
          <cell r="J714" t="str">
            <v>CT10-THQT-09</v>
          </cell>
        </row>
        <row r="715">
          <cell r="C715" t="str">
            <v>10A16</v>
          </cell>
        </row>
        <row r="716">
          <cell r="C716" t="str">
            <v>10A16</v>
          </cell>
          <cell r="J716" t="str">
            <v>CT10-THQT-09</v>
          </cell>
        </row>
        <row r="717">
          <cell r="C717" t="str">
            <v>10A17</v>
          </cell>
          <cell r="J717" t="str">
            <v>CT10-THQT-09</v>
          </cell>
        </row>
        <row r="718">
          <cell r="C718" t="str">
            <v>10A17</v>
          </cell>
        </row>
        <row r="719">
          <cell r="C719" t="str">
            <v>10A17</v>
          </cell>
          <cell r="J719" t="str">
            <v>CT10-THQT-09</v>
          </cell>
        </row>
        <row r="720">
          <cell r="C720" t="str">
            <v>10A17</v>
          </cell>
          <cell r="J720" t="str">
            <v>CT10-THQT-09</v>
          </cell>
        </row>
        <row r="721">
          <cell r="C721" t="str">
            <v>10A17</v>
          </cell>
        </row>
        <row r="722">
          <cell r="C722" t="str">
            <v>10A17</v>
          </cell>
        </row>
        <row r="723">
          <cell r="C723" t="str">
            <v>10A17</v>
          </cell>
          <cell r="J723" t="str">
            <v>CT10-THQT-09</v>
          </cell>
        </row>
        <row r="724">
          <cell r="C724" t="str">
            <v>10A17</v>
          </cell>
          <cell r="J724" t="str">
            <v>CT10-THQT-09</v>
          </cell>
        </row>
        <row r="725">
          <cell r="C725" t="str">
            <v>10A17</v>
          </cell>
        </row>
        <row r="726">
          <cell r="C726" t="str">
            <v>10A17</v>
          </cell>
          <cell r="J726" t="str">
            <v>CT10-THQT-09</v>
          </cell>
        </row>
        <row r="727">
          <cell r="C727" t="str">
            <v>10A17</v>
          </cell>
          <cell r="J727" t="str">
            <v>CT10-THQT-09</v>
          </cell>
        </row>
        <row r="728">
          <cell r="C728" t="str">
            <v>10A17</v>
          </cell>
          <cell r="J728" t="str">
            <v>CT10-THQT-09</v>
          </cell>
        </row>
        <row r="729">
          <cell r="C729" t="str">
            <v>10A17</v>
          </cell>
          <cell r="J729" t="str">
            <v>CT10-THQT-09</v>
          </cell>
        </row>
        <row r="730">
          <cell r="C730" t="str">
            <v>10A17</v>
          </cell>
          <cell r="J730" t="str">
            <v>CT10-THQT-09</v>
          </cell>
        </row>
        <row r="731">
          <cell r="C731" t="str">
            <v>10A17</v>
          </cell>
        </row>
        <row r="732">
          <cell r="C732" t="str">
            <v>10A17</v>
          </cell>
        </row>
        <row r="733">
          <cell r="C733" t="str">
            <v>10A17</v>
          </cell>
          <cell r="J733" t="str">
            <v>CT10-THQT-09</v>
          </cell>
        </row>
        <row r="734">
          <cell r="C734" t="str">
            <v>10A17</v>
          </cell>
          <cell r="J734" t="str">
            <v>CT10-THQT-09</v>
          </cell>
        </row>
        <row r="735">
          <cell r="C735" t="str">
            <v>10A17</v>
          </cell>
          <cell r="J735" t="str">
            <v>CT10-THQT-09</v>
          </cell>
        </row>
        <row r="736">
          <cell r="C736" t="str">
            <v>10A17</v>
          </cell>
        </row>
        <row r="737">
          <cell r="C737" t="str">
            <v>10A17</v>
          </cell>
        </row>
        <row r="738">
          <cell r="C738" t="str">
            <v>10A17</v>
          </cell>
          <cell r="J738" t="str">
            <v>CT10-THQT-09</v>
          </cell>
        </row>
        <row r="739">
          <cell r="C739" t="str">
            <v>10A17</v>
          </cell>
          <cell r="J739" t="str">
            <v>CT10-THQT-09</v>
          </cell>
        </row>
        <row r="740">
          <cell r="C740" t="str">
            <v>10A17</v>
          </cell>
        </row>
        <row r="741">
          <cell r="C741" t="str">
            <v>10A17</v>
          </cell>
          <cell r="J741" t="str">
            <v>CT10-THQT-09</v>
          </cell>
        </row>
        <row r="742">
          <cell r="C742" t="str">
            <v>10A17</v>
          </cell>
        </row>
        <row r="743">
          <cell r="C743" t="str">
            <v>10A17</v>
          </cell>
          <cell r="J743" t="str">
            <v>CT10-THQT-09</v>
          </cell>
        </row>
        <row r="744">
          <cell r="C744" t="str">
            <v>10A17</v>
          </cell>
          <cell r="J744" t="str">
            <v>CT10-THQT-09</v>
          </cell>
        </row>
        <row r="745">
          <cell r="C745" t="str">
            <v>10A17</v>
          </cell>
          <cell r="J745" t="str">
            <v>CT10-THQT-09</v>
          </cell>
        </row>
        <row r="746">
          <cell r="C746" t="str">
            <v>10A17</v>
          </cell>
          <cell r="J746" t="str">
            <v>CT10-THQT-09</v>
          </cell>
        </row>
        <row r="747">
          <cell r="C747" t="str">
            <v>10A17</v>
          </cell>
          <cell r="J747" t="str">
            <v>CT10-THQT-09</v>
          </cell>
        </row>
        <row r="748">
          <cell r="C748" t="str">
            <v>10A17</v>
          </cell>
        </row>
        <row r="749">
          <cell r="C749" t="str">
            <v>10A17</v>
          </cell>
        </row>
        <row r="750">
          <cell r="C750" t="str">
            <v>10A17</v>
          </cell>
          <cell r="J750" t="str">
            <v>CT10-THQT-09</v>
          </cell>
        </row>
        <row r="751">
          <cell r="C751" t="str">
            <v>10A17</v>
          </cell>
        </row>
        <row r="752">
          <cell r="C752" t="str">
            <v>10A17</v>
          </cell>
        </row>
        <row r="753">
          <cell r="C753" t="str">
            <v>10A17</v>
          </cell>
          <cell r="J753" t="str">
            <v>CT10-THQT-09</v>
          </cell>
        </row>
        <row r="754">
          <cell r="C754" t="str">
            <v>10A17</v>
          </cell>
        </row>
        <row r="755">
          <cell r="C755" t="str">
            <v>10A17</v>
          </cell>
          <cell r="J755" t="str">
            <v>CT10-THQT-09</v>
          </cell>
        </row>
        <row r="756">
          <cell r="C756" t="str">
            <v>10A17</v>
          </cell>
        </row>
        <row r="757">
          <cell r="C757" t="str">
            <v>10A17</v>
          </cell>
          <cell r="J757" t="str">
            <v>CT10-THQT-09</v>
          </cell>
        </row>
        <row r="758">
          <cell r="C758" t="str">
            <v>10A17</v>
          </cell>
          <cell r="J758" t="str">
            <v>CT10-THQT-09</v>
          </cell>
        </row>
        <row r="759">
          <cell r="C759" t="str">
            <v>10A17</v>
          </cell>
        </row>
        <row r="760">
          <cell r="C760" t="str">
            <v>10A17</v>
          </cell>
        </row>
        <row r="761">
          <cell r="C761" t="str">
            <v>10A18</v>
          </cell>
          <cell r="J761" t="str">
            <v>CT10-THQT-03</v>
          </cell>
        </row>
        <row r="762">
          <cell r="C762" t="str">
            <v>10A18</v>
          </cell>
          <cell r="J762" t="str">
            <v>CT10-THQT-03</v>
          </cell>
        </row>
        <row r="763">
          <cell r="C763" t="str">
            <v>10A18</v>
          </cell>
          <cell r="J763" t="str">
            <v>CT10-THQT-03</v>
          </cell>
        </row>
        <row r="764">
          <cell r="C764" t="str">
            <v>10A18</v>
          </cell>
        </row>
        <row r="765">
          <cell r="C765" t="str">
            <v>10A18</v>
          </cell>
        </row>
        <row r="766">
          <cell r="C766" t="str">
            <v>10A18</v>
          </cell>
        </row>
        <row r="767">
          <cell r="C767" t="str">
            <v>10A18</v>
          </cell>
        </row>
        <row r="768">
          <cell r="C768" t="str">
            <v>10A18</v>
          </cell>
          <cell r="J768" t="str">
            <v>CT10-THQT-03</v>
          </cell>
        </row>
        <row r="769">
          <cell r="C769" t="str">
            <v>10A18</v>
          </cell>
        </row>
        <row r="770">
          <cell r="C770" t="str">
            <v>10A18</v>
          </cell>
        </row>
        <row r="771">
          <cell r="C771" t="str">
            <v>10A18</v>
          </cell>
        </row>
        <row r="772">
          <cell r="C772" t="str">
            <v>10A18</v>
          </cell>
        </row>
        <row r="773">
          <cell r="C773" t="str">
            <v>10A18</v>
          </cell>
        </row>
        <row r="774">
          <cell r="C774" t="str">
            <v>10A18</v>
          </cell>
          <cell r="J774" t="str">
            <v>CT10-THQT-03</v>
          </cell>
        </row>
        <row r="775">
          <cell r="C775" t="str">
            <v>10A18</v>
          </cell>
        </row>
        <row r="776">
          <cell r="C776" t="str">
            <v>10A18</v>
          </cell>
          <cell r="J776" t="str">
            <v>CT10-THQT-03</v>
          </cell>
        </row>
        <row r="777">
          <cell r="C777" t="str">
            <v>10A18</v>
          </cell>
        </row>
        <row r="778">
          <cell r="C778" t="str">
            <v>10A18</v>
          </cell>
          <cell r="J778" t="str">
            <v>CT10-THQT-03</v>
          </cell>
        </row>
        <row r="779">
          <cell r="C779" t="str">
            <v>10A18</v>
          </cell>
          <cell r="J779" t="str">
            <v>CT10-THQT-03</v>
          </cell>
        </row>
        <row r="780">
          <cell r="C780" t="str">
            <v>10A18</v>
          </cell>
        </row>
        <row r="781">
          <cell r="C781" t="str">
            <v>10A18</v>
          </cell>
        </row>
        <row r="782">
          <cell r="C782" t="str">
            <v>10A18</v>
          </cell>
        </row>
        <row r="783">
          <cell r="C783" t="str">
            <v>10A18</v>
          </cell>
        </row>
        <row r="784">
          <cell r="C784" t="str">
            <v>10A18</v>
          </cell>
          <cell r="J784" t="str">
            <v>CT10-THQT-03</v>
          </cell>
        </row>
        <row r="785">
          <cell r="C785" t="str">
            <v>10A18</v>
          </cell>
        </row>
        <row r="786">
          <cell r="C786" t="str">
            <v>10A18</v>
          </cell>
        </row>
        <row r="787">
          <cell r="C787" t="str">
            <v>10A18</v>
          </cell>
        </row>
        <row r="788">
          <cell r="C788" t="str">
            <v>10A18</v>
          </cell>
          <cell r="J788" t="str">
            <v>CT10-THQT-01</v>
          </cell>
        </row>
        <row r="789">
          <cell r="C789" t="str">
            <v>10A18</v>
          </cell>
        </row>
        <row r="790">
          <cell r="C790" t="str">
            <v>10A18</v>
          </cell>
        </row>
        <row r="791">
          <cell r="C791" t="str">
            <v>10A18</v>
          </cell>
          <cell r="J791" t="str">
            <v>CT10-THQT-01</v>
          </cell>
        </row>
        <row r="792">
          <cell r="C792" t="str">
            <v>10A18</v>
          </cell>
        </row>
        <row r="793">
          <cell r="C793" t="str">
            <v>10A18</v>
          </cell>
        </row>
        <row r="794">
          <cell r="C794" t="str">
            <v>10A18</v>
          </cell>
          <cell r="J794" t="str">
            <v>CT10-THQT-01</v>
          </cell>
        </row>
        <row r="795">
          <cell r="C795" t="str">
            <v>10A18</v>
          </cell>
          <cell r="J795" t="str">
            <v>CT10-THQT-03</v>
          </cell>
        </row>
        <row r="796">
          <cell r="C796" t="str">
            <v>10A18</v>
          </cell>
        </row>
        <row r="797">
          <cell r="C797" t="str">
            <v>10A18</v>
          </cell>
        </row>
        <row r="798">
          <cell r="C798" t="str">
            <v>10A18</v>
          </cell>
          <cell r="J798" t="str">
            <v>CT10-THQT-03</v>
          </cell>
        </row>
        <row r="799">
          <cell r="C799" t="str">
            <v>10A19</v>
          </cell>
          <cell r="J799" t="str">
            <v>CT10-THQT-02</v>
          </cell>
        </row>
        <row r="800">
          <cell r="C800" t="str">
            <v>10A19</v>
          </cell>
        </row>
        <row r="801">
          <cell r="C801" t="str">
            <v>10A19</v>
          </cell>
          <cell r="J801" t="str">
            <v>CT10-THQT-02</v>
          </cell>
        </row>
        <row r="802">
          <cell r="C802" t="str">
            <v>10A19</v>
          </cell>
        </row>
        <row r="803">
          <cell r="C803" t="str">
            <v>10A19</v>
          </cell>
          <cell r="J803" t="str">
            <v>CT10-THQT-02</v>
          </cell>
        </row>
        <row r="804">
          <cell r="C804" t="str">
            <v>10A19</v>
          </cell>
        </row>
        <row r="805">
          <cell r="C805" t="str">
            <v>10A19</v>
          </cell>
        </row>
        <row r="806">
          <cell r="C806" t="str">
            <v>10A19</v>
          </cell>
          <cell r="J806" t="str">
            <v>CT10-THQT-03</v>
          </cell>
        </row>
        <row r="807">
          <cell r="C807" t="str">
            <v>10A19</v>
          </cell>
        </row>
        <row r="808">
          <cell r="C808" t="str">
            <v>10A19</v>
          </cell>
        </row>
        <row r="809">
          <cell r="C809" t="str">
            <v>10A19</v>
          </cell>
        </row>
        <row r="810">
          <cell r="C810" t="str">
            <v>10A19</v>
          </cell>
        </row>
        <row r="811">
          <cell r="C811" t="str">
            <v>10A19</v>
          </cell>
        </row>
        <row r="812">
          <cell r="C812" t="str">
            <v>10A19</v>
          </cell>
          <cell r="J812" t="str">
            <v>CT10-THQT-03</v>
          </cell>
        </row>
        <row r="813">
          <cell r="C813" t="str">
            <v>10A19</v>
          </cell>
        </row>
        <row r="814">
          <cell r="C814" t="str">
            <v>10A19</v>
          </cell>
        </row>
        <row r="815">
          <cell r="C815" t="str">
            <v>10A19</v>
          </cell>
        </row>
        <row r="816">
          <cell r="C816" t="str">
            <v>10A19</v>
          </cell>
        </row>
        <row r="817">
          <cell r="C817" t="str">
            <v>10A19</v>
          </cell>
          <cell r="J817" t="str">
            <v>CT10-THQT-02</v>
          </cell>
        </row>
        <row r="818">
          <cell r="C818" t="str">
            <v>10A19</v>
          </cell>
          <cell r="J818" t="str">
            <v>CT10-THQT-02</v>
          </cell>
        </row>
        <row r="819">
          <cell r="C819" t="str">
            <v>10A19</v>
          </cell>
        </row>
        <row r="820">
          <cell r="C820" t="str">
            <v>10A19</v>
          </cell>
        </row>
        <row r="821">
          <cell r="C821" t="str">
            <v>10A19</v>
          </cell>
        </row>
        <row r="822">
          <cell r="C822" t="str">
            <v>10A19</v>
          </cell>
        </row>
        <row r="823">
          <cell r="C823" t="str">
            <v>10A19</v>
          </cell>
          <cell r="J823" t="str">
            <v>CT10-THQT-03</v>
          </cell>
        </row>
        <row r="824">
          <cell r="C824" t="str">
            <v>10A19</v>
          </cell>
          <cell r="J824" t="str">
            <v>CT10-THQT-02</v>
          </cell>
        </row>
        <row r="825">
          <cell r="C825" t="str">
            <v>10A19</v>
          </cell>
        </row>
        <row r="826">
          <cell r="C826" t="str">
            <v>10A19</v>
          </cell>
        </row>
        <row r="827">
          <cell r="C827" t="str">
            <v>10A19</v>
          </cell>
          <cell r="J827" t="str">
            <v>CT10-THQT-02</v>
          </cell>
        </row>
        <row r="828">
          <cell r="C828" t="str">
            <v>10A19</v>
          </cell>
        </row>
        <row r="829">
          <cell r="C829" t="str">
            <v>10A19</v>
          </cell>
          <cell r="J829" t="str">
            <v>CT10-THQT-02</v>
          </cell>
        </row>
        <row r="830">
          <cell r="C830" t="str">
            <v>10A19</v>
          </cell>
          <cell r="J830" t="str">
            <v>CT10-THQT-03</v>
          </cell>
        </row>
        <row r="831">
          <cell r="C831" t="str">
            <v>10A19</v>
          </cell>
          <cell r="J831" t="str">
            <v>CT10-THQT-03</v>
          </cell>
        </row>
        <row r="832">
          <cell r="C832" t="str">
            <v>10A19</v>
          </cell>
        </row>
        <row r="833">
          <cell r="C833" t="str">
            <v>10A19</v>
          </cell>
        </row>
        <row r="834">
          <cell r="C834" t="str">
            <v>10A19</v>
          </cell>
        </row>
        <row r="835">
          <cell r="C835" t="str">
            <v>10A20</v>
          </cell>
          <cell r="J835" t="str">
            <v>CT10-THQT-06</v>
          </cell>
        </row>
        <row r="836">
          <cell r="C836" t="str">
            <v>10A20</v>
          </cell>
        </row>
        <row r="837">
          <cell r="C837" t="str">
            <v>10A20</v>
          </cell>
        </row>
        <row r="838">
          <cell r="C838" t="str">
            <v>10A20</v>
          </cell>
          <cell r="J838" t="str">
            <v>CT10-THQT-06</v>
          </cell>
        </row>
        <row r="839">
          <cell r="C839" t="str">
            <v>10A20</v>
          </cell>
        </row>
        <row r="840">
          <cell r="C840" t="str">
            <v>10A20</v>
          </cell>
          <cell r="J840" t="str">
            <v>CT10-THQT-06</v>
          </cell>
        </row>
        <row r="841">
          <cell r="C841" t="str">
            <v>10A20</v>
          </cell>
        </row>
        <row r="842">
          <cell r="C842" t="str">
            <v>10A20</v>
          </cell>
        </row>
        <row r="843">
          <cell r="C843" t="str">
            <v>10A20</v>
          </cell>
        </row>
        <row r="844">
          <cell r="C844" t="str">
            <v>10A20</v>
          </cell>
        </row>
        <row r="845">
          <cell r="C845" t="str">
            <v>10A20</v>
          </cell>
        </row>
        <row r="846">
          <cell r="C846" t="str">
            <v>10A20</v>
          </cell>
          <cell r="J846" t="str">
            <v>CT10-THQT-11</v>
          </cell>
        </row>
        <row r="847">
          <cell r="C847" t="str">
            <v>10A20</v>
          </cell>
        </row>
        <row r="848">
          <cell r="C848" t="str">
            <v>10A20</v>
          </cell>
        </row>
        <row r="849">
          <cell r="C849" t="str">
            <v>10A20</v>
          </cell>
        </row>
        <row r="850">
          <cell r="C850" t="str">
            <v>10A20</v>
          </cell>
        </row>
        <row r="851">
          <cell r="C851" t="str">
            <v>10A20</v>
          </cell>
        </row>
        <row r="852">
          <cell r="C852" t="str">
            <v>10A20</v>
          </cell>
          <cell r="J852" t="str">
            <v>CT10-THQT-06</v>
          </cell>
        </row>
        <row r="853">
          <cell r="C853" t="str">
            <v>10A20</v>
          </cell>
          <cell r="J853" t="str">
            <v>CT10-THQT-06</v>
          </cell>
        </row>
        <row r="854">
          <cell r="C854" t="str">
            <v>10A20</v>
          </cell>
        </row>
        <row r="855">
          <cell r="C855" t="str">
            <v>10A20</v>
          </cell>
          <cell r="J855" t="str">
            <v>CT10-THQT-06</v>
          </cell>
        </row>
        <row r="856">
          <cell r="C856" t="str">
            <v>10A20</v>
          </cell>
        </row>
        <row r="857">
          <cell r="C857" t="str">
            <v>10A20</v>
          </cell>
          <cell r="J857" t="str">
            <v>CT10-THQT-11</v>
          </cell>
        </row>
        <row r="858">
          <cell r="C858" t="str">
            <v>10A20</v>
          </cell>
        </row>
        <row r="859">
          <cell r="C859" t="str">
            <v>10A20</v>
          </cell>
          <cell r="J859" t="str">
            <v>CT10-THQT-06</v>
          </cell>
        </row>
        <row r="860">
          <cell r="C860" t="str">
            <v>10A20</v>
          </cell>
          <cell r="J860" t="str">
            <v>CT10-THQT-06</v>
          </cell>
        </row>
        <row r="861">
          <cell r="C861" t="str">
            <v>10A20</v>
          </cell>
          <cell r="J861" t="str">
            <v>CT10-THQT-11</v>
          </cell>
        </row>
        <row r="862">
          <cell r="C862" t="str">
            <v>10A20</v>
          </cell>
        </row>
        <row r="863">
          <cell r="C863" t="str">
            <v>10A20</v>
          </cell>
          <cell r="J863" t="str">
            <v>CT10-THQT-06</v>
          </cell>
        </row>
        <row r="864">
          <cell r="C864" t="str">
            <v>10A20</v>
          </cell>
          <cell r="J864" t="str">
            <v>CT10-THQT-06</v>
          </cell>
        </row>
        <row r="865">
          <cell r="C865" t="str">
            <v>10A20</v>
          </cell>
        </row>
        <row r="866">
          <cell r="C866" t="str">
            <v>10A20</v>
          </cell>
        </row>
        <row r="867">
          <cell r="C867" t="str">
            <v>10A20</v>
          </cell>
        </row>
        <row r="868">
          <cell r="C868" t="str">
            <v>10A20</v>
          </cell>
        </row>
        <row r="869">
          <cell r="C869" t="str">
            <v>10A21</v>
          </cell>
          <cell r="J869" t="str">
            <v>CT10-THQT-01</v>
          </cell>
        </row>
        <row r="870">
          <cell r="C870" t="str">
            <v>10A21</v>
          </cell>
          <cell r="J870" t="str">
            <v>CT10-THQT-03</v>
          </cell>
        </row>
        <row r="871">
          <cell r="C871" t="str">
            <v>10A21</v>
          </cell>
          <cell r="J871" t="str">
            <v>CT10-THQT-03</v>
          </cell>
        </row>
        <row r="872">
          <cell r="C872" t="str">
            <v>10A21</v>
          </cell>
          <cell r="J872" t="str">
            <v>CT10-THQT-01</v>
          </cell>
        </row>
        <row r="873">
          <cell r="C873" t="str">
            <v>10A21</v>
          </cell>
        </row>
        <row r="874">
          <cell r="C874" t="str">
            <v>10A21</v>
          </cell>
          <cell r="J874" t="str">
            <v>CT10-THQT-03</v>
          </cell>
        </row>
        <row r="875">
          <cell r="C875" t="str">
            <v>10A21</v>
          </cell>
          <cell r="J875" t="str">
            <v>CT10-THQT-01</v>
          </cell>
        </row>
        <row r="876">
          <cell r="C876" t="str">
            <v>10A21</v>
          </cell>
        </row>
        <row r="877">
          <cell r="C877" t="str">
            <v>10A21</v>
          </cell>
          <cell r="J877" t="str">
            <v>CT10-THQT-03</v>
          </cell>
        </row>
        <row r="878">
          <cell r="C878" t="str">
            <v>10A21</v>
          </cell>
          <cell r="J878" t="str">
            <v>CT10-THQT-03</v>
          </cell>
        </row>
        <row r="879">
          <cell r="C879" t="str">
            <v>10A21</v>
          </cell>
          <cell r="J879" t="str">
            <v>CT10-THQT-03</v>
          </cell>
        </row>
        <row r="880">
          <cell r="C880" t="str">
            <v>10A21</v>
          </cell>
        </row>
        <row r="881">
          <cell r="C881" t="str">
            <v>10A21</v>
          </cell>
          <cell r="J881" t="str">
            <v>CT10-THQT-03</v>
          </cell>
        </row>
        <row r="882">
          <cell r="C882" t="str">
            <v>10A21</v>
          </cell>
          <cell r="J882" t="str">
            <v>CT10-THQT-01</v>
          </cell>
        </row>
        <row r="883">
          <cell r="C883" t="str">
            <v>10A21</v>
          </cell>
        </row>
        <row r="884">
          <cell r="C884" t="str">
            <v>10A21</v>
          </cell>
          <cell r="J884" t="str">
            <v>CT10-THQT-01</v>
          </cell>
        </row>
        <row r="885">
          <cell r="C885" t="str">
            <v>10A21</v>
          </cell>
        </row>
        <row r="886">
          <cell r="C886" t="str">
            <v>10A21</v>
          </cell>
        </row>
        <row r="887">
          <cell r="C887" t="str">
            <v>10A21</v>
          </cell>
        </row>
        <row r="888">
          <cell r="C888" t="str">
            <v>10A21</v>
          </cell>
        </row>
        <row r="889">
          <cell r="C889" t="str">
            <v>10A21</v>
          </cell>
        </row>
        <row r="890">
          <cell r="C890" t="str">
            <v>10A21</v>
          </cell>
        </row>
        <row r="891">
          <cell r="C891" t="str">
            <v>10A21</v>
          </cell>
        </row>
        <row r="892">
          <cell r="C892" t="str">
            <v>10A21</v>
          </cell>
          <cell r="J892" t="str">
            <v>CT10-THQT-01</v>
          </cell>
        </row>
        <row r="893">
          <cell r="C893" t="str">
            <v>10A21</v>
          </cell>
        </row>
        <row r="894">
          <cell r="C894" t="str">
            <v>10A21</v>
          </cell>
        </row>
        <row r="895">
          <cell r="C895" t="str">
            <v>10A21</v>
          </cell>
        </row>
        <row r="896">
          <cell r="C896" t="str">
            <v>10A21</v>
          </cell>
        </row>
        <row r="897">
          <cell r="C897" t="str">
            <v>10A21</v>
          </cell>
        </row>
        <row r="898">
          <cell r="C898" t="str">
            <v>10A21</v>
          </cell>
        </row>
        <row r="899">
          <cell r="C899" t="str">
            <v>10A21</v>
          </cell>
        </row>
        <row r="900">
          <cell r="C900" t="str">
            <v>10A21</v>
          </cell>
          <cell r="J900" t="str">
            <v>CT10-THQT-03</v>
          </cell>
        </row>
        <row r="901">
          <cell r="C901" t="str">
            <v>10A21</v>
          </cell>
          <cell r="J901" t="str">
            <v>CT10-THQT-02</v>
          </cell>
        </row>
        <row r="902">
          <cell r="C902" t="str">
            <v>10A21</v>
          </cell>
        </row>
        <row r="903">
          <cell r="C903" t="str">
            <v>10A21</v>
          </cell>
        </row>
        <row r="904">
          <cell r="C904" t="str">
            <v>10A21</v>
          </cell>
        </row>
        <row r="905">
          <cell r="C905" t="str">
            <v>10A21</v>
          </cell>
        </row>
        <row r="906">
          <cell r="C906" t="str">
            <v>10A21</v>
          </cell>
        </row>
        <row r="907">
          <cell r="C907" t="str">
            <v>10A21</v>
          </cell>
        </row>
        <row r="908">
          <cell r="C908" t="str">
            <v>10A21</v>
          </cell>
          <cell r="J908" t="str">
            <v>CT10-THQT-03</v>
          </cell>
        </row>
        <row r="909">
          <cell r="C909" t="str">
            <v>10A21</v>
          </cell>
          <cell r="J909" t="str">
            <v>CT10-THQT-03</v>
          </cell>
        </row>
        <row r="910">
          <cell r="C910" t="str">
            <v>10A21</v>
          </cell>
          <cell r="J910" t="str">
            <v>CT10-THQT-01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1E0F8E4-84AC-5947-914C-D99E3BE99F39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a9adcb27-dc29-4fd2-8776-acd07b3ff8fb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11F8F-042C-764D-9FBE-29751CF07311}">
  <dimension ref="A1:AB55"/>
  <sheetViews>
    <sheetView showGridLines="0" workbookViewId="0">
      <pane xSplit="2" ySplit="4" topLeftCell="J5" activePane="bottomRight" state="frozen"/>
      <selection pane="topRight" activeCell="C1" sqref="C1"/>
      <selection pane="bottomLeft" activeCell="A5" sqref="A5"/>
      <selection pane="bottomRight" activeCell="Q1" sqref="Q1:W1048576"/>
    </sheetView>
  </sheetViews>
  <sheetFormatPr baseColWidth="10" defaultRowHeight="15"/>
  <cols>
    <col min="1" max="1" width="8.33203125" customWidth="1"/>
    <col min="2" max="2" width="25" customWidth="1"/>
    <col min="3" max="28" width="8" customWidth="1"/>
  </cols>
  <sheetData>
    <row r="1" spans="1:28" ht="18">
      <c r="A1" s="11" t="s">
        <v>172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>
      <c r="A2" s="10" t="s">
        <v>171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28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</row>
    <row r="4" spans="1:28" ht="32" customHeight="1">
      <c r="A4" s="8" t="s">
        <v>0</v>
      </c>
      <c r="B4" s="8" t="s">
        <v>170</v>
      </c>
      <c r="C4" s="8" t="s">
        <v>74</v>
      </c>
      <c r="D4" s="8" t="s">
        <v>70</v>
      </c>
      <c r="E4" s="8" t="s">
        <v>75</v>
      </c>
      <c r="F4" s="8" t="s">
        <v>69</v>
      </c>
      <c r="G4" s="8" t="s">
        <v>72</v>
      </c>
      <c r="H4" s="8" t="s">
        <v>79</v>
      </c>
      <c r="I4" s="8" t="s">
        <v>71</v>
      </c>
      <c r="J4" s="8" t="s">
        <v>76</v>
      </c>
      <c r="K4" s="8" t="s">
        <v>78</v>
      </c>
      <c r="L4" s="8" t="s">
        <v>73</v>
      </c>
      <c r="M4" s="8" t="s">
        <v>82</v>
      </c>
      <c r="N4" s="8" t="s">
        <v>80</v>
      </c>
      <c r="O4" s="8" t="s">
        <v>81</v>
      </c>
      <c r="P4" s="8" t="s">
        <v>77</v>
      </c>
      <c r="Q4" s="8" t="s">
        <v>88</v>
      </c>
      <c r="R4" s="8" t="s">
        <v>89</v>
      </c>
      <c r="S4" s="8" t="s">
        <v>85</v>
      </c>
      <c r="T4" s="8" t="s">
        <v>84</v>
      </c>
      <c r="U4" s="8" t="s">
        <v>86</v>
      </c>
      <c r="V4" s="8" t="s">
        <v>87</v>
      </c>
      <c r="W4" s="8" t="s">
        <v>90</v>
      </c>
      <c r="X4" s="8" t="s">
        <v>169</v>
      </c>
      <c r="Y4" s="8" t="s">
        <v>168</v>
      </c>
      <c r="Z4" s="8" t="s">
        <v>167</v>
      </c>
      <c r="AA4" s="8" t="s">
        <v>166</v>
      </c>
      <c r="AB4" s="8" t="s">
        <v>165</v>
      </c>
    </row>
    <row r="5" spans="1:28">
      <c r="A5" s="7" t="s">
        <v>3</v>
      </c>
      <c r="B5" s="6" t="s">
        <v>164</v>
      </c>
      <c r="C5" s="5">
        <v>3</v>
      </c>
      <c r="D5" s="5">
        <v>3</v>
      </c>
      <c r="E5" s="5">
        <v>3</v>
      </c>
      <c r="F5" s="5">
        <v>3</v>
      </c>
      <c r="G5" s="5">
        <v>2</v>
      </c>
      <c r="H5" s="5">
        <v>2</v>
      </c>
      <c r="I5" s="5">
        <v>2</v>
      </c>
      <c r="J5" s="5">
        <v>2</v>
      </c>
      <c r="K5" s="5">
        <v>0</v>
      </c>
      <c r="L5" s="5">
        <v>0</v>
      </c>
      <c r="M5" s="5">
        <v>2</v>
      </c>
      <c r="N5" s="5">
        <v>0</v>
      </c>
      <c r="O5" s="5">
        <v>1</v>
      </c>
      <c r="P5" s="5">
        <v>1</v>
      </c>
      <c r="Q5" s="5">
        <v>1</v>
      </c>
      <c r="R5" s="5">
        <v>0</v>
      </c>
      <c r="S5" s="5">
        <v>1</v>
      </c>
      <c r="T5" s="5">
        <v>1</v>
      </c>
      <c r="U5" s="5">
        <v>0</v>
      </c>
      <c r="V5" s="5">
        <v>0</v>
      </c>
      <c r="W5" s="5">
        <v>0</v>
      </c>
      <c r="X5" s="5">
        <v>6</v>
      </c>
      <c r="Y5" s="5">
        <v>2</v>
      </c>
      <c r="Z5" s="5">
        <v>2</v>
      </c>
      <c r="AA5" s="5">
        <v>2</v>
      </c>
      <c r="AB5" s="5">
        <v>0</v>
      </c>
    </row>
    <row r="6" spans="1:28">
      <c r="A6" s="7" t="s">
        <v>6</v>
      </c>
      <c r="B6" s="6" t="s">
        <v>163</v>
      </c>
      <c r="C6" s="5">
        <v>3</v>
      </c>
      <c r="D6" s="5">
        <v>3</v>
      </c>
      <c r="E6" s="5">
        <v>3</v>
      </c>
      <c r="F6" s="5">
        <v>3</v>
      </c>
      <c r="G6" s="5">
        <v>2</v>
      </c>
      <c r="H6" s="5">
        <v>2</v>
      </c>
      <c r="I6" s="5">
        <v>2</v>
      </c>
      <c r="J6" s="5">
        <v>2</v>
      </c>
      <c r="K6" s="5">
        <v>0</v>
      </c>
      <c r="L6" s="5">
        <v>0</v>
      </c>
      <c r="M6" s="5">
        <v>2</v>
      </c>
      <c r="N6" s="5">
        <v>0</v>
      </c>
      <c r="O6" s="5">
        <v>1</v>
      </c>
      <c r="P6" s="5">
        <v>1</v>
      </c>
      <c r="Q6" s="5">
        <v>1</v>
      </c>
      <c r="R6" s="5">
        <v>0</v>
      </c>
      <c r="S6" s="5">
        <v>1</v>
      </c>
      <c r="T6" s="5">
        <v>1</v>
      </c>
      <c r="U6" s="5">
        <v>0</v>
      </c>
      <c r="V6" s="5">
        <v>0</v>
      </c>
      <c r="W6" s="5">
        <v>0</v>
      </c>
      <c r="X6" s="5">
        <v>6</v>
      </c>
      <c r="Y6" s="5">
        <v>4</v>
      </c>
      <c r="Z6" s="5">
        <v>2</v>
      </c>
      <c r="AA6" s="5">
        <v>4</v>
      </c>
      <c r="AB6" s="5">
        <v>0</v>
      </c>
    </row>
    <row r="7" spans="1:28">
      <c r="A7" s="7" t="s">
        <v>94</v>
      </c>
      <c r="B7" s="6" t="s">
        <v>162</v>
      </c>
      <c r="C7" s="5">
        <v>3</v>
      </c>
      <c r="D7" s="5">
        <v>3</v>
      </c>
      <c r="E7" s="5">
        <v>3</v>
      </c>
      <c r="F7" s="5">
        <v>3</v>
      </c>
      <c r="G7" s="5">
        <v>2</v>
      </c>
      <c r="H7" s="5">
        <v>2</v>
      </c>
      <c r="I7" s="5">
        <v>0</v>
      </c>
      <c r="J7" s="5">
        <v>2</v>
      </c>
      <c r="K7" s="5">
        <v>0</v>
      </c>
      <c r="L7" s="5">
        <v>2</v>
      </c>
      <c r="M7" s="5">
        <v>2</v>
      </c>
      <c r="N7" s="5">
        <v>0</v>
      </c>
      <c r="O7" s="5">
        <v>1</v>
      </c>
      <c r="P7" s="5">
        <v>1</v>
      </c>
      <c r="Q7" s="5">
        <v>1</v>
      </c>
      <c r="R7" s="5">
        <v>0</v>
      </c>
      <c r="S7" s="5">
        <v>1</v>
      </c>
      <c r="T7" s="5">
        <v>1</v>
      </c>
      <c r="U7" s="5">
        <v>0</v>
      </c>
      <c r="V7" s="5">
        <v>0</v>
      </c>
      <c r="W7" s="5">
        <v>0</v>
      </c>
      <c r="X7" s="5">
        <v>4</v>
      </c>
      <c r="Y7" s="5">
        <v>2</v>
      </c>
      <c r="Z7" s="5">
        <v>4</v>
      </c>
      <c r="AA7" s="5">
        <v>4</v>
      </c>
      <c r="AB7" s="5">
        <v>0</v>
      </c>
    </row>
    <row r="8" spans="1:28">
      <c r="A8" s="7" t="s">
        <v>9</v>
      </c>
      <c r="B8" s="6" t="s">
        <v>161</v>
      </c>
      <c r="C8" s="5">
        <v>3</v>
      </c>
      <c r="D8" s="5">
        <v>3</v>
      </c>
      <c r="E8" s="5">
        <v>3</v>
      </c>
      <c r="F8" s="5">
        <v>3</v>
      </c>
      <c r="G8" s="5">
        <v>2</v>
      </c>
      <c r="H8" s="5">
        <v>2</v>
      </c>
      <c r="I8" s="5">
        <v>0</v>
      </c>
      <c r="J8" s="5">
        <v>2</v>
      </c>
      <c r="K8" s="5">
        <v>0</v>
      </c>
      <c r="L8" s="5">
        <v>2</v>
      </c>
      <c r="M8" s="5">
        <v>2</v>
      </c>
      <c r="N8" s="5">
        <v>0</v>
      </c>
      <c r="O8" s="5">
        <v>1</v>
      </c>
      <c r="P8" s="5">
        <v>1</v>
      </c>
      <c r="Q8" s="5">
        <v>1</v>
      </c>
      <c r="R8" s="5">
        <v>0</v>
      </c>
      <c r="S8" s="5">
        <v>1</v>
      </c>
      <c r="T8" s="5">
        <v>1</v>
      </c>
      <c r="U8" s="5">
        <v>0</v>
      </c>
      <c r="V8" s="5">
        <v>0</v>
      </c>
      <c r="W8" s="5">
        <v>0</v>
      </c>
      <c r="X8" s="5">
        <v>4</v>
      </c>
      <c r="Y8" s="5">
        <v>4</v>
      </c>
      <c r="Z8" s="5">
        <v>2</v>
      </c>
      <c r="AA8" s="5">
        <v>2</v>
      </c>
      <c r="AB8" s="5">
        <v>0</v>
      </c>
    </row>
    <row r="9" spans="1:28">
      <c r="A9" s="7" t="s">
        <v>12</v>
      </c>
      <c r="B9" s="6" t="s">
        <v>160</v>
      </c>
      <c r="C9" s="5">
        <v>3</v>
      </c>
      <c r="D9" s="5">
        <v>3</v>
      </c>
      <c r="E9" s="5">
        <v>3</v>
      </c>
      <c r="F9" s="5">
        <v>3</v>
      </c>
      <c r="G9" s="5">
        <v>2</v>
      </c>
      <c r="H9" s="5">
        <v>2</v>
      </c>
      <c r="I9" s="5">
        <v>0</v>
      </c>
      <c r="J9" s="5">
        <v>2</v>
      </c>
      <c r="K9" s="5">
        <v>0</v>
      </c>
      <c r="L9" s="5">
        <v>2</v>
      </c>
      <c r="M9" s="5">
        <v>2</v>
      </c>
      <c r="N9" s="5">
        <v>0</v>
      </c>
      <c r="O9" s="5">
        <v>1</v>
      </c>
      <c r="P9" s="5">
        <v>1</v>
      </c>
      <c r="Q9" s="5">
        <v>1</v>
      </c>
      <c r="R9" s="5">
        <v>0</v>
      </c>
      <c r="S9" s="5">
        <v>1</v>
      </c>
      <c r="T9" s="5">
        <v>1</v>
      </c>
      <c r="U9" s="5">
        <v>0</v>
      </c>
      <c r="V9" s="5">
        <v>0</v>
      </c>
      <c r="W9" s="5">
        <v>0</v>
      </c>
      <c r="X9" s="5">
        <v>8</v>
      </c>
      <c r="Y9" s="5">
        <v>2</v>
      </c>
      <c r="Z9" s="5">
        <v>2</v>
      </c>
      <c r="AA9" s="5">
        <v>4</v>
      </c>
      <c r="AB9" s="5">
        <v>0</v>
      </c>
    </row>
    <row r="10" spans="1:28">
      <c r="A10" s="7" t="s">
        <v>14</v>
      </c>
      <c r="B10" s="6" t="s">
        <v>159</v>
      </c>
      <c r="C10" s="5">
        <v>3</v>
      </c>
      <c r="D10" s="5">
        <v>3</v>
      </c>
      <c r="E10" s="5">
        <v>3</v>
      </c>
      <c r="F10" s="5">
        <v>3</v>
      </c>
      <c r="G10" s="5">
        <v>2</v>
      </c>
      <c r="H10" s="5">
        <v>2</v>
      </c>
      <c r="I10" s="5">
        <v>0</v>
      </c>
      <c r="J10" s="5">
        <v>2</v>
      </c>
      <c r="K10" s="5">
        <v>0</v>
      </c>
      <c r="L10" s="5">
        <v>2</v>
      </c>
      <c r="M10" s="5">
        <v>2</v>
      </c>
      <c r="N10" s="5">
        <v>0</v>
      </c>
      <c r="O10" s="5">
        <v>1</v>
      </c>
      <c r="P10" s="5">
        <v>1</v>
      </c>
      <c r="Q10" s="5">
        <v>1</v>
      </c>
      <c r="R10" s="5">
        <v>0</v>
      </c>
      <c r="S10" s="5">
        <v>1</v>
      </c>
      <c r="T10" s="5">
        <v>1</v>
      </c>
      <c r="U10" s="5">
        <v>0</v>
      </c>
      <c r="V10" s="5">
        <v>0</v>
      </c>
      <c r="W10" s="5">
        <v>0</v>
      </c>
      <c r="X10" s="5">
        <v>8</v>
      </c>
      <c r="Y10" s="5">
        <v>2</v>
      </c>
      <c r="Z10" s="5">
        <v>2</v>
      </c>
      <c r="AA10" s="5">
        <v>2</v>
      </c>
      <c r="AB10" s="5">
        <v>0</v>
      </c>
    </row>
    <row r="11" spans="1:28">
      <c r="A11" s="7" t="s">
        <v>95</v>
      </c>
      <c r="B11" s="6" t="s">
        <v>158</v>
      </c>
      <c r="C11" s="5">
        <v>3</v>
      </c>
      <c r="D11" s="5">
        <v>3</v>
      </c>
      <c r="E11" s="5">
        <v>3</v>
      </c>
      <c r="F11" s="5">
        <v>3</v>
      </c>
      <c r="G11" s="5">
        <v>2</v>
      </c>
      <c r="H11" s="5">
        <v>2</v>
      </c>
      <c r="I11" s="5">
        <v>0</v>
      </c>
      <c r="J11" s="5">
        <v>2</v>
      </c>
      <c r="K11" s="5">
        <v>0</v>
      </c>
      <c r="L11" s="5">
        <v>2</v>
      </c>
      <c r="M11" s="5">
        <v>2</v>
      </c>
      <c r="N11" s="5">
        <v>0</v>
      </c>
      <c r="O11" s="5">
        <v>1</v>
      </c>
      <c r="P11" s="5">
        <v>1</v>
      </c>
      <c r="Q11" s="5">
        <v>1</v>
      </c>
      <c r="R11" s="5">
        <v>0</v>
      </c>
      <c r="S11" s="5">
        <v>1</v>
      </c>
      <c r="T11" s="5">
        <v>1</v>
      </c>
      <c r="U11" s="5">
        <v>0</v>
      </c>
      <c r="V11" s="5">
        <v>0</v>
      </c>
      <c r="W11" s="5">
        <v>0</v>
      </c>
      <c r="X11" s="5">
        <v>8</v>
      </c>
      <c r="Y11" s="5">
        <v>2</v>
      </c>
      <c r="Z11" s="5">
        <v>2</v>
      </c>
      <c r="AA11" s="5">
        <v>4</v>
      </c>
      <c r="AB11" s="5">
        <v>0</v>
      </c>
    </row>
    <row r="12" spans="1:28">
      <c r="A12" s="7" t="s">
        <v>96</v>
      </c>
      <c r="B12" s="6" t="s">
        <v>157</v>
      </c>
      <c r="C12" s="5">
        <v>3</v>
      </c>
      <c r="D12" s="5">
        <v>3</v>
      </c>
      <c r="E12" s="5">
        <v>3</v>
      </c>
      <c r="F12" s="5">
        <v>3</v>
      </c>
      <c r="G12" s="5">
        <v>2</v>
      </c>
      <c r="H12" s="5">
        <v>0</v>
      </c>
      <c r="I12" s="5">
        <v>0</v>
      </c>
      <c r="J12" s="5">
        <v>2</v>
      </c>
      <c r="K12" s="5">
        <v>2</v>
      </c>
      <c r="L12" s="5">
        <v>2</v>
      </c>
      <c r="M12" s="5">
        <v>2</v>
      </c>
      <c r="N12" s="5">
        <v>0</v>
      </c>
      <c r="O12" s="5">
        <v>1</v>
      </c>
      <c r="P12" s="5">
        <v>1</v>
      </c>
      <c r="Q12" s="5">
        <v>0</v>
      </c>
      <c r="R12" s="5">
        <v>1</v>
      </c>
      <c r="S12" s="5">
        <v>0</v>
      </c>
      <c r="T12" s="5">
        <v>0</v>
      </c>
      <c r="U12" s="5">
        <v>0</v>
      </c>
      <c r="V12" s="5">
        <v>1</v>
      </c>
      <c r="W12" s="5">
        <v>1</v>
      </c>
      <c r="X12" s="5">
        <v>6</v>
      </c>
      <c r="Y12" s="5">
        <v>4</v>
      </c>
      <c r="Z12" s="5">
        <v>2</v>
      </c>
      <c r="AA12" s="5">
        <v>4</v>
      </c>
      <c r="AB12" s="5">
        <v>0</v>
      </c>
    </row>
    <row r="13" spans="1:28">
      <c r="A13" s="7" t="s">
        <v>97</v>
      </c>
      <c r="B13" s="6" t="s">
        <v>156</v>
      </c>
      <c r="C13" s="5">
        <v>3</v>
      </c>
      <c r="D13" s="5">
        <v>3</v>
      </c>
      <c r="E13" s="5">
        <v>3</v>
      </c>
      <c r="F13" s="5">
        <v>3</v>
      </c>
      <c r="G13" s="5">
        <v>2</v>
      </c>
      <c r="H13" s="5">
        <v>0</v>
      </c>
      <c r="I13" s="5">
        <v>0</v>
      </c>
      <c r="J13" s="5">
        <v>2</v>
      </c>
      <c r="K13" s="5">
        <v>2</v>
      </c>
      <c r="L13" s="5">
        <v>2</v>
      </c>
      <c r="M13" s="5">
        <v>2</v>
      </c>
      <c r="N13" s="5">
        <v>0</v>
      </c>
      <c r="O13" s="5">
        <v>1</v>
      </c>
      <c r="P13" s="5">
        <v>1</v>
      </c>
      <c r="Q13" s="5">
        <v>0</v>
      </c>
      <c r="R13" s="5">
        <v>1</v>
      </c>
      <c r="S13" s="5">
        <v>0</v>
      </c>
      <c r="T13" s="5">
        <v>0</v>
      </c>
      <c r="U13" s="5">
        <v>0</v>
      </c>
      <c r="V13" s="5">
        <v>1</v>
      </c>
      <c r="W13" s="5">
        <v>1</v>
      </c>
      <c r="X13" s="5">
        <v>4</v>
      </c>
      <c r="Y13" s="5">
        <v>6</v>
      </c>
      <c r="Z13" s="5">
        <v>4</v>
      </c>
      <c r="AA13" s="5">
        <v>2</v>
      </c>
      <c r="AB13" s="5">
        <v>0</v>
      </c>
    </row>
    <row r="14" spans="1:28">
      <c r="A14" s="7" t="s">
        <v>91</v>
      </c>
      <c r="B14" s="6" t="s">
        <v>155</v>
      </c>
      <c r="C14" s="5">
        <v>3</v>
      </c>
      <c r="D14" s="5">
        <v>3</v>
      </c>
      <c r="E14" s="5">
        <v>3</v>
      </c>
      <c r="F14" s="5">
        <v>3</v>
      </c>
      <c r="G14" s="5">
        <v>2</v>
      </c>
      <c r="H14" s="5">
        <v>0</v>
      </c>
      <c r="I14" s="5">
        <v>0</v>
      </c>
      <c r="J14" s="5">
        <v>2</v>
      </c>
      <c r="K14" s="5">
        <v>2</v>
      </c>
      <c r="L14" s="5">
        <v>2</v>
      </c>
      <c r="M14" s="5">
        <v>2</v>
      </c>
      <c r="N14" s="5">
        <v>0</v>
      </c>
      <c r="O14" s="5">
        <v>1</v>
      </c>
      <c r="P14" s="5">
        <v>1</v>
      </c>
      <c r="Q14" s="5">
        <v>0</v>
      </c>
      <c r="R14" s="5">
        <v>1</v>
      </c>
      <c r="S14" s="5">
        <v>0</v>
      </c>
      <c r="T14" s="5">
        <v>0</v>
      </c>
      <c r="U14" s="5">
        <v>0</v>
      </c>
      <c r="V14" s="5">
        <v>1</v>
      </c>
      <c r="W14" s="5">
        <v>1</v>
      </c>
      <c r="X14" s="5">
        <v>4</v>
      </c>
      <c r="Y14" s="5">
        <v>2</v>
      </c>
      <c r="Z14" s="5">
        <v>4</v>
      </c>
      <c r="AA14" s="5">
        <v>4</v>
      </c>
      <c r="AB14" s="5">
        <v>0</v>
      </c>
    </row>
    <row r="15" spans="1:28">
      <c r="A15" s="7" t="s">
        <v>92</v>
      </c>
      <c r="B15" s="6" t="s">
        <v>154</v>
      </c>
      <c r="C15" s="5">
        <v>3</v>
      </c>
      <c r="D15" s="5">
        <v>3</v>
      </c>
      <c r="E15" s="5">
        <v>3</v>
      </c>
      <c r="F15" s="5">
        <v>3</v>
      </c>
      <c r="G15" s="5">
        <v>2</v>
      </c>
      <c r="H15" s="5">
        <v>0</v>
      </c>
      <c r="I15" s="5">
        <v>0</v>
      </c>
      <c r="J15" s="5">
        <v>2</v>
      </c>
      <c r="K15" s="5">
        <v>2</v>
      </c>
      <c r="L15" s="5">
        <v>2</v>
      </c>
      <c r="M15" s="5">
        <v>2</v>
      </c>
      <c r="N15" s="5">
        <v>0</v>
      </c>
      <c r="O15" s="5">
        <v>1</v>
      </c>
      <c r="P15" s="5">
        <v>1</v>
      </c>
      <c r="Q15" s="5">
        <v>0</v>
      </c>
      <c r="R15" s="5">
        <v>1</v>
      </c>
      <c r="S15" s="5">
        <v>0</v>
      </c>
      <c r="T15" s="5">
        <v>0</v>
      </c>
      <c r="U15" s="5">
        <v>0</v>
      </c>
      <c r="V15" s="5">
        <v>1</v>
      </c>
      <c r="W15" s="5">
        <v>1</v>
      </c>
      <c r="X15" s="5">
        <v>6</v>
      </c>
      <c r="Y15" s="5">
        <v>4</v>
      </c>
      <c r="Z15" s="5">
        <v>2</v>
      </c>
      <c r="AA15" s="5">
        <v>2</v>
      </c>
      <c r="AB15" s="5">
        <v>0</v>
      </c>
    </row>
    <row r="16" spans="1:28">
      <c r="A16" s="7" t="s">
        <v>17</v>
      </c>
      <c r="B16" s="6" t="s">
        <v>153</v>
      </c>
      <c r="C16" s="5">
        <v>3</v>
      </c>
      <c r="D16" s="5">
        <v>3</v>
      </c>
      <c r="E16" s="5">
        <v>3</v>
      </c>
      <c r="F16" s="5">
        <v>3</v>
      </c>
      <c r="G16" s="5">
        <v>2</v>
      </c>
      <c r="H16" s="5">
        <v>0</v>
      </c>
      <c r="I16" s="5">
        <v>0</v>
      </c>
      <c r="J16" s="5">
        <v>2</v>
      </c>
      <c r="K16" s="5">
        <v>2</v>
      </c>
      <c r="L16" s="5">
        <v>2</v>
      </c>
      <c r="M16" s="5">
        <v>2</v>
      </c>
      <c r="N16" s="5">
        <v>0</v>
      </c>
      <c r="O16" s="5">
        <v>1</v>
      </c>
      <c r="P16" s="5">
        <v>1</v>
      </c>
      <c r="Q16" s="5">
        <v>0</v>
      </c>
      <c r="R16" s="5">
        <v>1</v>
      </c>
      <c r="S16" s="5">
        <v>0</v>
      </c>
      <c r="T16" s="5">
        <v>0</v>
      </c>
      <c r="U16" s="5">
        <v>0</v>
      </c>
      <c r="V16" s="5">
        <v>1</v>
      </c>
      <c r="W16" s="5">
        <v>1</v>
      </c>
      <c r="X16" s="5">
        <v>4</v>
      </c>
      <c r="Y16" s="5">
        <v>2</v>
      </c>
      <c r="Z16" s="5">
        <v>2</v>
      </c>
      <c r="AA16" s="5">
        <v>4</v>
      </c>
      <c r="AB16" s="5">
        <v>0</v>
      </c>
    </row>
    <row r="17" spans="1:28">
      <c r="A17" s="7" t="s">
        <v>20</v>
      </c>
      <c r="B17" s="6" t="s">
        <v>152</v>
      </c>
      <c r="C17" s="5">
        <v>3</v>
      </c>
      <c r="D17" s="5">
        <v>3</v>
      </c>
      <c r="E17" s="5">
        <v>3</v>
      </c>
      <c r="F17" s="5">
        <v>3</v>
      </c>
      <c r="G17" s="5">
        <v>2</v>
      </c>
      <c r="H17" s="5">
        <v>0</v>
      </c>
      <c r="I17" s="5">
        <v>0</v>
      </c>
      <c r="J17" s="5">
        <v>2</v>
      </c>
      <c r="K17" s="5">
        <v>2</v>
      </c>
      <c r="L17" s="5">
        <v>2</v>
      </c>
      <c r="M17" s="5">
        <v>2</v>
      </c>
      <c r="N17" s="5">
        <v>0</v>
      </c>
      <c r="O17" s="5">
        <v>1</v>
      </c>
      <c r="P17" s="5">
        <v>1</v>
      </c>
      <c r="Q17" s="5">
        <v>0</v>
      </c>
      <c r="R17" s="5">
        <v>1</v>
      </c>
      <c r="S17" s="5">
        <v>0</v>
      </c>
      <c r="T17" s="5">
        <v>0</v>
      </c>
      <c r="U17" s="5">
        <v>0</v>
      </c>
      <c r="V17" s="5">
        <v>1</v>
      </c>
      <c r="W17" s="5">
        <v>1</v>
      </c>
      <c r="X17" s="5">
        <v>8</v>
      </c>
      <c r="Y17" s="5">
        <v>4</v>
      </c>
      <c r="Z17" s="5">
        <v>2</v>
      </c>
      <c r="AA17" s="5">
        <v>2</v>
      </c>
      <c r="AB17" s="5">
        <v>0</v>
      </c>
    </row>
    <row r="18" spans="1:28">
      <c r="A18" s="7" t="s">
        <v>23</v>
      </c>
      <c r="B18" s="6" t="s">
        <v>151</v>
      </c>
      <c r="C18" s="5">
        <v>3</v>
      </c>
      <c r="D18" s="5">
        <v>3</v>
      </c>
      <c r="E18" s="5">
        <v>3</v>
      </c>
      <c r="F18" s="5">
        <v>3</v>
      </c>
      <c r="G18" s="5">
        <v>2</v>
      </c>
      <c r="H18" s="5">
        <v>0</v>
      </c>
      <c r="I18" s="5">
        <v>2</v>
      </c>
      <c r="J18" s="5">
        <v>2</v>
      </c>
      <c r="K18" s="5">
        <v>0</v>
      </c>
      <c r="L18" s="5">
        <v>0</v>
      </c>
      <c r="M18" s="5">
        <v>2</v>
      </c>
      <c r="N18" s="5">
        <v>2</v>
      </c>
      <c r="O18" s="5">
        <v>1</v>
      </c>
      <c r="P18" s="5">
        <v>1</v>
      </c>
      <c r="Q18" s="5">
        <v>1</v>
      </c>
      <c r="R18" s="5">
        <v>0</v>
      </c>
      <c r="S18" s="5">
        <v>1</v>
      </c>
      <c r="T18" s="5">
        <v>0</v>
      </c>
      <c r="U18" s="5">
        <v>1</v>
      </c>
      <c r="V18" s="5">
        <v>0</v>
      </c>
      <c r="W18" s="5">
        <v>0</v>
      </c>
      <c r="X18" s="5">
        <v>6</v>
      </c>
      <c r="Y18" s="5">
        <v>4</v>
      </c>
      <c r="Z18" s="5">
        <v>4</v>
      </c>
      <c r="AA18" s="5">
        <v>4</v>
      </c>
      <c r="AB18" s="5">
        <v>0</v>
      </c>
    </row>
    <row r="19" spans="1:28">
      <c r="A19" s="7" t="s">
        <v>26</v>
      </c>
      <c r="B19" s="6" t="s">
        <v>150</v>
      </c>
      <c r="C19" s="5">
        <v>3</v>
      </c>
      <c r="D19" s="5">
        <v>3</v>
      </c>
      <c r="E19" s="5">
        <v>3</v>
      </c>
      <c r="F19" s="5">
        <v>3</v>
      </c>
      <c r="G19" s="5">
        <v>2</v>
      </c>
      <c r="H19" s="5">
        <v>0</v>
      </c>
      <c r="I19" s="5">
        <v>2</v>
      </c>
      <c r="J19" s="5">
        <v>2</v>
      </c>
      <c r="K19" s="5">
        <v>0</v>
      </c>
      <c r="L19" s="5">
        <v>0</v>
      </c>
      <c r="M19" s="5">
        <v>2</v>
      </c>
      <c r="N19" s="5">
        <v>2</v>
      </c>
      <c r="O19" s="5">
        <v>1</v>
      </c>
      <c r="P19" s="5">
        <v>1</v>
      </c>
      <c r="Q19" s="5">
        <v>1</v>
      </c>
      <c r="R19" s="5">
        <v>0</v>
      </c>
      <c r="S19" s="5">
        <v>1</v>
      </c>
      <c r="T19" s="5">
        <v>0</v>
      </c>
      <c r="U19" s="5">
        <v>1</v>
      </c>
      <c r="V19" s="5">
        <v>0</v>
      </c>
      <c r="W19" s="5">
        <v>0</v>
      </c>
      <c r="X19" s="5">
        <v>6</v>
      </c>
      <c r="Y19" s="5">
        <v>2</v>
      </c>
      <c r="Z19" s="5">
        <v>2</v>
      </c>
      <c r="AA19" s="5">
        <v>4</v>
      </c>
      <c r="AB19" s="5">
        <v>0</v>
      </c>
    </row>
    <row r="20" spans="1:28">
      <c r="A20" s="7" t="s">
        <v>93</v>
      </c>
      <c r="B20" s="6" t="s">
        <v>149</v>
      </c>
      <c r="C20" s="5">
        <v>3</v>
      </c>
      <c r="D20" s="5">
        <v>3</v>
      </c>
      <c r="E20" s="5">
        <v>3</v>
      </c>
      <c r="F20" s="5">
        <v>3</v>
      </c>
      <c r="G20" s="5">
        <v>0</v>
      </c>
      <c r="H20" s="5">
        <v>2</v>
      </c>
      <c r="I20" s="5">
        <v>2</v>
      </c>
      <c r="J20" s="5">
        <v>2</v>
      </c>
      <c r="K20" s="5">
        <v>0</v>
      </c>
      <c r="L20" s="5">
        <v>0</v>
      </c>
      <c r="M20" s="5">
        <v>2</v>
      </c>
      <c r="N20" s="5">
        <v>2</v>
      </c>
      <c r="O20" s="5">
        <v>1</v>
      </c>
      <c r="P20" s="5">
        <v>1</v>
      </c>
      <c r="Q20" s="5">
        <v>1</v>
      </c>
      <c r="R20" s="5">
        <v>0</v>
      </c>
      <c r="S20" s="5">
        <v>0</v>
      </c>
      <c r="T20" s="5">
        <v>1</v>
      </c>
      <c r="U20" s="5">
        <v>1</v>
      </c>
      <c r="V20" s="5">
        <v>0</v>
      </c>
      <c r="W20" s="5">
        <v>0</v>
      </c>
      <c r="X20" s="5">
        <v>8</v>
      </c>
      <c r="Y20" s="5">
        <v>4</v>
      </c>
      <c r="Z20" s="5">
        <v>2</v>
      </c>
      <c r="AA20" s="5">
        <v>2</v>
      </c>
      <c r="AB20" s="5">
        <v>0</v>
      </c>
    </row>
    <row r="21" spans="1:28">
      <c r="A21" s="7" t="s">
        <v>28</v>
      </c>
      <c r="B21" s="6" t="s">
        <v>148</v>
      </c>
      <c r="C21" s="5">
        <v>3</v>
      </c>
      <c r="D21" s="5">
        <v>3</v>
      </c>
      <c r="E21" s="5">
        <v>3</v>
      </c>
      <c r="F21" s="5">
        <v>3</v>
      </c>
      <c r="G21" s="5">
        <v>0</v>
      </c>
      <c r="H21" s="5">
        <v>2</v>
      </c>
      <c r="I21" s="5">
        <v>2</v>
      </c>
      <c r="J21" s="5">
        <v>2</v>
      </c>
      <c r="K21" s="5">
        <v>0</v>
      </c>
      <c r="L21" s="5">
        <v>0</v>
      </c>
      <c r="M21" s="5">
        <v>2</v>
      </c>
      <c r="N21" s="5">
        <v>2</v>
      </c>
      <c r="O21" s="5">
        <v>1</v>
      </c>
      <c r="P21" s="5">
        <v>1</v>
      </c>
      <c r="Q21" s="5">
        <v>1</v>
      </c>
      <c r="R21" s="5">
        <v>0</v>
      </c>
      <c r="S21" s="5">
        <v>0</v>
      </c>
      <c r="T21" s="5">
        <v>1</v>
      </c>
      <c r="U21" s="5">
        <v>1</v>
      </c>
      <c r="V21" s="5">
        <v>0</v>
      </c>
      <c r="W21" s="5">
        <v>0</v>
      </c>
      <c r="X21" s="5">
        <v>4</v>
      </c>
      <c r="Y21" s="5">
        <v>2</v>
      </c>
      <c r="Z21" s="5">
        <v>4</v>
      </c>
      <c r="AA21" s="5">
        <v>4</v>
      </c>
      <c r="AB21" s="5">
        <v>0</v>
      </c>
    </row>
    <row r="22" spans="1:28">
      <c r="A22" s="7" t="s">
        <v>30</v>
      </c>
      <c r="B22" s="6" t="s">
        <v>147</v>
      </c>
      <c r="C22" s="5">
        <v>3</v>
      </c>
      <c r="D22" s="5">
        <v>3</v>
      </c>
      <c r="E22" s="5">
        <v>3</v>
      </c>
      <c r="F22" s="5">
        <v>3</v>
      </c>
      <c r="G22" s="5">
        <v>0</v>
      </c>
      <c r="H22" s="5">
        <v>0</v>
      </c>
      <c r="I22" s="5">
        <v>2</v>
      </c>
      <c r="J22" s="5">
        <v>2</v>
      </c>
      <c r="K22" s="5">
        <v>2</v>
      </c>
      <c r="L22" s="5">
        <v>2</v>
      </c>
      <c r="M22" s="5">
        <v>2</v>
      </c>
      <c r="N22" s="5">
        <v>0</v>
      </c>
      <c r="O22" s="5">
        <v>1</v>
      </c>
      <c r="P22" s="5">
        <v>1</v>
      </c>
      <c r="Q22" s="5">
        <v>1</v>
      </c>
      <c r="R22" s="5">
        <v>1</v>
      </c>
      <c r="S22" s="5">
        <v>0</v>
      </c>
      <c r="T22" s="5">
        <v>0</v>
      </c>
      <c r="U22" s="5">
        <v>1</v>
      </c>
      <c r="V22" s="5">
        <v>0</v>
      </c>
      <c r="W22" s="5">
        <v>0</v>
      </c>
      <c r="X22" s="5">
        <v>6</v>
      </c>
      <c r="Y22" s="5">
        <v>4</v>
      </c>
      <c r="Z22" s="5">
        <v>2</v>
      </c>
      <c r="AA22" s="5">
        <v>2</v>
      </c>
      <c r="AB22" s="5">
        <v>0</v>
      </c>
    </row>
    <row r="23" spans="1:28">
      <c r="A23" s="7" t="s">
        <v>33</v>
      </c>
      <c r="B23" s="6" t="s">
        <v>146</v>
      </c>
      <c r="C23" s="5">
        <v>3</v>
      </c>
      <c r="D23" s="5">
        <v>3</v>
      </c>
      <c r="E23" s="5">
        <v>3</v>
      </c>
      <c r="F23" s="5">
        <v>3</v>
      </c>
      <c r="G23" s="5">
        <v>0</v>
      </c>
      <c r="H23" s="5">
        <v>0</v>
      </c>
      <c r="I23" s="5">
        <v>2</v>
      </c>
      <c r="J23" s="5">
        <v>2</v>
      </c>
      <c r="K23" s="5">
        <v>2</v>
      </c>
      <c r="L23" s="5">
        <v>2</v>
      </c>
      <c r="M23" s="5">
        <v>2</v>
      </c>
      <c r="N23" s="5">
        <v>0</v>
      </c>
      <c r="O23" s="5">
        <v>1</v>
      </c>
      <c r="P23" s="5">
        <v>1</v>
      </c>
      <c r="Q23" s="5">
        <v>1</v>
      </c>
      <c r="R23" s="5">
        <v>1</v>
      </c>
      <c r="S23" s="5">
        <v>0</v>
      </c>
      <c r="T23" s="5">
        <v>0</v>
      </c>
      <c r="U23" s="5">
        <v>1</v>
      </c>
      <c r="V23" s="5">
        <v>0</v>
      </c>
      <c r="W23" s="5">
        <v>0</v>
      </c>
      <c r="X23" s="5">
        <v>6</v>
      </c>
      <c r="Y23" s="5">
        <v>2</v>
      </c>
      <c r="Z23" s="5">
        <v>2</v>
      </c>
      <c r="AA23" s="5">
        <v>2</v>
      </c>
      <c r="AB23" s="5">
        <v>0</v>
      </c>
    </row>
    <row r="24" spans="1:28">
      <c r="A24" s="7" t="s">
        <v>36</v>
      </c>
      <c r="B24" s="6" t="s">
        <v>145</v>
      </c>
      <c r="C24" s="5">
        <v>3</v>
      </c>
      <c r="D24" s="5">
        <v>3</v>
      </c>
      <c r="E24" s="5">
        <v>3</v>
      </c>
      <c r="F24" s="5">
        <v>3</v>
      </c>
      <c r="G24" s="5">
        <v>0</v>
      </c>
      <c r="H24" s="5">
        <v>0</v>
      </c>
      <c r="I24" s="5">
        <v>2</v>
      </c>
      <c r="J24" s="5">
        <v>2</v>
      </c>
      <c r="K24" s="5">
        <v>2</v>
      </c>
      <c r="L24" s="5">
        <v>2</v>
      </c>
      <c r="M24" s="5">
        <v>2</v>
      </c>
      <c r="N24" s="5">
        <v>0</v>
      </c>
      <c r="O24" s="5">
        <v>1</v>
      </c>
      <c r="P24" s="5">
        <v>1</v>
      </c>
      <c r="Q24" s="5">
        <v>1</v>
      </c>
      <c r="R24" s="5">
        <v>1</v>
      </c>
      <c r="S24" s="5">
        <v>0</v>
      </c>
      <c r="T24" s="5">
        <v>0</v>
      </c>
      <c r="U24" s="5">
        <v>1</v>
      </c>
      <c r="V24" s="5">
        <v>0</v>
      </c>
      <c r="W24" s="5">
        <v>0</v>
      </c>
      <c r="X24" s="5">
        <v>8</v>
      </c>
      <c r="Y24" s="5">
        <v>2</v>
      </c>
      <c r="Z24" s="5">
        <v>2</v>
      </c>
      <c r="AA24" s="5">
        <v>2</v>
      </c>
      <c r="AB24" s="5">
        <v>0</v>
      </c>
    </row>
    <row r="25" spans="1:28">
      <c r="A25" s="7" t="s">
        <v>37</v>
      </c>
      <c r="B25" s="6" t="s">
        <v>144</v>
      </c>
      <c r="C25" s="5">
        <v>3</v>
      </c>
      <c r="D25" s="5">
        <v>3</v>
      </c>
      <c r="E25" s="5">
        <v>3</v>
      </c>
      <c r="F25" s="5">
        <v>3</v>
      </c>
      <c r="G25" s="5">
        <v>0</v>
      </c>
      <c r="H25" s="5">
        <v>2</v>
      </c>
      <c r="I25" s="5">
        <v>0</v>
      </c>
      <c r="J25" s="5">
        <v>2</v>
      </c>
      <c r="K25" s="5">
        <v>2</v>
      </c>
      <c r="L25" s="5">
        <v>2</v>
      </c>
      <c r="M25" s="5">
        <v>2</v>
      </c>
      <c r="N25" s="5">
        <v>0</v>
      </c>
      <c r="O25" s="5">
        <v>1</v>
      </c>
      <c r="P25" s="5">
        <v>1</v>
      </c>
      <c r="Q25" s="5">
        <v>1</v>
      </c>
      <c r="R25" s="5">
        <v>1</v>
      </c>
      <c r="S25" s="5">
        <v>0</v>
      </c>
      <c r="T25" s="5">
        <v>1</v>
      </c>
      <c r="U25" s="5">
        <v>0</v>
      </c>
      <c r="V25" s="5">
        <v>0</v>
      </c>
      <c r="W25" s="5">
        <v>0</v>
      </c>
      <c r="X25" s="5">
        <v>6</v>
      </c>
      <c r="Y25" s="5">
        <v>2</v>
      </c>
      <c r="Z25" s="5">
        <v>2</v>
      </c>
      <c r="AA25" s="5">
        <v>2</v>
      </c>
      <c r="AB25" s="5">
        <v>0</v>
      </c>
    </row>
    <row r="26" spans="1:28">
      <c r="A26" s="7" t="s">
        <v>40</v>
      </c>
      <c r="B26" s="6" t="s">
        <v>143</v>
      </c>
      <c r="C26" s="5">
        <v>3</v>
      </c>
      <c r="D26" s="5">
        <v>3</v>
      </c>
      <c r="E26" s="5">
        <v>3</v>
      </c>
      <c r="F26" s="5">
        <v>3</v>
      </c>
      <c r="G26" s="5">
        <v>2</v>
      </c>
      <c r="H26" s="5">
        <v>2</v>
      </c>
      <c r="I26" s="5">
        <v>0</v>
      </c>
      <c r="J26" s="5">
        <v>1</v>
      </c>
      <c r="K26" s="5">
        <v>0</v>
      </c>
      <c r="L26" s="5">
        <v>0</v>
      </c>
      <c r="M26" s="5">
        <v>2</v>
      </c>
      <c r="N26" s="5">
        <v>2</v>
      </c>
      <c r="O26" s="5">
        <v>1</v>
      </c>
      <c r="P26" s="5">
        <v>1</v>
      </c>
      <c r="Q26" s="5">
        <v>1</v>
      </c>
      <c r="R26" s="5">
        <v>0</v>
      </c>
      <c r="S26" s="5">
        <v>1</v>
      </c>
      <c r="T26" s="5">
        <v>1</v>
      </c>
      <c r="U26" s="5">
        <v>0</v>
      </c>
      <c r="V26" s="5">
        <v>0</v>
      </c>
      <c r="W26" s="5">
        <v>0</v>
      </c>
      <c r="X26" s="5">
        <v>6</v>
      </c>
      <c r="Y26" s="5">
        <v>2</v>
      </c>
      <c r="Z26" s="5">
        <v>2</v>
      </c>
      <c r="AA26" s="5">
        <v>2</v>
      </c>
      <c r="AB26" s="5">
        <v>0</v>
      </c>
    </row>
    <row r="27" spans="1:28">
      <c r="A27" s="7" t="s">
        <v>101</v>
      </c>
      <c r="B27" s="6" t="s">
        <v>142</v>
      </c>
      <c r="C27" s="5">
        <v>3</v>
      </c>
      <c r="D27" s="5">
        <v>3</v>
      </c>
      <c r="E27" s="5">
        <v>3</v>
      </c>
      <c r="F27" s="5">
        <v>3</v>
      </c>
      <c r="G27" s="5">
        <v>0</v>
      </c>
      <c r="H27" s="5">
        <v>0</v>
      </c>
      <c r="I27" s="5">
        <v>0</v>
      </c>
      <c r="J27" s="5">
        <v>1</v>
      </c>
      <c r="K27" s="5">
        <v>2</v>
      </c>
      <c r="L27" s="5">
        <v>2</v>
      </c>
      <c r="M27" s="5">
        <v>2</v>
      </c>
      <c r="N27" s="5">
        <v>2</v>
      </c>
      <c r="O27" s="5">
        <v>1</v>
      </c>
      <c r="P27" s="5">
        <v>1</v>
      </c>
      <c r="Q27" s="5">
        <v>0</v>
      </c>
      <c r="R27" s="5">
        <v>1</v>
      </c>
      <c r="S27" s="5">
        <v>0</v>
      </c>
      <c r="T27" s="5">
        <v>0</v>
      </c>
      <c r="U27" s="5">
        <v>0</v>
      </c>
      <c r="V27" s="5">
        <v>1</v>
      </c>
      <c r="W27" s="5">
        <v>1</v>
      </c>
      <c r="X27" s="5">
        <v>6</v>
      </c>
      <c r="Y27" s="5">
        <v>2</v>
      </c>
      <c r="Z27" s="5">
        <v>2</v>
      </c>
      <c r="AA27" s="5">
        <v>2</v>
      </c>
      <c r="AB27" s="5">
        <v>0</v>
      </c>
    </row>
    <row r="28" spans="1:28">
      <c r="A28" s="7" t="s">
        <v>41</v>
      </c>
      <c r="B28" s="6" t="s">
        <v>141</v>
      </c>
      <c r="C28" s="5">
        <v>3</v>
      </c>
      <c r="D28" s="5">
        <v>3</v>
      </c>
      <c r="E28" s="5">
        <v>3</v>
      </c>
      <c r="F28" s="5">
        <v>3</v>
      </c>
      <c r="G28" s="5">
        <v>2</v>
      </c>
      <c r="H28" s="5">
        <v>2</v>
      </c>
      <c r="I28" s="5">
        <v>2</v>
      </c>
      <c r="J28" s="5">
        <v>1</v>
      </c>
      <c r="K28" s="5">
        <v>0</v>
      </c>
      <c r="L28" s="5">
        <v>2</v>
      </c>
      <c r="M28" s="5">
        <v>0</v>
      </c>
      <c r="N28" s="5">
        <v>0</v>
      </c>
      <c r="O28" s="5">
        <v>1</v>
      </c>
      <c r="P28" s="5">
        <v>1</v>
      </c>
      <c r="Q28" s="5">
        <v>1</v>
      </c>
      <c r="R28" s="5">
        <v>0</v>
      </c>
      <c r="S28" s="5">
        <v>0</v>
      </c>
      <c r="T28" s="5">
        <v>1</v>
      </c>
      <c r="U28" s="5">
        <v>1</v>
      </c>
      <c r="V28" s="5">
        <v>0</v>
      </c>
      <c r="W28" s="5">
        <v>0</v>
      </c>
      <c r="X28" s="5">
        <v>4</v>
      </c>
      <c r="Y28" s="5">
        <v>2</v>
      </c>
      <c r="Z28" s="5">
        <v>0</v>
      </c>
      <c r="AA28" s="5">
        <v>4</v>
      </c>
      <c r="AB28" s="5">
        <v>0</v>
      </c>
    </row>
    <row r="29" spans="1:28">
      <c r="A29" s="7" t="s">
        <v>42</v>
      </c>
      <c r="B29" s="6" t="s">
        <v>140</v>
      </c>
      <c r="C29" s="5">
        <v>3</v>
      </c>
      <c r="D29" s="5">
        <v>3</v>
      </c>
      <c r="E29" s="5">
        <v>3</v>
      </c>
      <c r="F29" s="5">
        <v>3</v>
      </c>
      <c r="G29" s="5">
        <v>2</v>
      </c>
      <c r="H29" s="5">
        <v>2</v>
      </c>
      <c r="I29" s="5">
        <v>2</v>
      </c>
      <c r="J29" s="5">
        <v>1</v>
      </c>
      <c r="K29" s="5">
        <v>0</v>
      </c>
      <c r="L29" s="5">
        <v>2</v>
      </c>
      <c r="M29" s="5">
        <v>0</v>
      </c>
      <c r="N29" s="5">
        <v>0</v>
      </c>
      <c r="O29" s="5">
        <v>1</v>
      </c>
      <c r="P29" s="5">
        <v>1</v>
      </c>
      <c r="Q29" s="5">
        <v>1</v>
      </c>
      <c r="R29" s="5">
        <v>0</v>
      </c>
      <c r="S29" s="5">
        <v>0</v>
      </c>
      <c r="T29" s="5">
        <v>1</v>
      </c>
      <c r="U29" s="5">
        <v>1</v>
      </c>
      <c r="V29" s="5">
        <v>0</v>
      </c>
      <c r="W29" s="5">
        <v>0</v>
      </c>
      <c r="X29" s="5">
        <v>4</v>
      </c>
      <c r="Y29" s="5">
        <v>2</v>
      </c>
      <c r="Z29" s="5">
        <v>0</v>
      </c>
      <c r="AA29" s="5">
        <v>2</v>
      </c>
      <c r="AB29" s="5">
        <v>0</v>
      </c>
    </row>
    <row r="30" spans="1:28">
      <c r="A30" s="7" t="s">
        <v>44</v>
      </c>
      <c r="B30" s="6" t="s">
        <v>139</v>
      </c>
      <c r="C30" s="5">
        <v>3</v>
      </c>
      <c r="D30" s="5">
        <v>3</v>
      </c>
      <c r="E30" s="5">
        <v>3</v>
      </c>
      <c r="F30" s="5">
        <v>3</v>
      </c>
      <c r="G30" s="5">
        <v>2</v>
      </c>
      <c r="H30" s="5">
        <v>2</v>
      </c>
      <c r="I30" s="5">
        <v>0</v>
      </c>
      <c r="J30" s="5">
        <v>1</v>
      </c>
      <c r="K30" s="5">
        <v>0</v>
      </c>
      <c r="L30" s="5">
        <v>2</v>
      </c>
      <c r="M30" s="5">
        <v>2</v>
      </c>
      <c r="N30" s="5">
        <v>0</v>
      </c>
      <c r="O30" s="5">
        <v>1</v>
      </c>
      <c r="P30" s="5">
        <v>1</v>
      </c>
      <c r="Q30" s="5">
        <v>1</v>
      </c>
      <c r="R30" s="5">
        <v>0</v>
      </c>
      <c r="S30" s="5">
        <v>1</v>
      </c>
      <c r="T30" s="5">
        <v>1</v>
      </c>
      <c r="U30" s="5">
        <v>0</v>
      </c>
      <c r="V30" s="5">
        <v>0</v>
      </c>
      <c r="W30" s="5">
        <v>0</v>
      </c>
      <c r="X30" s="5">
        <v>4</v>
      </c>
      <c r="Y30" s="5">
        <v>4</v>
      </c>
      <c r="Z30" s="5">
        <v>2</v>
      </c>
      <c r="AA30" s="5">
        <v>2</v>
      </c>
      <c r="AB30" s="5">
        <v>0</v>
      </c>
    </row>
    <row r="31" spans="1:28">
      <c r="A31" s="7" t="s">
        <v>102</v>
      </c>
      <c r="B31" s="6" t="s">
        <v>138</v>
      </c>
      <c r="C31" s="5">
        <v>3</v>
      </c>
      <c r="D31" s="5">
        <v>3</v>
      </c>
      <c r="E31" s="5">
        <v>3</v>
      </c>
      <c r="F31" s="5">
        <v>3</v>
      </c>
      <c r="G31" s="5">
        <v>2</v>
      </c>
      <c r="H31" s="5">
        <v>2</v>
      </c>
      <c r="I31" s="5">
        <v>0</v>
      </c>
      <c r="J31" s="5">
        <v>1</v>
      </c>
      <c r="K31" s="5">
        <v>0</v>
      </c>
      <c r="L31" s="5">
        <v>2</v>
      </c>
      <c r="M31" s="5">
        <v>2</v>
      </c>
      <c r="N31" s="5">
        <v>0</v>
      </c>
      <c r="O31" s="5">
        <v>1</v>
      </c>
      <c r="P31" s="5">
        <v>1</v>
      </c>
      <c r="Q31" s="5">
        <v>1</v>
      </c>
      <c r="R31" s="5">
        <v>0</v>
      </c>
      <c r="S31" s="5">
        <v>1</v>
      </c>
      <c r="T31" s="5">
        <v>1</v>
      </c>
      <c r="U31" s="5">
        <v>0</v>
      </c>
      <c r="V31" s="5">
        <v>0</v>
      </c>
      <c r="W31" s="5">
        <v>0</v>
      </c>
      <c r="X31" s="5">
        <v>2</v>
      </c>
      <c r="Y31" s="5">
        <v>2</v>
      </c>
      <c r="Z31" s="5">
        <v>2</v>
      </c>
      <c r="AA31" s="5">
        <v>4</v>
      </c>
      <c r="AB31" s="5">
        <v>0</v>
      </c>
    </row>
    <row r="32" spans="1:28">
      <c r="A32" s="7" t="s">
        <v>103</v>
      </c>
      <c r="B32" s="6" t="s">
        <v>137</v>
      </c>
      <c r="C32" s="5">
        <v>3</v>
      </c>
      <c r="D32" s="5">
        <v>3</v>
      </c>
      <c r="E32" s="5">
        <v>3</v>
      </c>
      <c r="F32" s="5">
        <v>3</v>
      </c>
      <c r="G32" s="5">
        <v>2</v>
      </c>
      <c r="H32" s="5">
        <v>2</v>
      </c>
      <c r="I32" s="5">
        <v>0</v>
      </c>
      <c r="J32" s="5">
        <v>1</v>
      </c>
      <c r="K32" s="5">
        <v>0</v>
      </c>
      <c r="L32" s="5">
        <v>0</v>
      </c>
      <c r="M32" s="5">
        <v>2</v>
      </c>
      <c r="N32" s="5">
        <v>2</v>
      </c>
      <c r="O32" s="5">
        <v>1</v>
      </c>
      <c r="P32" s="5">
        <v>1</v>
      </c>
      <c r="Q32" s="5">
        <v>1</v>
      </c>
      <c r="R32" s="5">
        <v>0</v>
      </c>
      <c r="S32" s="5">
        <v>1</v>
      </c>
      <c r="T32" s="5">
        <v>1</v>
      </c>
      <c r="U32" s="5">
        <v>0</v>
      </c>
      <c r="V32" s="5">
        <v>0</v>
      </c>
      <c r="W32" s="5">
        <v>0</v>
      </c>
      <c r="X32" s="5">
        <v>6</v>
      </c>
      <c r="Y32" s="5">
        <v>2</v>
      </c>
      <c r="Z32" s="5">
        <v>2</v>
      </c>
      <c r="AA32" s="5">
        <v>2</v>
      </c>
      <c r="AB32" s="5">
        <v>0</v>
      </c>
    </row>
    <row r="33" spans="1:28">
      <c r="A33" s="7" t="s">
        <v>104</v>
      </c>
      <c r="B33" s="6" t="s">
        <v>136</v>
      </c>
      <c r="C33" s="5">
        <v>3</v>
      </c>
      <c r="D33" s="5">
        <v>3</v>
      </c>
      <c r="E33" s="5">
        <v>3</v>
      </c>
      <c r="F33" s="5">
        <v>3</v>
      </c>
      <c r="G33" s="5">
        <v>2</v>
      </c>
      <c r="H33" s="5">
        <v>2</v>
      </c>
      <c r="I33" s="5">
        <v>0</v>
      </c>
      <c r="J33" s="5">
        <v>1</v>
      </c>
      <c r="K33" s="5">
        <v>0</v>
      </c>
      <c r="L33" s="5">
        <v>0</v>
      </c>
      <c r="M33" s="5">
        <v>2</v>
      </c>
      <c r="N33" s="5">
        <v>2</v>
      </c>
      <c r="O33" s="5">
        <v>1</v>
      </c>
      <c r="P33" s="5">
        <v>1</v>
      </c>
      <c r="Q33" s="5">
        <v>1</v>
      </c>
      <c r="R33" s="5">
        <v>0</v>
      </c>
      <c r="S33" s="5">
        <v>1</v>
      </c>
      <c r="T33" s="5">
        <v>1</v>
      </c>
      <c r="U33" s="5">
        <v>0</v>
      </c>
      <c r="V33" s="5">
        <v>0</v>
      </c>
      <c r="W33" s="5">
        <v>0</v>
      </c>
      <c r="X33" s="5">
        <v>6</v>
      </c>
      <c r="Y33" s="5">
        <v>2</v>
      </c>
      <c r="Z33" s="5">
        <v>0</v>
      </c>
      <c r="AA33" s="5">
        <v>4</v>
      </c>
      <c r="AB33" s="5">
        <v>0</v>
      </c>
    </row>
    <row r="34" spans="1:28">
      <c r="A34" s="7" t="s">
        <v>105</v>
      </c>
      <c r="B34" s="6" t="s">
        <v>135</v>
      </c>
      <c r="C34" s="5">
        <v>3</v>
      </c>
      <c r="D34" s="5">
        <v>3</v>
      </c>
      <c r="E34" s="5">
        <v>3</v>
      </c>
      <c r="F34" s="5">
        <v>3</v>
      </c>
      <c r="G34" s="5">
        <v>2</v>
      </c>
      <c r="H34" s="5">
        <v>0</v>
      </c>
      <c r="I34" s="5">
        <v>2</v>
      </c>
      <c r="J34" s="5">
        <v>1</v>
      </c>
      <c r="K34" s="5">
        <v>2</v>
      </c>
      <c r="L34" s="5">
        <v>0</v>
      </c>
      <c r="M34" s="5">
        <v>2</v>
      </c>
      <c r="N34" s="5">
        <v>0</v>
      </c>
      <c r="O34" s="5">
        <v>1</v>
      </c>
      <c r="P34" s="5">
        <v>1</v>
      </c>
      <c r="Q34" s="5">
        <v>0</v>
      </c>
      <c r="R34" s="5">
        <v>1</v>
      </c>
      <c r="S34" s="5">
        <v>0</v>
      </c>
      <c r="T34" s="5">
        <v>0</v>
      </c>
      <c r="U34" s="5">
        <v>0</v>
      </c>
      <c r="V34" s="5">
        <v>1</v>
      </c>
      <c r="W34" s="5">
        <v>1</v>
      </c>
      <c r="X34" s="5">
        <v>8</v>
      </c>
      <c r="Y34" s="5">
        <v>4</v>
      </c>
      <c r="Z34" s="5">
        <v>0</v>
      </c>
      <c r="AA34" s="5">
        <v>2</v>
      </c>
      <c r="AB34" s="5">
        <v>0</v>
      </c>
    </row>
    <row r="35" spans="1:28">
      <c r="A35" s="7" t="s">
        <v>98</v>
      </c>
      <c r="B35" s="6" t="s">
        <v>134</v>
      </c>
      <c r="C35" s="5">
        <v>3</v>
      </c>
      <c r="D35" s="5">
        <v>3</v>
      </c>
      <c r="E35" s="5">
        <v>3</v>
      </c>
      <c r="F35" s="5">
        <v>3</v>
      </c>
      <c r="G35" s="5">
        <v>2</v>
      </c>
      <c r="H35" s="5">
        <v>0</v>
      </c>
      <c r="I35" s="5">
        <v>2</v>
      </c>
      <c r="J35" s="5">
        <v>1</v>
      </c>
      <c r="K35" s="5">
        <v>2</v>
      </c>
      <c r="L35" s="5">
        <v>0</v>
      </c>
      <c r="M35" s="5">
        <v>2</v>
      </c>
      <c r="N35" s="5">
        <v>0</v>
      </c>
      <c r="O35" s="5">
        <v>1</v>
      </c>
      <c r="P35" s="5">
        <v>1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1</v>
      </c>
      <c r="W35" s="5">
        <v>1</v>
      </c>
      <c r="X35" s="5">
        <v>4</v>
      </c>
      <c r="Y35" s="5">
        <v>2</v>
      </c>
      <c r="Z35" s="5">
        <v>2</v>
      </c>
      <c r="AA35" s="5">
        <v>2</v>
      </c>
      <c r="AB35" s="5">
        <v>0</v>
      </c>
    </row>
    <row r="36" spans="1:28">
      <c r="A36" s="7" t="s">
        <v>45</v>
      </c>
      <c r="B36" s="6" t="s">
        <v>133</v>
      </c>
      <c r="C36" s="5">
        <v>3</v>
      </c>
      <c r="D36" s="5">
        <v>3</v>
      </c>
      <c r="E36" s="5">
        <v>3</v>
      </c>
      <c r="F36" s="5">
        <v>3</v>
      </c>
      <c r="G36" s="5">
        <v>0</v>
      </c>
      <c r="H36" s="5">
        <v>0</v>
      </c>
      <c r="I36" s="5">
        <v>0</v>
      </c>
      <c r="J36" s="5">
        <v>1</v>
      </c>
      <c r="K36" s="5">
        <v>2</v>
      </c>
      <c r="L36" s="5">
        <v>2</v>
      </c>
      <c r="M36" s="5">
        <v>2</v>
      </c>
      <c r="N36" s="5">
        <v>2</v>
      </c>
      <c r="O36" s="5">
        <v>1</v>
      </c>
      <c r="P36" s="5">
        <v>1</v>
      </c>
      <c r="Q36" s="5">
        <v>0</v>
      </c>
      <c r="R36" s="5">
        <v>1</v>
      </c>
      <c r="S36" s="5">
        <v>0</v>
      </c>
      <c r="T36" s="5">
        <v>0</v>
      </c>
      <c r="U36" s="5">
        <v>0</v>
      </c>
      <c r="V36" s="5">
        <v>1</v>
      </c>
      <c r="W36" s="5">
        <v>1</v>
      </c>
      <c r="X36" s="5">
        <v>4</v>
      </c>
      <c r="Y36" s="5">
        <v>2</v>
      </c>
      <c r="Z36" s="5">
        <v>2</v>
      </c>
      <c r="AA36" s="5">
        <v>4</v>
      </c>
      <c r="AB36" s="5">
        <v>0</v>
      </c>
    </row>
    <row r="37" spans="1:28">
      <c r="A37" s="7" t="s">
        <v>99</v>
      </c>
      <c r="B37" s="6" t="s">
        <v>132</v>
      </c>
      <c r="C37" s="5">
        <v>3</v>
      </c>
      <c r="D37" s="5">
        <v>3</v>
      </c>
      <c r="E37" s="5">
        <v>3</v>
      </c>
      <c r="F37" s="5">
        <v>3</v>
      </c>
      <c r="G37" s="5">
        <v>0</v>
      </c>
      <c r="H37" s="5">
        <v>0</v>
      </c>
      <c r="I37" s="5">
        <v>0</v>
      </c>
      <c r="J37" s="5">
        <v>1</v>
      </c>
      <c r="K37" s="5">
        <v>2</v>
      </c>
      <c r="L37" s="5">
        <v>2</v>
      </c>
      <c r="M37" s="5">
        <v>2</v>
      </c>
      <c r="N37" s="5">
        <v>2</v>
      </c>
      <c r="O37" s="5">
        <v>1</v>
      </c>
      <c r="P37" s="5">
        <v>1</v>
      </c>
      <c r="Q37" s="5">
        <v>0</v>
      </c>
      <c r="R37" s="5">
        <v>1</v>
      </c>
      <c r="S37" s="5">
        <v>0</v>
      </c>
      <c r="T37" s="5">
        <v>0</v>
      </c>
      <c r="U37" s="5">
        <v>0</v>
      </c>
      <c r="V37" s="5">
        <v>1</v>
      </c>
      <c r="W37" s="5">
        <v>1</v>
      </c>
      <c r="X37" s="5">
        <v>4</v>
      </c>
      <c r="Y37" s="5">
        <v>4</v>
      </c>
      <c r="Z37" s="5">
        <v>2</v>
      </c>
      <c r="AA37" s="5">
        <v>2</v>
      </c>
      <c r="AB37" s="5">
        <v>0</v>
      </c>
    </row>
    <row r="38" spans="1:28">
      <c r="A38" s="7" t="s">
        <v>48</v>
      </c>
      <c r="B38" s="6" t="s">
        <v>131</v>
      </c>
      <c r="C38" s="5">
        <v>3</v>
      </c>
      <c r="D38" s="5">
        <v>3</v>
      </c>
      <c r="E38" s="5">
        <v>3</v>
      </c>
      <c r="F38" s="5">
        <v>3</v>
      </c>
      <c r="G38" s="5">
        <v>0</v>
      </c>
      <c r="H38" s="5">
        <v>0</v>
      </c>
      <c r="I38" s="5">
        <v>0</v>
      </c>
      <c r="J38" s="5">
        <v>1</v>
      </c>
      <c r="K38" s="5">
        <v>2</v>
      </c>
      <c r="L38" s="5">
        <v>2</v>
      </c>
      <c r="M38" s="5">
        <v>2</v>
      </c>
      <c r="N38" s="5">
        <v>2</v>
      </c>
      <c r="O38" s="5">
        <v>1</v>
      </c>
      <c r="P38" s="5">
        <v>1</v>
      </c>
      <c r="Q38" s="5">
        <v>0</v>
      </c>
      <c r="R38" s="5">
        <v>1</v>
      </c>
      <c r="S38" s="5">
        <v>0</v>
      </c>
      <c r="T38" s="5">
        <v>0</v>
      </c>
      <c r="U38" s="5">
        <v>0</v>
      </c>
      <c r="V38" s="5">
        <v>1</v>
      </c>
      <c r="W38" s="5">
        <v>1</v>
      </c>
      <c r="X38" s="5">
        <v>4</v>
      </c>
      <c r="Y38" s="5">
        <v>2</v>
      </c>
      <c r="Z38" s="5">
        <v>2</v>
      </c>
      <c r="AA38" s="5">
        <v>2</v>
      </c>
      <c r="AB38" s="5">
        <v>0</v>
      </c>
    </row>
    <row r="39" spans="1:28">
      <c r="A39" s="7" t="s">
        <v>100</v>
      </c>
      <c r="B39" s="6" t="s">
        <v>130</v>
      </c>
      <c r="C39" s="5">
        <v>3</v>
      </c>
      <c r="D39" s="5">
        <v>3</v>
      </c>
      <c r="E39" s="5">
        <v>3</v>
      </c>
      <c r="F39" s="5">
        <v>3</v>
      </c>
      <c r="G39" s="5">
        <v>0</v>
      </c>
      <c r="H39" s="5">
        <v>0</v>
      </c>
      <c r="I39" s="5">
        <v>0</v>
      </c>
      <c r="J39" s="5">
        <v>1</v>
      </c>
      <c r="K39" s="5">
        <v>2</v>
      </c>
      <c r="L39" s="5">
        <v>2</v>
      </c>
      <c r="M39" s="5">
        <v>2</v>
      </c>
      <c r="N39" s="5">
        <v>2</v>
      </c>
      <c r="O39" s="5">
        <v>1</v>
      </c>
      <c r="P39" s="5">
        <v>1</v>
      </c>
      <c r="Q39" s="5">
        <v>0</v>
      </c>
      <c r="R39" s="5">
        <v>1</v>
      </c>
      <c r="S39" s="5">
        <v>0</v>
      </c>
      <c r="T39" s="5">
        <v>0</v>
      </c>
      <c r="U39" s="5">
        <v>0</v>
      </c>
      <c r="V39" s="5">
        <v>1</v>
      </c>
      <c r="W39" s="5">
        <v>1</v>
      </c>
      <c r="X39" s="5">
        <v>4</v>
      </c>
      <c r="Y39" s="5">
        <v>2</v>
      </c>
      <c r="Z39" s="5">
        <v>2</v>
      </c>
      <c r="AA39" s="5">
        <v>2</v>
      </c>
      <c r="AB39" s="5">
        <v>0</v>
      </c>
    </row>
    <row r="40" spans="1:28">
      <c r="A40" s="7" t="s">
        <v>49</v>
      </c>
      <c r="B40" s="6" t="s">
        <v>129</v>
      </c>
      <c r="C40" s="5">
        <v>3</v>
      </c>
      <c r="D40" s="5">
        <v>5</v>
      </c>
      <c r="E40" s="5">
        <v>5</v>
      </c>
      <c r="F40" s="5">
        <v>3</v>
      </c>
      <c r="G40" s="5">
        <v>2</v>
      </c>
      <c r="H40" s="5">
        <v>2</v>
      </c>
      <c r="I40" s="5">
        <v>2</v>
      </c>
      <c r="J40" s="5">
        <v>2</v>
      </c>
      <c r="K40" s="5">
        <v>0</v>
      </c>
      <c r="L40" s="5">
        <v>2</v>
      </c>
      <c r="M40" s="5">
        <v>0</v>
      </c>
      <c r="N40" s="5">
        <v>0</v>
      </c>
      <c r="O40" s="5">
        <v>1</v>
      </c>
      <c r="P40" s="5">
        <v>1</v>
      </c>
      <c r="Q40" s="5">
        <v>1</v>
      </c>
      <c r="R40" s="5">
        <v>0</v>
      </c>
      <c r="S40" s="5">
        <v>1</v>
      </c>
      <c r="T40" s="5">
        <v>1</v>
      </c>
      <c r="U40" s="5">
        <v>0</v>
      </c>
      <c r="V40" s="5">
        <v>0</v>
      </c>
      <c r="W40" s="5">
        <v>0</v>
      </c>
      <c r="X40" s="5">
        <v>8</v>
      </c>
      <c r="Y40" s="5">
        <v>0</v>
      </c>
      <c r="Z40" s="5">
        <v>0</v>
      </c>
      <c r="AA40" s="5">
        <v>0</v>
      </c>
      <c r="AB40" s="5">
        <v>8</v>
      </c>
    </row>
    <row r="41" spans="1:28">
      <c r="A41" s="7" t="s">
        <v>110</v>
      </c>
      <c r="B41" s="6" t="s">
        <v>128</v>
      </c>
      <c r="C41" s="5">
        <v>3</v>
      </c>
      <c r="D41" s="5">
        <v>5</v>
      </c>
      <c r="E41" s="5">
        <v>5</v>
      </c>
      <c r="F41" s="5">
        <v>3</v>
      </c>
      <c r="G41" s="5">
        <v>2</v>
      </c>
      <c r="H41" s="5">
        <v>2</v>
      </c>
      <c r="I41" s="5">
        <v>2</v>
      </c>
      <c r="J41" s="5">
        <v>2</v>
      </c>
      <c r="K41" s="5">
        <v>0</v>
      </c>
      <c r="L41" s="5">
        <v>0</v>
      </c>
      <c r="M41" s="5">
        <v>2</v>
      </c>
      <c r="N41" s="5">
        <v>0</v>
      </c>
      <c r="O41" s="5">
        <v>1</v>
      </c>
      <c r="P41" s="5">
        <v>1</v>
      </c>
      <c r="Q41" s="5">
        <v>1</v>
      </c>
      <c r="R41" s="5">
        <v>0</v>
      </c>
      <c r="S41" s="5">
        <v>1</v>
      </c>
      <c r="T41" s="5">
        <v>1</v>
      </c>
      <c r="U41" s="5">
        <v>0</v>
      </c>
      <c r="V41" s="5">
        <v>0</v>
      </c>
      <c r="W41" s="5">
        <v>0</v>
      </c>
      <c r="X41" s="5">
        <v>8</v>
      </c>
      <c r="Y41" s="5">
        <v>4</v>
      </c>
      <c r="Z41" s="5">
        <v>0</v>
      </c>
      <c r="AA41" s="5">
        <v>0</v>
      </c>
      <c r="AB41" s="5">
        <v>8</v>
      </c>
    </row>
    <row r="42" spans="1:28">
      <c r="A42" s="7" t="s">
        <v>51</v>
      </c>
      <c r="B42" s="6" t="s">
        <v>127</v>
      </c>
      <c r="C42" s="5">
        <v>3</v>
      </c>
      <c r="D42" s="5">
        <v>5</v>
      </c>
      <c r="E42" s="5">
        <v>5</v>
      </c>
      <c r="F42" s="5">
        <v>3</v>
      </c>
      <c r="G42" s="5">
        <v>2</v>
      </c>
      <c r="H42" s="5">
        <v>2</v>
      </c>
      <c r="I42" s="5">
        <v>0</v>
      </c>
      <c r="J42" s="5">
        <v>2</v>
      </c>
      <c r="K42" s="5">
        <v>0</v>
      </c>
      <c r="L42" s="5">
        <v>0</v>
      </c>
      <c r="M42" s="5">
        <v>2</v>
      </c>
      <c r="N42" s="5">
        <v>2</v>
      </c>
      <c r="O42" s="5">
        <v>1</v>
      </c>
      <c r="P42" s="5">
        <v>1</v>
      </c>
      <c r="Q42" s="5">
        <v>1</v>
      </c>
      <c r="R42" s="5">
        <v>0</v>
      </c>
      <c r="S42" s="5">
        <v>1</v>
      </c>
      <c r="T42" s="5">
        <v>1</v>
      </c>
      <c r="U42" s="5">
        <v>0</v>
      </c>
      <c r="V42" s="5">
        <v>0</v>
      </c>
      <c r="W42" s="5">
        <v>0</v>
      </c>
      <c r="X42" s="5">
        <v>8</v>
      </c>
      <c r="Y42" s="5">
        <v>6</v>
      </c>
      <c r="Z42" s="5">
        <v>0</v>
      </c>
      <c r="AA42" s="5">
        <v>0</v>
      </c>
      <c r="AB42" s="5">
        <v>8</v>
      </c>
    </row>
    <row r="43" spans="1:28">
      <c r="A43" s="7" t="s">
        <v>54</v>
      </c>
      <c r="B43" s="6" t="s">
        <v>126</v>
      </c>
      <c r="C43" s="5">
        <v>3</v>
      </c>
      <c r="D43" s="5">
        <v>5</v>
      </c>
      <c r="E43" s="5">
        <v>5</v>
      </c>
      <c r="F43" s="5">
        <v>3</v>
      </c>
      <c r="G43" s="5">
        <v>2</v>
      </c>
      <c r="H43" s="5">
        <v>2</v>
      </c>
      <c r="I43" s="5">
        <v>0</v>
      </c>
      <c r="J43" s="5">
        <v>2</v>
      </c>
      <c r="K43" s="5">
        <v>0</v>
      </c>
      <c r="L43" s="5">
        <v>2</v>
      </c>
      <c r="M43" s="5">
        <v>2</v>
      </c>
      <c r="N43" s="5">
        <v>0</v>
      </c>
      <c r="O43" s="5">
        <v>1</v>
      </c>
      <c r="P43" s="5">
        <v>1</v>
      </c>
      <c r="Q43" s="5">
        <v>1</v>
      </c>
      <c r="R43" s="5">
        <v>0</v>
      </c>
      <c r="S43" s="5">
        <v>1</v>
      </c>
      <c r="T43" s="5">
        <v>1</v>
      </c>
      <c r="U43" s="5">
        <v>0</v>
      </c>
      <c r="V43" s="5">
        <v>0</v>
      </c>
      <c r="W43" s="5">
        <v>0</v>
      </c>
      <c r="X43" s="5">
        <v>8</v>
      </c>
      <c r="Y43" s="5">
        <v>2</v>
      </c>
      <c r="Z43" s="5">
        <v>0</v>
      </c>
      <c r="AA43" s="5">
        <v>0</v>
      </c>
      <c r="AB43" s="5">
        <v>8</v>
      </c>
    </row>
    <row r="44" spans="1:28">
      <c r="A44" s="7" t="s">
        <v>57</v>
      </c>
      <c r="B44" s="6" t="s">
        <v>125</v>
      </c>
      <c r="C44" s="5">
        <v>3</v>
      </c>
      <c r="D44" s="5">
        <v>5</v>
      </c>
      <c r="E44" s="5">
        <v>5</v>
      </c>
      <c r="F44" s="5">
        <v>3</v>
      </c>
      <c r="G44" s="5">
        <v>2</v>
      </c>
      <c r="H44" s="5">
        <v>2</v>
      </c>
      <c r="I44" s="5">
        <v>0</v>
      </c>
      <c r="J44" s="5">
        <v>2</v>
      </c>
      <c r="K44" s="5">
        <v>2</v>
      </c>
      <c r="L44" s="5">
        <v>0</v>
      </c>
      <c r="M44" s="5">
        <v>2</v>
      </c>
      <c r="N44" s="5">
        <v>0</v>
      </c>
      <c r="O44" s="5">
        <v>1</v>
      </c>
      <c r="P44" s="5">
        <v>1</v>
      </c>
      <c r="Q44" s="5">
        <v>1</v>
      </c>
      <c r="R44" s="5">
        <v>0</v>
      </c>
      <c r="S44" s="5">
        <v>1</v>
      </c>
      <c r="T44" s="5">
        <v>1</v>
      </c>
      <c r="U44" s="5">
        <v>0</v>
      </c>
      <c r="V44" s="5">
        <v>0</v>
      </c>
      <c r="W44" s="5">
        <v>0</v>
      </c>
      <c r="X44" s="5">
        <v>6</v>
      </c>
      <c r="Y44" s="5">
        <v>4</v>
      </c>
      <c r="Z44" s="5">
        <v>0</v>
      </c>
      <c r="AA44" s="5">
        <v>0</v>
      </c>
      <c r="AB44" s="5">
        <v>8</v>
      </c>
    </row>
    <row r="45" spans="1:28">
      <c r="A45" s="7" t="s">
        <v>58</v>
      </c>
      <c r="B45" s="6" t="s">
        <v>124</v>
      </c>
      <c r="C45" s="5">
        <v>3</v>
      </c>
      <c r="D45" s="5">
        <v>5</v>
      </c>
      <c r="E45" s="5">
        <v>5</v>
      </c>
      <c r="F45" s="5">
        <v>3</v>
      </c>
      <c r="G45" s="5">
        <v>2</v>
      </c>
      <c r="H45" s="5">
        <v>0</v>
      </c>
      <c r="I45" s="5">
        <v>0</v>
      </c>
      <c r="J45" s="5">
        <v>2</v>
      </c>
      <c r="K45" s="5">
        <v>2</v>
      </c>
      <c r="L45" s="5">
        <v>2</v>
      </c>
      <c r="M45" s="5">
        <v>2</v>
      </c>
      <c r="N45" s="5">
        <v>0</v>
      </c>
      <c r="O45" s="5">
        <v>1</v>
      </c>
      <c r="P45" s="5">
        <v>1</v>
      </c>
      <c r="Q45" s="5">
        <v>1</v>
      </c>
      <c r="R45" s="5">
        <v>1</v>
      </c>
      <c r="S45" s="5">
        <v>1</v>
      </c>
      <c r="T45" s="5">
        <v>0</v>
      </c>
      <c r="U45" s="5">
        <v>0</v>
      </c>
      <c r="V45" s="5">
        <v>0</v>
      </c>
      <c r="W45" s="5">
        <v>0</v>
      </c>
      <c r="X45" s="5">
        <v>6</v>
      </c>
      <c r="Y45" s="5">
        <v>6</v>
      </c>
      <c r="Z45" s="5">
        <v>0</v>
      </c>
      <c r="AA45" s="5">
        <v>0</v>
      </c>
      <c r="AB45" s="5">
        <v>8</v>
      </c>
    </row>
    <row r="46" spans="1:28">
      <c r="A46" s="7" t="s">
        <v>111</v>
      </c>
      <c r="B46" s="6" t="s">
        <v>123</v>
      </c>
      <c r="C46" s="5">
        <v>3</v>
      </c>
      <c r="D46" s="5">
        <v>5</v>
      </c>
      <c r="E46" s="5">
        <v>5</v>
      </c>
      <c r="F46" s="5">
        <v>3</v>
      </c>
      <c r="G46" s="5">
        <v>2</v>
      </c>
      <c r="H46" s="5">
        <v>0</v>
      </c>
      <c r="I46" s="5">
        <v>0</v>
      </c>
      <c r="J46" s="5">
        <v>2</v>
      </c>
      <c r="K46" s="5">
        <v>2</v>
      </c>
      <c r="L46" s="5">
        <v>2</v>
      </c>
      <c r="M46" s="5">
        <v>2</v>
      </c>
      <c r="N46" s="5">
        <v>0</v>
      </c>
      <c r="O46" s="5">
        <v>1</v>
      </c>
      <c r="P46" s="5">
        <v>1</v>
      </c>
      <c r="Q46" s="5">
        <v>1</v>
      </c>
      <c r="R46" s="5">
        <v>1</v>
      </c>
      <c r="S46" s="5">
        <v>1</v>
      </c>
      <c r="T46" s="5">
        <v>0</v>
      </c>
      <c r="U46" s="5">
        <v>0</v>
      </c>
      <c r="V46" s="5">
        <v>0</v>
      </c>
      <c r="W46" s="5">
        <v>0</v>
      </c>
      <c r="X46" s="5">
        <v>8</v>
      </c>
      <c r="Y46" s="5">
        <v>6</v>
      </c>
      <c r="Z46" s="5">
        <v>0</v>
      </c>
      <c r="AA46" s="5">
        <v>0</v>
      </c>
      <c r="AB46" s="5">
        <v>8</v>
      </c>
    </row>
    <row r="47" spans="1:28">
      <c r="A47" s="7" t="s">
        <v>59</v>
      </c>
      <c r="B47" s="6" t="s">
        <v>122</v>
      </c>
      <c r="C47" s="5">
        <v>3</v>
      </c>
      <c r="D47" s="5">
        <v>5</v>
      </c>
      <c r="E47" s="5">
        <v>5</v>
      </c>
      <c r="F47" s="5">
        <v>3</v>
      </c>
      <c r="G47" s="5">
        <v>2</v>
      </c>
      <c r="H47" s="5">
        <v>0</v>
      </c>
      <c r="I47" s="5">
        <v>0</v>
      </c>
      <c r="J47" s="5">
        <v>2</v>
      </c>
      <c r="K47" s="5">
        <v>0</v>
      </c>
      <c r="L47" s="5">
        <v>2</v>
      </c>
      <c r="M47" s="5">
        <v>2</v>
      </c>
      <c r="N47" s="5">
        <v>2</v>
      </c>
      <c r="O47" s="5">
        <v>1</v>
      </c>
      <c r="P47" s="5">
        <v>1</v>
      </c>
      <c r="Q47" s="5">
        <v>1</v>
      </c>
      <c r="R47" s="5">
        <v>1</v>
      </c>
      <c r="S47" s="5">
        <v>1</v>
      </c>
      <c r="T47" s="5">
        <v>0</v>
      </c>
      <c r="U47" s="5">
        <v>0</v>
      </c>
      <c r="V47" s="5">
        <v>0</v>
      </c>
      <c r="W47" s="5">
        <v>0</v>
      </c>
      <c r="X47" s="5">
        <v>6</v>
      </c>
      <c r="Y47" s="5">
        <v>8</v>
      </c>
      <c r="Z47" s="5">
        <v>0</v>
      </c>
      <c r="AA47" s="5">
        <v>0</v>
      </c>
      <c r="AB47" s="5">
        <v>8</v>
      </c>
    </row>
    <row r="48" spans="1:28">
      <c r="A48" s="7" t="s">
        <v>113</v>
      </c>
      <c r="B48" s="6" t="s">
        <v>121</v>
      </c>
      <c r="C48" s="5">
        <v>3</v>
      </c>
      <c r="D48" s="5">
        <v>5</v>
      </c>
      <c r="E48" s="5">
        <v>5</v>
      </c>
      <c r="F48" s="5">
        <v>3</v>
      </c>
      <c r="G48" s="5">
        <v>0</v>
      </c>
      <c r="H48" s="5">
        <v>2</v>
      </c>
      <c r="I48" s="5">
        <v>0</v>
      </c>
      <c r="J48" s="5">
        <v>2</v>
      </c>
      <c r="K48" s="5">
        <v>2</v>
      </c>
      <c r="L48" s="5">
        <v>2</v>
      </c>
      <c r="M48" s="5">
        <v>2</v>
      </c>
      <c r="N48" s="5">
        <v>0</v>
      </c>
      <c r="O48" s="5">
        <v>1</v>
      </c>
      <c r="P48" s="5">
        <v>1</v>
      </c>
      <c r="Q48" s="5">
        <v>0</v>
      </c>
      <c r="R48" s="5">
        <v>1</v>
      </c>
      <c r="S48" s="5">
        <v>0</v>
      </c>
      <c r="T48" s="5">
        <v>0</v>
      </c>
      <c r="U48" s="5">
        <v>0</v>
      </c>
      <c r="V48" s="5">
        <v>1</v>
      </c>
      <c r="W48" s="5">
        <v>1</v>
      </c>
      <c r="X48" s="5">
        <v>8</v>
      </c>
      <c r="Y48" s="5">
        <v>4</v>
      </c>
      <c r="Z48" s="5">
        <v>0</v>
      </c>
      <c r="AA48" s="5">
        <v>0</v>
      </c>
      <c r="AB48" s="5">
        <v>8</v>
      </c>
    </row>
    <row r="49" spans="1:28">
      <c r="A49" s="7" t="s">
        <v>106</v>
      </c>
      <c r="B49" s="6" t="s">
        <v>120</v>
      </c>
      <c r="C49" s="5">
        <v>3</v>
      </c>
      <c r="D49" s="5">
        <v>5</v>
      </c>
      <c r="E49" s="5">
        <v>5</v>
      </c>
      <c r="F49" s="5">
        <v>3</v>
      </c>
      <c r="G49" s="5">
        <v>0</v>
      </c>
      <c r="H49" s="5">
        <v>2</v>
      </c>
      <c r="I49" s="5">
        <v>2</v>
      </c>
      <c r="J49" s="5">
        <v>2</v>
      </c>
      <c r="K49" s="5">
        <v>0</v>
      </c>
      <c r="L49" s="5">
        <v>2</v>
      </c>
      <c r="M49" s="5">
        <v>2</v>
      </c>
      <c r="N49" s="5">
        <v>0</v>
      </c>
      <c r="O49" s="5">
        <v>1</v>
      </c>
      <c r="P49" s="5">
        <v>1</v>
      </c>
      <c r="Q49" s="5">
        <v>1</v>
      </c>
      <c r="R49" s="5">
        <v>0</v>
      </c>
      <c r="S49" s="5">
        <v>0</v>
      </c>
      <c r="T49" s="5">
        <v>1</v>
      </c>
      <c r="U49" s="5">
        <v>1</v>
      </c>
      <c r="V49" s="5">
        <v>0</v>
      </c>
      <c r="W49" s="5">
        <v>0</v>
      </c>
      <c r="X49" s="5">
        <v>8</v>
      </c>
      <c r="Y49" s="5">
        <v>6</v>
      </c>
      <c r="Z49" s="5">
        <v>0</v>
      </c>
      <c r="AA49" s="5">
        <v>0</v>
      </c>
      <c r="AB49" s="5">
        <v>6</v>
      </c>
    </row>
    <row r="50" spans="1:28">
      <c r="A50" s="7" t="s">
        <v>107</v>
      </c>
      <c r="B50" s="6" t="s">
        <v>119</v>
      </c>
      <c r="C50" s="5">
        <v>3</v>
      </c>
      <c r="D50" s="5">
        <v>5</v>
      </c>
      <c r="E50" s="5">
        <v>5</v>
      </c>
      <c r="F50" s="5">
        <v>3</v>
      </c>
      <c r="G50" s="5">
        <v>0</v>
      </c>
      <c r="H50" s="5">
        <v>2</v>
      </c>
      <c r="I50" s="5">
        <v>2</v>
      </c>
      <c r="J50" s="5">
        <v>2</v>
      </c>
      <c r="K50" s="5">
        <v>2</v>
      </c>
      <c r="L50" s="5">
        <v>2</v>
      </c>
      <c r="M50" s="5">
        <v>0</v>
      </c>
      <c r="N50" s="5">
        <v>0</v>
      </c>
      <c r="O50" s="5">
        <v>1</v>
      </c>
      <c r="P50" s="5">
        <v>1</v>
      </c>
      <c r="Q50" s="5">
        <v>1</v>
      </c>
      <c r="R50" s="5">
        <v>0</v>
      </c>
      <c r="S50" s="5">
        <v>0</v>
      </c>
      <c r="T50" s="5">
        <v>1</v>
      </c>
      <c r="U50" s="5">
        <v>1</v>
      </c>
      <c r="V50" s="5">
        <v>0</v>
      </c>
      <c r="W50" s="5">
        <v>0</v>
      </c>
      <c r="X50" s="5">
        <v>8</v>
      </c>
      <c r="Y50" s="5">
        <v>0</v>
      </c>
      <c r="Z50" s="5">
        <v>0</v>
      </c>
      <c r="AA50" s="5">
        <v>0</v>
      </c>
      <c r="AB50" s="5">
        <v>8</v>
      </c>
    </row>
    <row r="51" spans="1:28">
      <c r="A51" s="7" t="s">
        <v>108</v>
      </c>
      <c r="B51" s="6" t="s">
        <v>118</v>
      </c>
      <c r="C51" s="5">
        <v>3</v>
      </c>
      <c r="D51" s="5">
        <v>5</v>
      </c>
      <c r="E51" s="5">
        <v>5</v>
      </c>
      <c r="F51" s="5">
        <v>3</v>
      </c>
      <c r="G51" s="5">
        <v>0</v>
      </c>
      <c r="H51" s="5">
        <v>0</v>
      </c>
      <c r="I51" s="5">
        <v>2</v>
      </c>
      <c r="J51" s="5">
        <v>2</v>
      </c>
      <c r="K51" s="5">
        <v>2</v>
      </c>
      <c r="L51" s="5">
        <v>2</v>
      </c>
      <c r="M51" s="5">
        <v>2</v>
      </c>
      <c r="N51" s="5">
        <v>0</v>
      </c>
      <c r="O51" s="5">
        <v>1</v>
      </c>
      <c r="P51" s="5">
        <v>1</v>
      </c>
      <c r="Q51" s="5">
        <v>0</v>
      </c>
      <c r="R51" s="5">
        <v>1</v>
      </c>
      <c r="S51" s="5">
        <v>0</v>
      </c>
      <c r="T51" s="5">
        <v>0</v>
      </c>
      <c r="U51" s="5">
        <v>0</v>
      </c>
      <c r="V51" s="5">
        <v>1</v>
      </c>
      <c r="W51" s="5">
        <v>1</v>
      </c>
      <c r="X51" s="5">
        <v>8</v>
      </c>
      <c r="Y51" s="5">
        <v>6</v>
      </c>
      <c r="Z51" s="5">
        <v>0</v>
      </c>
      <c r="AA51" s="5">
        <v>0</v>
      </c>
      <c r="AB51" s="5">
        <v>8</v>
      </c>
    </row>
    <row r="52" spans="1:28">
      <c r="A52" s="7" t="s">
        <v>61</v>
      </c>
      <c r="B52" s="6" t="s">
        <v>117</v>
      </c>
      <c r="C52" s="5">
        <v>3</v>
      </c>
      <c r="D52" s="5">
        <v>5</v>
      </c>
      <c r="E52" s="5">
        <v>5</v>
      </c>
      <c r="F52" s="5">
        <v>3</v>
      </c>
      <c r="G52" s="5">
        <v>0</v>
      </c>
      <c r="H52" s="5">
        <v>0</v>
      </c>
      <c r="I52" s="5">
        <v>2</v>
      </c>
      <c r="J52" s="5">
        <v>2</v>
      </c>
      <c r="K52" s="5">
        <v>2</v>
      </c>
      <c r="L52" s="5">
        <v>2</v>
      </c>
      <c r="M52" s="5">
        <v>0</v>
      </c>
      <c r="N52" s="5">
        <v>2</v>
      </c>
      <c r="O52" s="5">
        <v>1</v>
      </c>
      <c r="P52" s="5">
        <v>1</v>
      </c>
      <c r="Q52" s="5">
        <v>0</v>
      </c>
      <c r="R52" s="5">
        <v>1</v>
      </c>
      <c r="S52" s="5">
        <v>0</v>
      </c>
      <c r="T52" s="5">
        <v>0</v>
      </c>
      <c r="U52" s="5">
        <v>0</v>
      </c>
      <c r="V52" s="5">
        <v>1</v>
      </c>
      <c r="W52" s="5">
        <v>1</v>
      </c>
      <c r="X52" s="5">
        <v>8</v>
      </c>
      <c r="Y52" s="5">
        <v>0</v>
      </c>
      <c r="Z52" s="5">
        <v>0</v>
      </c>
      <c r="AA52" s="5">
        <v>0</v>
      </c>
      <c r="AB52" s="5">
        <v>8</v>
      </c>
    </row>
    <row r="53" spans="1:28">
      <c r="A53" s="7" t="s">
        <v>109</v>
      </c>
      <c r="B53" s="6" t="s">
        <v>116</v>
      </c>
      <c r="C53" s="5">
        <v>3</v>
      </c>
      <c r="D53" s="5">
        <v>5</v>
      </c>
      <c r="E53" s="5">
        <v>5</v>
      </c>
      <c r="F53" s="5">
        <v>3</v>
      </c>
      <c r="G53" s="5">
        <v>0</v>
      </c>
      <c r="H53" s="5">
        <v>0</v>
      </c>
      <c r="I53" s="5">
        <v>0</v>
      </c>
      <c r="J53" s="5">
        <v>2</v>
      </c>
      <c r="K53" s="5">
        <v>2</v>
      </c>
      <c r="L53" s="5">
        <v>2</v>
      </c>
      <c r="M53" s="5">
        <v>2</v>
      </c>
      <c r="N53" s="5">
        <v>2</v>
      </c>
      <c r="O53" s="5">
        <v>1</v>
      </c>
      <c r="P53" s="5">
        <v>1</v>
      </c>
      <c r="Q53" s="5">
        <v>0</v>
      </c>
      <c r="R53" s="5">
        <v>1</v>
      </c>
      <c r="S53" s="5">
        <v>0</v>
      </c>
      <c r="T53" s="5">
        <v>0</v>
      </c>
      <c r="U53" s="5">
        <v>0</v>
      </c>
      <c r="V53" s="5">
        <v>1</v>
      </c>
      <c r="W53" s="5">
        <v>1</v>
      </c>
      <c r="X53" s="5">
        <v>8</v>
      </c>
      <c r="Y53" s="5">
        <v>4</v>
      </c>
      <c r="Z53" s="5">
        <v>0</v>
      </c>
      <c r="AA53" s="5">
        <v>0</v>
      </c>
      <c r="AB53" s="5">
        <v>8</v>
      </c>
    </row>
    <row r="54" spans="1:28">
      <c r="A54" s="7" t="s">
        <v>62</v>
      </c>
      <c r="B54" s="6" t="s">
        <v>115</v>
      </c>
      <c r="C54" s="5">
        <v>3</v>
      </c>
      <c r="D54" s="5">
        <v>5</v>
      </c>
      <c r="E54" s="5">
        <v>5</v>
      </c>
      <c r="F54" s="5">
        <v>3</v>
      </c>
      <c r="G54" s="5">
        <v>0</v>
      </c>
      <c r="H54" s="5">
        <v>0</v>
      </c>
      <c r="I54" s="5">
        <v>0</v>
      </c>
      <c r="J54" s="5">
        <v>2</v>
      </c>
      <c r="K54" s="5">
        <v>2</v>
      </c>
      <c r="L54" s="5">
        <v>2</v>
      </c>
      <c r="M54" s="5">
        <v>2</v>
      </c>
      <c r="N54" s="5">
        <v>2</v>
      </c>
      <c r="O54" s="5">
        <v>1</v>
      </c>
      <c r="P54" s="5">
        <v>1</v>
      </c>
      <c r="Q54" s="5">
        <v>0</v>
      </c>
      <c r="R54" s="5">
        <v>1</v>
      </c>
      <c r="S54" s="5">
        <v>0</v>
      </c>
      <c r="T54" s="5">
        <v>0</v>
      </c>
      <c r="U54" s="5">
        <v>0</v>
      </c>
      <c r="V54" s="5">
        <v>1</v>
      </c>
      <c r="W54" s="5">
        <v>1</v>
      </c>
      <c r="X54" s="5">
        <v>6</v>
      </c>
      <c r="Y54" s="5">
        <v>6</v>
      </c>
      <c r="Z54" s="5">
        <v>0</v>
      </c>
      <c r="AA54" s="5">
        <v>0</v>
      </c>
      <c r="AB54" s="5">
        <v>8</v>
      </c>
    </row>
    <row r="55" spans="1:28">
      <c r="A55" s="4" t="s">
        <v>114</v>
      </c>
      <c r="B55" s="3"/>
      <c r="C55" s="2">
        <v>150</v>
      </c>
      <c r="D55" s="2">
        <v>180</v>
      </c>
      <c r="E55" s="2">
        <v>180</v>
      </c>
      <c r="F55" s="2">
        <v>150</v>
      </c>
      <c r="G55" s="2">
        <v>64</v>
      </c>
      <c r="H55" s="2">
        <v>50</v>
      </c>
      <c r="I55" s="2">
        <v>38</v>
      </c>
      <c r="J55" s="2">
        <v>86</v>
      </c>
      <c r="K55" s="2">
        <v>52</v>
      </c>
      <c r="L55" s="2">
        <v>72</v>
      </c>
      <c r="M55" s="2">
        <v>90</v>
      </c>
      <c r="N55" s="2">
        <v>34</v>
      </c>
      <c r="O55" s="2">
        <v>50</v>
      </c>
      <c r="P55" s="2">
        <v>50</v>
      </c>
      <c r="Q55" s="2">
        <v>32</v>
      </c>
      <c r="R55" s="2">
        <v>25</v>
      </c>
      <c r="S55" s="2">
        <v>22</v>
      </c>
      <c r="T55" s="2">
        <v>24</v>
      </c>
      <c r="U55" s="2">
        <v>11</v>
      </c>
      <c r="V55" s="2">
        <v>18</v>
      </c>
      <c r="W55" s="2">
        <v>18</v>
      </c>
      <c r="X55" s="2">
        <v>304</v>
      </c>
      <c r="Y55" s="2">
        <v>158</v>
      </c>
      <c r="Z55" s="2">
        <v>72</v>
      </c>
      <c r="AA55" s="2">
        <v>98</v>
      </c>
      <c r="AB55" s="2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zoomScale="114" workbookViewId="0">
      <selection activeCell="H12" sqref="H12"/>
    </sheetView>
  </sheetViews>
  <sheetFormatPr baseColWidth="10" defaultColWidth="8.83203125" defaultRowHeight="15"/>
  <cols>
    <col min="1" max="1" width="8" customWidth="1"/>
    <col min="2" max="3" width="40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8</v>
      </c>
    </row>
    <row r="4" spans="1:3">
      <c r="A4" t="s">
        <v>9</v>
      </c>
      <c r="B4" t="s">
        <v>10</v>
      </c>
      <c r="C4" t="s">
        <v>11</v>
      </c>
    </row>
    <row r="5" spans="1:3">
      <c r="A5" t="s">
        <v>12</v>
      </c>
      <c r="B5" t="s">
        <v>10</v>
      </c>
      <c r="C5" t="s">
        <v>13</v>
      </c>
    </row>
    <row r="6" spans="1:3">
      <c r="A6" t="s">
        <v>14</v>
      </c>
      <c r="B6" t="s">
        <v>15</v>
      </c>
      <c r="C6" t="s">
        <v>16</v>
      </c>
    </row>
    <row r="7" spans="1:3">
      <c r="A7" t="s">
        <v>17</v>
      </c>
      <c r="B7" t="s">
        <v>18</v>
      </c>
      <c r="C7" t="s">
        <v>19</v>
      </c>
    </row>
    <row r="8" spans="1:3">
      <c r="A8" t="s">
        <v>20</v>
      </c>
      <c r="B8" t="s">
        <v>21</v>
      </c>
      <c r="C8" t="s">
        <v>22</v>
      </c>
    </row>
    <row r="9" spans="1:3">
      <c r="A9" t="s">
        <v>23</v>
      </c>
      <c r="B9" t="s">
        <v>24</v>
      </c>
      <c r="C9" t="s">
        <v>25</v>
      </c>
    </row>
    <row r="10" spans="1:3">
      <c r="A10" t="s">
        <v>26</v>
      </c>
      <c r="B10" t="s">
        <v>7</v>
      </c>
      <c r="C10" t="s">
        <v>27</v>
      </c>
    </row>
    <row r="11" spans="1:3">
      <c r="A11" t="s">
        <v>28</v>
      </c>
      <c r="B11" t="s">
        <v>29</v>
      </c>
      <c r="C11" t="s">
        <v>25</v>
      </c>
    </row>
    <row r="12" spans="1:3">
      <c r="A12" t="s">
        <v>30</v>
      </c>
      <c r="B12" t="s">
        <v>31</v>
      </c>
      <c r="C12" t="s">
        <v>32</v>
      </c>
    </row>
    <row r="13" spans="1:3">
      <c r="A13" t="s">
        <v>33</v>
      </c>
      <c r="B13" t="s">
        <v>34</v>
      </c>
      <c r="C13" t="s">
        <v>35</v>
      </c>
    </row>
    <row r="14" spans="1:3">
      <c r="A14" t="s">
        <v>36</v>
      </c>
      <c r="B14" t="s">
        <v>29</v>
      </c>
      <c r="C14" t="s">
        <v>32</v>
      </c>
    </row>
    <row r="15" spans="1:3">
      <c r="A15" t="s">
        <v>37</v>
      </c>
      <c r="B15" t="s">
        <v>38</v>
      </c>
      <c r="C15" t="s">
        <v>39</v>
      </c>
    </row>
    <row r="16" spans="1:3">
      <c r="A16" t="s">
        <v>40</v>
      </c>
      <c r="B16" t="s">
        <v>31</v>
      </c>
      <c r="C16" t="s">
        <v>27</v>
      </c>
    </row>
    <row r="17" spans="1:3">
      <c r="A17" t="s">
        <v>41</v>
      </c>
      <c r="B17" t="s">
        <v>31</v>
      </c>
      <c r="C17" t="s">
        <v>25</v>
      </c>
    </row>
    <row r="18" spans="1:3">
      <c r="A18" t="s">
        <v>42</v>
      </c>
      <c r="B18" t="s">
        <v>31</v>
      </c>
      <c r="C18" t="s">
        <v>43</v>
      </c>
    </row>
    <row r="19" spans="1:3">
      <c r="A19" t="s">
        <v>44</v>
      </c>
      <c r="B19" t="s">
        <v>7</v>
      </c>
      <c r="C19" t="s">
        <v>13</v>
      </c>
    </row>
    <row r="20" spans="1:3">
      <c r="A20" t="s">
        <v>45</v>
      </c>
      <c r="B20" t="s">
        <v>46</v>
      </c>
      <c r="C20" t="s">
        <v>47</v>
      </c>
    </row>
    <row r="21" spans="1:3">
      <c r="A21" t="s">
        <v>48</v>
      </c>
      <c r="B21" t="s">
        <v>24</v>
      </c>
      <c r="C21" t="s">
        <v>13</v>
      </c>
    </row>
    <row r="22" spans="1:3">
      <c r="A22" t="s">
        <v>49</v>
      </c>
      <c r="B22" t="s">
        <v>24</v>
      </c>
      <c r="C22" t="s">
        <v>50</v>
      </c>
    </row>
    <row r="23" spans="1:3">
      <c r="A23" t="s">
        <v>51</v>
      </c>
      <c r="B23" t="s">
        <v>52</v>
      </c>
      <c r="C23" t="s">
        <v>53</v>
      </c>
    </row>
    <row r="24" spans="1:3">
      <c r="A24" t="s">
        <v>54</v>
      </c>
      <c r="B24" t="s">
        <v>55</v>
      </c>
      <c r="C24" t="s">
        <v>56</v>
      </c>
    </row>
    <row r="25" spans="1:3">
      <c r="A25" t="s">
        <v>57</v>
      </c>
      <c r="B25" t="s">
        <v>24</v>
      </c>
      <c r="C25" t="s">
        <v>50</v>
      </c>
    </row>
    <row r="26" spans="1:3">
      <c r="A26" t="s">
        <v>58</v>
      </c>
      <c r="B26" t="s">
        <v>18</v>
      </c>
      <c r="C26" t="s">
        <v>27</v>
      </c>
    </row>
    <row r="27" spans="1:3">
      <c r="A27" t="s">
        <v>59</v>
      </c>
      <c r="B27" t="s">
        <v>31</v>
      </c>
      <c r="C27" t="s">
        <v>60</v>
      </c>
    </row>
    <row r="28" spans="1:3">
      <c r="A28" t="s">
        <v>61</v>
      </c>
      <c r="B28" t="s">
        <v>29</v>
      </c>
      <c r="C28" t="s">
        <v>27</v>
      </c>
    </row>
    <row r="29" spans="1:3">
      <c r="A29" t="s">
        <v>62</v>
      </c>
      <c r="B29" t="s">
        <v>63</v>
      </c>
      <c r="C29" t="s">
        <v>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BD3F7-8082-E24E-BB18-9CBF99C0FCF1}">
  <dimension ref="A1:BU66"/>
  <sheetViews>
    <sheetView zoomScale="118" workbookViewId="0">
      <selection activeCell="J36" sqref="J36"/>
    </sheetView>
  </sheetViews>
  <sheetFormatPr baseColWidth="10" defaultRowHeight="15"/>
  <sheetData>
    <row r="1" spans="1:73">
      <c r="C1" t="s">
        <v>201</v>
      </c>
    </row>
    <row r="2" spans="1:73">
      <c r="C2" t="s">
        <v>184</v>
      </c>
      <c r="V2" t="s">
        <v>185</v>
      </c>
      <c r="AM2" t="s">
        <v>186</v>
      </c>
    </row>
    <row r="3" spans="1:73">
      <c r="A3" t="s">
        <v>187</v>
      </c>
      <c r="B3" t="s">
        <v>188</v>
      </c>
      <c r="C3" t="s">
        <v>49</v>
      </c>
      <c r="D3" t="s">
        <v>110</v>
      </c>
      <c r="E3" t="s">
        <v>51</v>
      </c>
      <c r="F3" t="s">
        <v>54</v>
      </c>
      <c r="G3" t="s">
        <v>57</v>
      </c>
      <c r="H3" t="s">
        <v>58</v>
      </c>
      <c r="I3" t="s">
        <v>111</v>
      </c>
      <c r="J3" t="s">
        <v>59</v>
      </c>
      <c r="K3" t="s">
        <v>113</v>
      </c>
      <c r="L3" t="s">
        <v>106</v>
      </c>
      <c r="M3" t="s">
        <v>107</v>
      </c>
      <c r="N3" t="s">
        <v>108</v>
      </c>
      <c r="O3" t="s">
        <v>61</v>
      </c>
      <c r="P3" t="s">
        <v>109</v>
      </c>
      <c r="Q3" t="s">
        <v>62</v>
      </c>
      <c r="R3">
        <v>0</v>
      </c>
      <c r="S3">
        <v>0</v>
      </c>
      <c r="T3">
        <v>0</v>
      </c>
      <c r="U3">
        <v>0</v>
      </c>
      <c r="V3" t="s">
        <v>40</v>
      </c>
      <c r="W3" t="s">
        <v>101</v>
      </c>
      <c r="X3" t="s">
        <v>41</v>
      </c>
      <c r="Y3" t="s">
        <v>42</v>
      </c>
      <c r="Z3" t="s">
        <v>44</v>
      </c>
      <c r="AA3" t="s">
        <v>102</v>
      </c>
      <c r="AB3" t="s">
        <v>103</v>
      </c>
      <c r="AC3" t="s">
        <v>104</v>
      </c>
      <c r="AD3" t="s">
        <v>105</v>
      </c>
      <c r="AE3" t="s">
        <v>98</v>
      </c>
      <c r="AF3" t="s">
        <v>45</v>
      </c>
      <c r="AG3" t="s">
        <v>99</v>
      </c>
      <c r="AH3" t="s">
        <v>48</v>
      </c>
      <c r="AI3" t="s">
        <v>100</v>
      </c>
      <c r="AJ3" t="s">
        <v>202</v>
      </c>
      <c r="AK3" t="s">
        <v>203</v>
      </c>
      <c r="AL3" t="s">
        <v>204</v>
      </c>
      <c r="AM3" t="s">
        <v>3</v>
      </c>
      <c r="AN3" t="s">
        <v>6</v>
      </c>
      <c r="AO3" t="s">
        <v>94</v>
      </c>
      <c r="AP3" t="s">
        <v>9</v>
      </c>
      <c r="AQ3" t="s">
        <v>12</v>
      </c>
      <c r="AR3" t="s">
        <v>14</v>
      </c>
      <c r="AS3" t="s">
        <v>95</v>
      </c>
      <c r="AT3" t="s">
        <v>96</v>
      </c>
      <c r="AU3" t="s">
        <v>97</v>
      </c>
      <c r="AV3" t="s">
        <v>91</v>
      </c>
      <c r="AW3" t="s">
        <v>92</v>
      </c>
      <c r="AX3" t="s">
        <v>17</v>
      </c>
      <c r="AY3" t="s">
        <v>20</v>
      </c>
      <c r="AZ3" t="s">
        <v>23</v>
      </c>
      <c r="BA3" t="s">
        <v>26</v>
      </c>
    </row>
    <row r="4" spans="1:73">
      <c r="A4" t="s">
        <v>189</v>
      </c>
      <c r="B4">
        <v>1</v>
      </c>
      <c r="C4" t="s">
        <v>190</v>
      </c>
      <c r="D4" t="s">
        <v>190</v>
      </c>
      <c r="E4" t="s">
        <v>190</v>
      </c>
      <c r="F4" t="s">
        <v>190</v>
      </c>
      <c r="G4" t="s">
        <v>190</v>
      </c>
      <c r="H4" t="s">
        <v>190</v>
      </c>
      <c r="I4" t="s">
        <v>190</v>
      </c>
      <c r="J4" t="s">
        <v>190</v>
      </c>
      <c r="K4" t="s">
        <v>190</v>
      </c>
      <c r="L4" t="s">
        <v>190</v>
      </c>
      <c r="M4" t="s">
        <v>190</v>
      </c>
      <c r="N4" t="s">
        <v>190</v>
      </c>
      <c r="O4" t="s">
        <v>190</v>
      </c>
      <c r="P4" t="s">
        <v>190</v>
      </c>
      <c r="Q4" t="s">
        <v>190</v>
      </c>
      <c r="R4" t="s">
        <v>190</v>
      </c>
      <c r="S4" t="s">
        <v>190</v>
      </c>
      <c r="T4" t="s">
        <v>190</v>
      </c>
      <c r="U4" t="s">
        <v>190</v>
      </c>
      <c r="V4" t="s">
        <v>190</v>
      </c>
      <c r="W4" t="s">
        <v>190</v>
      </c>
      <c r="X4" t="s">
        <v>190</v>
      </c>
      <c r="Y4" t="s">
        <v>190</v>
      </c>
      <c r="Z4" t="s">
        <v>190</v>
      </c>
      <c r="AA4" t="s">
        <v>190</v>
      </c>
      <c r="AB4" t="s">
        <v>190</v>
      </c>
      <c r="AC4" t="s">
        <v>190</v>
      </c>
      <c r="AD4" t="s">
        <v>190</v>
      </c>
      <c r="AE4" t="s">
        <v>190</v>
      </c>
      <c r="AF4" t="s">
        <v>190</v>
      </c>
      <c r="AG4" t="s">
        <v>190</v>
      </c>
      <c r="AH4" t="s">
        <v>190</v>
      </c>
      <c r="AI4" t="s">
        <v>190</v>
      </c>
      <c r="AJ4" t="s">
        <v>190</v>
      </c>
      <c r="AK4" t="s">
        <v>190</v>
      </c>
      <c r="AL4" t="s">
        <v>190</v>
      </c>
      <c r="AM4" t="s">
        <v>190</v>
      </c>
      <c r="AN4" t="s">
        <v>190</v>
      </c>
      <c r="AO4" t="s">
        <v>190</v>
      </c>
      <c r="AP4" t="s">
        <v>190</v>
      </c>
      <c r="AQ4" t="s">
        <v>190</v>
      </c>
      <c r="AR4" t="s">
        <v>190</v>
      </c>
      <c r="AS4" t="s">
        <v>190</v>
      </c>
      <c r="AT4" t="s">
        <v>190</v>
      </c>
      <c r="AU4" t="s">
        <v>190</v>
      </c>
      <c r="AV4" t="s">
        <v>190</v>
      </c>
      <c r="AW4" t="s">
        <v>190</v>
      </c>
      <c r="AX4" t="s">
        <v>190</v>
      </c>
      <c r="AY4" t="s">
        <v>190</v>
      </c>
      <c r="AZ4" t="s">
        <v>190</v>
      </c>
      <c r="BA4" t="s">
        <v>205</v>
      </c>
      <c r="BB4" t="s">
        <v>206</v>
      </c>
      <c r="BC4" t="s">
        <v>207</v>
      </c>
      <c r="BD4" t="s">
        <v>208</v>
      </c>
      <c r="BE4" t="s">
        <v>209</v>
      </c>
      <c r="BF4" t="s">
        <v>210</v>
      </c>
      <c r="BG4" t="s">
        <v>211</v>
      </c>
      <c r="BH4" t="s">
        <v>212</v>
      </c>
      <c r="BI4" t="s">
        <v>212</v>
      </c>
      <c r="BJ4" t="s">
        <v>212</v>
      </c>
      <c r="BK4" t="s">
        <v>212</v>
      </c>
      <c r="BL4" t="s">
        <v>212</v>
      </c>
      <c r="BM4" t="s">
        <v>212</v>
      </c>
      <c r="BN4" t="s">
        <v>212</v>
      </c>
      <c r="BO4" t="s">
        <v>212</v>
      </c>
      <c r="BP4" t="s">
        <v>212</v>
      </c>
      <c r="BQ4" t="s">
        <v>212</v>
      </c>
      <c r="BR4" t="s">
        <v>212</v>
      </c>
      <c r="BS4" t="s">
        <v>212</v>
      </c>
      <c r="BT4" t="s">
        <v>212</v>
      </c>
      <c r="BU4" t="s">
        <v>212</v>
      </c>
    </row>
    <row r="5" spans="1:73">
      <c r="B5">
        <v>2</v>
      </c>
      <c r="C5" t="s">
        <v>213</v>
      </c>
      <c r="D5" t="s">
        <v>214</v>
      </c>
      <c r="E5" t="s">
        <v>215</v>
      </c>
      <c r="F5" t="s">
        <v>216</v>
      </c>
      <c r="G5" t="s">
        <v>217</v>
      </c>
      <c r="H5" t="s">
        <v>218</v>
      </c>
      <c r="I5" t="s">
        <v>219</v>
      </c>
      <c r="J5" t="s">
        <v>220</v>
      </c>
      <c r="K5" t="s">
        <v>221</v>
      </c>
      <c r="L5" t="s">
        <v>209</v>
      </c>
      <c r="M5" t="s">
        <v>222</v>
      </c>
      <c r="N5" t="s">
        <v>223</v>
      </c>
      <c r="O5" t="s">
        <v>210</v>
      </c>
      <c r="P5" t="s">
        <v>224</v>
      </c>
      <c r="Q5" t="s">
        <v>225</v>
      </c>
      <c r="R5" t="s">
        <v>212</v>
      </c>
      <c r="S5" t="s">
        <v>212</v>
      </c>
      <c r="V5" t="s">
        <v>226</v>
      </c>
      <c r="W5" t="s">
        <v>227</v>
      </c>
      <c r="X5" t="s">
        <v>228</v>
      </c>
      <c r="Y5" t="s">
        <v>211</v>
      </c>
      <c r="Z5" t="s">
        <v>229</v>
      </c>
      <c r="AA5" t="s">
        <v>230</v>
      </c>
      <c r="AB5" t="s">
        <v>231</v>
      </c>
      <c r="AC5" t="s">
        <v>232</v>
      </c>
      <c r="AD5" t="s">
        <v>233</v>
      </c>
      <c r="AE5" t="s">
        <v>234</v>
      </c>
      <c r="AF5" t="s">
        <v>206</v>
      </c>
      <c r="AG5" t="s">
        <v>235</v>
      </c>
      <c r="AH5" t="s">
        <v>236</v>
      </c>
      <c r="AI5" t="s">
        <v>208</v>
      </c>
      <c r="AJ5" t="s">
        <v>212</v>
      </c>
      <c r="AK5" t="s">
        <v>212</v>
      </c>
      <c r="AL5" t="s">
        <v>212</v>
      </c>
      <c r="AM5" t="s">
        <v>237</v>
      </c>
      <c r="AN5" t="s">
        <v>238</v>
      </c>
      <c r="AO5" t="s">
        <v>239</v>
      </c>
      <c r="AP5" t="s">
        <v>240</v>
      </c>
      <c r="AQ5" t="s">
        <v>241</v>
      </c>
      <c r="AR5" t="s">
        <v>242</v>
      </c>
      <c r="AS5" t="s">
        <v>243</v>
      </c>
      <c r="AT5" t="s">
        <v>244</v>
      </c>
      <c r="AU5" t="s">
        <v>245</v>
      </c>
      <c r="AV5" t="s">
        <v>246</v>
      </c>
      <c r="AW5" t="s">
        <v>247</v>
      </c>
      <c r="AX5" t="s">
        <v>248</v>
      </c>
      <c r="AY5" t="s">
        <v>249</v>
      </c>
      <c r="AZ5" t="s">
        <v>250</v>
      </c>
      <c r="BA5" t="s">
        <v>251</v>
      </c>
    </row>
    <row r="6" spans="1:73">
      <c r="B6">
        <v>3</v>
      </c>
      <c r="C6" t="s">
        <v>232</v>
      </c>
      <c r="D6" t="s">
        <v>220</v>
      </c>
      <c r="E6" t="s">
        <v>213</v>
      </c>
      <c r="F6" t="s">
        <v>252</v>
      </c>
      <c r="G6" t="s">
        <v>217</v>
      </c>
      <c r="H6" t="s">
        <v>253</v>
      </c>
      <c r="I6" t="s">
        <v>225</v>
      </c>
      <c r="J6" t="s">
        <v>245</v>
      </c>
      <c r="K6" t="s">
        <v>221</v>
      </c>
      <c r="L6" t="s">
        <v>254</v>
      </c>
      <c r="M6" t="s">
        <v>255</v>
      </c>
      <c r="N6" t="s">
        <v>223</v>
      </c>
      <c r="O6" t="s">
        <v>222</v>
      </c>
      <c r="P6" t="s">
        <v>224</v>
      </c>
      <c r="Q6" t="s">
        <v>209</v>
      </c>
      <c r="R6" t="s">
        <v>212</v>
      </c>
      <c r="S6" t="s">
        <v>212</v>
      </c>
      <c r="V6" t="s">
        <v>242</v>
      </c>
      <c r="W6" t="s">
        <v>229</v>
      </c>
      <c r="X6" t="s">
        <v>233</v>
      </c>
      <c r="Y6" t="s">
        <v>228</v>
      </c>
      <c r="Z6" t="s">
        <v>256</v>
      </c>
      <c r="AA6" t="s">
        <v>238</v>
      </c>
      <c r="AB6" t="s">
        <v>235</v>
      </c>
      <c r="AC6" t="s">
        <v>226</v>
      </c>
      <c r="AD6" t="s">
        <v>214</v>
      </c>
      <c r="AE6" t="s">
        <v>257</v>
      </c>
      <c r="AF6" t="s">
        <v>247</v>
      </c>
      <c r="AG6" t="s">
        <v>248</v>
      </c>
      <c r="AH6" t="s">
        <v>219</v>
      </c>
      <c r="AI6" t="s">
        <v>258</v>
      </c>
      <c r="AJ6" t="s">
        <v>212</v>
      </c>
      <c r="AK6" t="s">
        <v>212</v>
      </c>
      <c r="AL6" t="s">
        <v>212</v>
      </c>
      <c r="AM6" t="s">
        <v>243</v>
      </c>
      <c r="AN6" t="s">
        <v>251</v>
      </c>
      <c r="AO6" t="s">
        <v>218</v>
      </c>
      <c r="AP6" t="s">
        <v>250</v>
      </c>
      <c r="AQ6" t="s">
        <v>241</v>
      </c>
      <c r="AR6" t="s">
        <v>211</v>
      </c>
      <c r="AS6" t="s">
        <v>206</v>
      </c>
      <c r="AT6" t="s">
        <v>227</v>
      </c>
      <c r="AU6" t="s">
        <v>208</v>
      </c>
      <c r="AV6" t="s">
        <v>210</v>
      </c>
      <c r="AW6" t="s">
        <v>244</v>
      </c>
      <c r="AX6" t="s">
        <v>216</v>
      </c>
      <c r="AY6" t="s">
        <v>249</v>
      </c>
      <c r="AZ6" t="s">
        <v>237</v>
      </c>
      <c r="BA6" t="s">
        <v>246</v>
      </c>
    </row>
    <row r="7" spans="1:73">
      <c r="B7">
        <v>4</v>
      </c>
      <c r="C7" t="s">
        <v>219</v>
      </c>
      <c r="D7" t="s">
        <v>259</v>
      </c>
      <c r="E7" t="s">
        <v>223</v>
      </c>
      <c r="F7" t="s">
        <v>225</v>
      </c>
      <c r="G7" t="s">
        <v>230</v>
      </c>
      <c r="H7" t="s">
        <v>253</v>
      </c>
      <c r="I7" t="s">
        <v>251</v>
      </c>
      <c r="J7" t="s">
        <v>245</v>
      </c>
      <c r="K7" t="s">
        <v>224</v>
      </c>
      <c r="L7" t="s">
        <v>254</v>
      </c>
      <c r="M7" t="s">
        <v>249</v>
      </c>
      <c r="N7" t="s">
        <v>228</v>
      </c>
      <c r="O7" t="s">
        <v>218</v>
      </c>
      <c r="P7" t="s">
        <v>236</v>
      </c>
      <c r="Q7" t="s">
        <v>209</v>
      </c>
      <c r="R7" t="s">
        <v>212</v>
      </c>
      <c r="S7" t="s">
        <v>212</v>
      </c>
      <c r="V7" t="s">
        <v>243</v>
      </c>
      <c r="W7" t="s">
        <v>229</v>
      </c>
      <c r="X7" t="s">
        <v>213</v>
      </c>
      <c r="Y7" t="s">
        <v>247</v>
      </c>
      <c r="Z7" t="s">
        <v>240</v>
      </c>
      <c r="AA7" t="s">
        <v>232</v>
      </c>
      <c r="AB7" t="s">
        <v>222</v>
      </c>
      <c r="AC7" t="s">
        <v>244</v>
      </c>
      <c r="AD7" t="s">
        <v>214</v>
      </c>
      <c r="AE7" t="s">
        <v>257</v>
      </c>
      <c r="AF7" t="s">
        <v>241</v>
      </c>
      <c r="AG7" t="s">
        <v>227</v>
      </c>
      <c r="AH7" t="s">
        <v>234</v>
      </c>
      <c r="AI7" t="s">
        <v>258</v>
      </c>
      <c r="AJ7" t="s">
        <v>212</v>
      </c>
      <c r="AK7" t="s">
        <v>212</v>
      </c>
      <c r="AL7" t="s">
        <v>212</v>
      </c>
      <c r="AM7" t="s">
        <v>260</v>
      </c>
      <c r="AN7" t="s">
        <v>231</v>
      </c>
      <c r="AO7" t="s">
        <v>221</v>
      </c>
      <c r="AP7" t="s">
        <v>217</v>
      </c>
      <c r="AQ7" t="s">
        <v>261</v>
      </c>
      <c r="AR7" t="s">
        <v>226</v>
      </c>
      <c r="AS7" t="s">
        <v>206</v>
      </c>
      <c r="AT7" t="s">
        <v>238</v>
      </c>
      <c r="AU7" t="s">
        <v>208</v>
      </c>
      <c r="AV7" t="s">
        <v>237</v>
      </c>
      <c r="AW7" t="s">
        <v>262</v>
      </c>
      <c r="AX7" t="s">
        <v>263</v>
      </c>
      <c r="AY7" t="s">
        <v>264</v>
      </c>
      <c r="AZ7" t="s">
        <v>220</v>
      </c>
      <c r="BA7" t="s">
        <v>246</v>
      </c>
    </row>
    <row r="8" spans="1:73">
      <c r="B8">
        <v>5</v>
      </c>
      <c r="C8" t="s">
        <v>212</v>
      </c>
      <c r="D8" t="s">
        <v>212</v>
      </c>
      <c r="E8" t="s">
        <v>212</v>
      </c>
      <c r="F8" t="s">
        <v>212</v>
      </c>
      <c r="G8" t="s">
        <v>212</v>
      </c>
      <c r="H8" t="s">
        <v>212</v>
      </c>
      <c r="I8" t="s">
        <v>212</v>
      </c>
      <c r="J8" t="s">
        <v>212</v>
      </c>
      <c r="K8" t="s">
        <v>212</v>
      </c>
      <c r="L8" t="s">
        <v>212</v>
      </c>
      <c r="M8" t="s">
        <v>212</v>
      </c>
      <c r="N8" t="s">
        <v>212</v>
      </c>
      <c r="O8" t="s">
        <v>212</v>
      </c>
      <c r="P8" t="s">
        <v>212</v>
      </c>
      <c r="Q8" t="s">
        <v>212</v>
      </c>
      <c r="R8" t="s">
        <v>212</v>
      </c>
      <c r="S8" t="s">
        <v>212</v>
      </c>
      <c r="V8" t="s">
        <v>212</v>
      </c>
      <c r="W8" t="s">
        <v>212</v>
      </c>
      <c r="X8" t="s">
        <v>212</v>
      </c>
      <c r="Y8" t="s">
        <v>212</v>
      </c>
      <c r="Z8" t="s">
        <v>212</v>
      </c>
      <c r="AA8" t="s">
        <v>212</v>
      </c>
      <c r="AB8" t="s">
        <v>212</v>
      </c>
      <c r="AC8" t="s">
        <v>212</v>
      </c>
      <c r="AD8" t="s">
        <v>212</v>
      </c>
      <c r="AE8" t="s">
        <v>212</v>
      </c>
      <c r="AF8" t="s">
        <v>212</v>
      </c>
      <c r="AG8" t="s">
        <v>212</v>
      </c>
      <c r="AH8" t="s">
        <v>212</v>
      </c>
      <c r="AI8" t="s">
        <v>212</v>
      </c>
      <c r="AJ8" t="s">
        <v>212</v>
      </c>
      <c r="AK8" t="s">
        <v>212</v>
      </c>
      <c r="AL8" t="s">
        <v>212</v>
      </c>
      <c r="AM8" t="s">
        <v>212</v>
      </c>
      <c r="AN8" t="s">
        <v>212</v>
      </c>
      <c r="AO8" t="s">
        <v>212</v>
      </c>
      <c r="AP8" t="s">
        <v>212</v>
      </c>
      <c r="AQ8" t="s">
        <v>212</v>
      </c>
      <c r="AR8" t="s">
        <v>212</v>
      </c>
      <c r="AS8" t="s">
        <v>212</v>
      </c>
      <c r="AT8" t="s">
        <v>212</v>
      </c>
      <c r="AU8" t="s">
        <v>212</v>
      </c>
      <c r="AV8" t="s">
        <v>212</v>
      </c>
      <c r="AW8" t="s">
        <v>212</v>
      </c>
      <c r="AX8" t="s">
        <v>212</v>
      </c>
      <c r="AY8" t="s">
        <v>212</v>
      </c>
      <c r="AZ8" t="s">
        <v>212</v>
      </c>
      <c r="BA8" t="s">
        <v>212</v>
      </c>
    </row>
    <row r="9" spans="1:73">
      <c r="A9" t="s">
        <v>191</v>
      </c>
      <c r="B9">
        <v>1</v>
      </c>
      <c r="C9" t="s">
        <v>213</v>
      </c>
      <c r="D9" t="s">
        <v>228</v>
      </c>
      <c r="E9" t="s">
        <v>252</v>
      </c>
      <c r="F9" t="s">
        <v>265</v>
      </c>
      <c r="G9" t="s">
        <v>245</v>
      </c>
      <c r="H9" t="s">
        <v>266</v>
      </c>
      <c r="I9" t="s">
        <v>267</v>
      </c>
      <c r="J9" t="s">
        <v>268</v>
      </c>
      <c r="K9" t="s">
        <v>230</v>
      </c>
      <c r="L9" t="s">
        <v>269</v>
      </c>
      <c r="M9" t="s">
        <v>270</v>
      </c>
      <c r="N9" t="s">
        <v>271</v>
      </c>
      <c r="O9" t="s">
        <v>272</v>
      </c>
      <c r="P9" t="s">
        <v>224</v>
      </c>
      <c r="Q9" t="s">
        <v>215</v>
      </c>
      <c r="R9" t="s">
        <v>212</v>
      </c>
      <c r="S9" t="s">
        <v>212</v>
      </c>
      <c r="V9" t="s">
        <v>273</v>
      </c>
      <c r="W9" t="s">
        <v>274</v>
      </c>
      <c r="X9" t="s">
        <v>238</v>
      </c>
      <c r="Y9" t="s">
        <v>260</v>
      </c>
      <c r="Z9" t="s">
        <v>219</v>
      </c>
      <c r="AA9" t="s">
        <v>275</v>
      </c>
      <c r="AB9" t="s">
        <v>247</v>
      </c>
      <c r="AC9" t="s">
        <v>232</v>
      </c>
      <c r="AD9" t="s">
        <v>239</v>
      </c>
      <c r="AE9" t="s">
        <v>264</v>
      </c>
      <c r="AF9" t="s">
        <v>241</v>
      </c>
      <c r="AG9" t="s">
        <v>276</v>
      </c>
      <c r="AH9" t="s">
        <v>277</v>
      </c>
      <c r="AI9" t="s">
        <v>235</v>
      </c>
      <c r="AJ9" t="s">
        <v>212</v>
      </c>
      <c r="AK9" t="s">
        <v>212</v>
      </c>
      <c r="AL9" t="s">
        <v>212</v>
      </c>
      <c r="AM9" t="s">
        <v>218</v>
      </c>
      <c r="AN9" t="s">
        <v>231</v>
      </c>
      <c r="AO9" t="s">
        <v>278</v>
      </c>
      <c r="AP9" t="s">
        <v>217</v>
      </c>
      <c r="AQ9" t="s">
        <v>254</v>
      </c>
      <c r="AR9" t="s">
        <v>255</v>
      </c>
      <c r="AS9" t="s">
        <v>263</v>
      </c>
      <c r="AT9" t="s">
        <v>244</v>
      </c>
      <c r="AU9" t="s">
        <v>227</v>
      </c>
      <c r="AV9" t="s">
        <v>229</v>
      </c>
      <c r="AW9" t="s">
        <v>240</v>
      </c>
      <c r="AX9" t="s">
        <v>262</v>
      </c>
      <c r="AY9" t="s">
        <v>279</v>
      </c>
      <c r="AZ9" t="s">
        <v>216</v>
      </c>
      <c r="BA9" t="s">
        <v>242</v>
      </c>
    </row>
    <row r="10" spans="1:73">
      <c r="A10" t="s">
        <v>192</v>
      </c>
      <c r="B10">
        <v>2</v>
      </c>
      <c r="C10" t="s">
        <v>213</v>
      </c>
      <c r="D10" t="s">
        <v>280</v>
      </c>
      <c r="E10" t="s">
        <v>255</v>
      </c>
      <c r="F10" t="e">
        <v>#N/A</v>
      </c>
      <c r="G10" t="s">
        <v>267</v>
      </c>
      <c r="H10" t="s">
        <v>266</v>
      </c>
      <c r="I10" t="s">
        <v>219</v>
      </c>
      <c r="J10" t="s">
        <v>272</v>
      </c>
      <c r="K10" t="s">
        <v>274</v>
      </c>
      <c r="L10" t="s">
        <v>271</v>
      </c>
      <c r="M10" t="s">
        <v>281</v>
      </c>
      <c r="N10" t="s">
        <v>259</v>
      </c>
      <c r="O10" t="s">
        <v>269</v>
      </c>
      <c r="P10" t="s">
        <v>224</v>
      </c>
      <c r="Q10" t="s">
        <v>215</v>
      </c>
      <c r="R10" t="s">
        <v>212</v>
      </c>
      <c r="S10" t="s">
        <v>212</v>
      </c>
      <c r="V10" t="s">
        <v>242</v>
      </c>
      <c r="W10" t="s">
        <v>273</v>
      </c>
      <c r="X10" t="s">
        <v>268</v>
      </c>
      <c r="Y10" t="s">
        <v>260</v>
      </c>
      <c r="Z10" t="s">
        <v>282</v>
      </c>
      <c r="AA10" t="s">
        <v>275</v>
      </c>
      <c r="AB10" t="s">
        <v>264</v>
      </c>
      <c r="AC10" t="s">
        <v>232</v>
      </c>
      <c r="AD10" t="s">
        <v>233</v>
      </c>
      <c r="AE10" t="s">
        <v>244</v>
      </c>
      <c r="AF10" t="s">
        <v>241</v>
      </c>
      <c r="AG10" t="s">
        <v>276</v>
      </c>
      <c r="AH10" t="s">
        <v>277</v>
      </c>
      <c r="AI10" t="s">
        <v>235</v>
      </c>
      <c r="AJ10" t="s">
        <v>212</v>
      </c>
      <c r="AK10" t="s">
        <v>212</v>
      </c>
      <c r="AL10" t="s">
        <v>212</v>
      </c>
      <c r="AM10" t="s">
        <v>218</v>
      </c>
      <c r="AN10" t="s">
        <v>238</v>
      </c>
      <c r="AO10" t="s">
        <v>278</v>
      </c>
      <c r="AP10" t="s">
        <v>240</v>
      </c>
      <c r="AQ10" t="s">
        <v>254</v>
      </c>
      <c r="AR10" t="s">
        <v>226</v>
      </c>
      <c r="AS10" t="s">
        <v>263</v>
      </c>
      <c r="AT10" t="s">
        <v>229</v>
      </c>
      <c r="AU10" t="s">
        <v>217</v>
      </c>
      <c r="AV10" t="s">
        <v>245</v>
      </c>
      <c r="AW10" t="s">
        <v>247</v>
      </c>
      <c r="AX10" t="s">
        <v>248</v>
      </c>
      <c r="AY10" t="s">
        <v>279</v>
      </c>
      <c r="AZ10" t="s">
        <v>216</v>
      </c>
      <c r="BA10" t="s">
        <v>270</v>
      </c>
    </row>
    <row r="11" spans="1:73">
      <c r="A11" t="s">
        <v>191</v>
      </c>
      <c r="B11">
        <v>3</v>
      </c>
      <c r="C11" t="s">
        <v>278</v>
      </c>
      <c r="D11" t="s">
        <v>283</v>
      </c>
      <c r="E11" t="s">
        <v>213</v>
      </c>
      <c r="F11" t="e">
        <v>#N/A</v>
      </c>
      <c r="G11" t="s">
        <v>230</v>
      </c>
      <c r="H11" t="s">
        <v>216</v>
      </c>
      <c r="I11" t="s">
        <v>219</v>
      </c>
      <c r="J11" t="s">
        <v>263</v>
      </c>
      <c r="K11" t="s">
        <v>235</v>
      </c>
      <c r="L11" t="s">
        <v>271</v>
      </c>
      <c r="M11" t="s">
        <v>255</v>
      </c>
      <c r="N11" t="s">
        <v>228</v>
      </c>
      <c r="O11" t="s">
        <v>267</v>
      </c>
      <c r="P11" t="s">
        <v>232</v>
      </c>
      <c r="Q11" t="s">
        <v>277</v>
      </c>
      <c r="R11" t="s">
        <v>212</v>
      </c>
      <c r="S11" t="s">
        <v>212</v>
      </c>
      <c r="V11" t="s">
        <v>242</v>
      </c>
      <c r="W11" t="s">
        <v>284</v>
      </c>
      <c r="X11" t="s">
        <v>268</v>
      </c>
      <c r="Y11" t="s">
        <v>266</v>
      </c>
      <c r="Z11" t="s">
        <v>269</v>
      </c>
      <c r="AA11" t="s">
        <v>238</v>
      </c>
      <c r="AB11" t="s">
        <v>231</v>
      </c>
      <c r="AC11" t="s">
        <v>244</v>
      </c>
      <c r="AD11" t="s">
        <v>274</v>
      </c>
      <c r="AE11" t="s">
        <v>247</v>
      </c>
      <c r="AF11" t="s">
        <v>273</v>
      </c>
      <c r="AG11" t="s">
        <v>239</v>
      </c>
      <c r="AH11" t="s">
        <v>227</v>
      </c>
      <c r="AI11" t="s">
        <v>276</v>
      </c>
      <c r="AJ11" t="s">
        <v>212</v>
      </c>
      <c r="AK11" t="s">
        <v>212</v>
      </c>
      <c r="AL11" t="s">
        <v>212</v>
      </c>
      <c r="AM11" t="s">
        <v>260</v>
      </c>
      <c r="AN11" t="s">
        <v>215</v>
      </c>
      <c r="AO11" t="s">
        <v>210</v>
      </c>
      <c r="AP11" t="s">
        <v>240</v>
      </c>
      <c r="AQ11" t="s">
        <v>241</v>
      </c>
      <c r="AR11" t="s">
        <v>226</v>
      </c>
      <c r="AS11" t="s">
        <v>275</v>
      </c>
      <c r="AT11" t="s">
        <v>229</v>
      </c>
      <c r="AU11" t="s">
        <v>245</v>
      </c>
      <c r="AV11" t="s">
        <v>258</v>
      </c>
      <c r="AW11" t="e">
        <v>#N/A</v>
      </c>
      <c r="AX11" t="s">
        <v>248</v>
      </c>
      <c r="AY11" t="s">
        <v>233</v>
      </c>
      <c r="AZ11" t="s">
        <v>218</v>
      </c>
      <c r="BA11" t="s">
        <v>251</v>
      </c>
    </row>
    <row r="12" spans="1:73">
      <c r="B12">
        <v>4</v>
      </c>
      <c r="C12" t="s">
        <v>219</v>
      </c>
      <c r="D12" t="s">
        <v>259</v>
      </c>
      <c r="E12" t="s">
        <v>213</v>
      </c>
      <c r="F12" t="s">
        <v>251</v>
      </c>
      <c r="G12" t="s">
        <v>278</v>
      </c>
      <c r="H12" t="s">
        <v>216</v>
      </c>
      <c r="I12" t="s">
        <v>266</v>
      </c>
      <c r="J12" t="s">
        <v>217</v>
      </c>
      <c r="K12" t="s">
        <v>224</v>
      </c>
      <c r="L12" t="s">
        <v>235</v>
      </c>
      <c r="M12" t="s">
        <v>283</v>
      </c>
      <c r="N12" t="s">
        <v>228</v>
      </c>
      <c r="O12" t="s">
        <v>210</v>
      </c>
      <c r="P12" t="s">
        <v>232</v>
      </c>
      <c r="Q12" t="s">
        <v>277</v>
      </c>
      <c r="R12" t="s">
        <v>212</v>
      </c>
      <c r="S12" t="s">
        <v>212</v>
      </c>
      <c r="V12" t="s">
        <v>261</v>
      </c>
      <c r="W12" t="s">
        <v>267</v>
      </c>
      <c r="X12" t="s">
        <v>233</v>
      </c>
      <c r="Y12" t="s">
        <v>268</v>
      </c>
      <c r="Z12" t="s">
        <v>229</v>
      </c>
      <c r="AA12" t="s">
        <v>230</v>
      </c>
      <c r="AB12" t="s">
        <v>231</v>
      </c>
      <c r="AC12" t="s">
        <v>244</v>
      </c>
      <c r="AD12" t="s">
        <v>274</v>
      </c>
      <c r="AE12" t="s">
        <v>257</v>
      </c>
      <c r="AF12" t="s">
        <v>273</v>
      </c>
      <c r="AG12" t="s">
        <v>239</v>
      </c>
      <c r="AH12" t="s">
        <v>247</v>
      </c>
      <c r="AI12" t="s">
        <v>269</v>
      </c>
      <c r="AJ12" t="s">
        <v>212</v>
      </c>
      <c r="AK12" t="s">
        <v>212</v>
      </c>
      <c r="AL12" t="s">
        <v>212</v>
      </c>
      <c r="AM12" t="s">
        <v>271</v>
      </c>
      <c r="AN12" t="s">
        <v>215</v>
      </c>
      <c r="AO12" t="s">
        <v>226</v>
      </c>
      <c r="AP12" t="s">
        <v>242</v>
      </c>
      <c r="AQ12" t="s">
        <v>248</v>
      </c>
      <c r="AR12" t="s">
        <v>252</v>
      </c>
      <c r="AS12" t="s">
        <v>275</v>
      </c>
      <c r="AT12" t="s">
        <v>276</v>
      </c>
      <c r="AU12" t="s">
        <v>245</v>
      </c>
      <c r="AV12" t="s">
        <v>258</v>
      </c>
      <c r="AW12" t="e">
        <v>#N/A</v>
      </c>
      <c r="AX12" t="s">
        <v>263</v>
      </c>
      <c r="AY12" t="s">
        <v>264</v>
      </c>
      <c r="AZ12" t="s">
        <v>218</v>
      </c>
      <c r="BA12" t="s">
        <v>238</v>
      </c>
    </row>
    <row r="13" spans="1:73">
      <c r="B13">
        <v>5</v>
      </c>
      <c r="C13" t="s">
        <v>212</v>
      </c>
      <c r="D13" t="s">
        <v>212</v>
      </c>
      <c r="E13" t="s">
        <v>212</v>
      </c>
      <c r="F13" t="s">
        <v>212</v>
      </c>
      <c r="G13" t="s">
        <v>212</v>
      </c>
      <c r="H13" t="s">
        <v>212</v>
      </c>
      <c r="I13" t="s">
        <v>212</v>
      </c>
      <c r="J13" t="s">
        <v>212</v>
      </c>
      <c r="K13" t="s">
        <v>212</v>
      </c>
      <c r="L13" t="s">
        <v>212</v>
      </c>
      <c r="M13" t="s">
        <v>212</v>
      </c>
      <c r="N13" t="s">
        <v>212</v>
      </c>
      <c r="O13" t="s">
        <v>212</v>
      </c>
      <c r="P13" t="s">
        <v>212</v>
      </c>
      <c r="Q13" t="s">
        <v>212</v>
      </c>
      <c r="R13" t="s">
        <v>212</v>
      </c>
      <c r="S13" t="s">
        <v>212</v>
      </c>
      <c r="V13" t="s">
        <v>212</v>
      </c>
      <c r="W13" t="s">
        <v>212</v>
      </c>
      <c r="X13" t="s">
        <v>212</v>
      </c>
      <c r="Y13" t="s">
        <v>212</v>
      </c>
      <c r="Z13" t="s">
        <v>212</v>
      </c>
      <c r="AA13" t="s">
        <v>212</v>
      </c>
      <c r="AB13" t="s">
        <v>212</v>
      </c>
      <c r="AC13" t="s">
        <v>212</v>
      </c>
      <c r="AD13" t="s">
        <v>212</v>
      </c>
      <c r="AE13" t="s">
        <v>212</v>
      </c>
      <c r="AF13" t="s">
        <v>212</v>
      </c>
      <c r="AG13" t="s">
        <v>212</v>
      </c>
      <c r="AH13" t="s">
        <v>212</v>
      </c>
      <c r="AI13" t="s">
        <v>212</v>
      </c>
      <c r="AJ13" t="s">
        <v>212</v>
      </c>
      <c r="AK13" t="s">
        <v>212</v>
      </c>
      <c r="AL13" t="s">
        <v>212</v>
      </c>
      <c r="AM13" t="s">
        <v>212</v>
      </c>
      <c r="AN13" t="s">
        <v>212</v>
      </c>
      <c r="AO13" t="s">
        <v>212</v>
      </c>
      <c r="AP13" t="s">
        <v>212</v>
      </c>
      <c r="AQ13" t="s">
        <v>212</v>
      </c>
      <c r="AR13" t="s">
        <v>212</v>
      </c>
      <c r="AS13" t="s">
        <v>212</v>
      </c>
      <c r="AT13" t="s">
        <v>212</v>
      </c>
      <c r="AU13" t="s">
        <v>212</v>
      </c>
      <c r="AV13" t="s">
        <v>212</v>
      </c>
      <c r="AW13" t="s">
        <v>212</v>
      </c>
      <c r="AX13" t="s">
        <v>212</v>
      </c>
      <c r="AY13" t="s">
        <v>212</v>
      </c>
      <c r="AZ13" t="s">
        <v>212</v>
      </c>
      <c r="BA13" t="s">
        <v>212</v>
      </c>
    </row>
    <row r="14" spans="1:73">
      <c r="A14" t="s">
        <v>193</v>
      </c>
      <c r="B14">
        <v>1</v>
      </c>
      <c r="C14" t="s">
        <v>228</v>
      </c>
      <c r="D14" t="s">
        <v>214</v>
      </c>
      <c r="E14" t="s">
        <v>223</v>
      </c>
      <c r="F14" t="s">
        <v>268</v>
      </c>
      <c r="G14" t="s">
        <v>277</v>
      </c>
      <c r="H14" t="s">
        <v>285</v>
      </c>
      <c r="I14" t="s">
        <v>225</v>
      </c>
      <c r="J14" t="s">
        <v>286</v>
      </c>
      <c r="K14" t="s">
        <v>287</v>
      </c>
      <c r="L14" t="s">
        <v>209</v>
      </c>
      <c r="M14" t="s">
        <v>288</v>
      </c>
      <c r="N14" t="s">
        <v>270</v>
      </c>
      <c r="O14" t="s">
        <v>272</v>
      </c>
      <c r="P14" t="s">
        <v>236</v>
      </c>
      <c r="Q14" t="s">
        <v>210</v>
      </c>
      <c r="R14" t="s">
        <v>212</v>
      </c>
      <c r="S14" t="s">
        <v>212</v>
      </c>
      <c r="V14" t="s">
        <v>256</v>
      </c>
      <c r="W14" t="s">
        <v>227</v>
      </c>
      <c r="X14" t="s">
        <v>228</v>
      </c>
      <c r="Y14" t="s">
        <v>289</v>
      </c>
      <c r="Z14" t="s">
        <v>290</v>
      </c>
      <c r="AA14" t="s">
        <v>291</v>
      </c>
      <c r="AB14" t="s">
        <v>258</v>
      </c>
      <c r="AC14" t="s">
        <v>292</v>
      </c>
      <c r="AD14" t="s">
        <v>293</v>
      </c>
      <c r="AE14" t="s">
        <v>276</v>
      </c>
      <c r="AF14" t="s">
        <v>274</v>
      </c>
      <c r="AG14" t="s">
        <v>253</v>
      </c>
      <c r="AH14" t="s">
        <v>294</v>
      </c>
      <c r="AI14" t="s">
        <v>269</v>
      </c>
      <c r="AJ14" t="s">
        <v>212</v>
      </c>
      <c r="AK14" t="s">
        <v>212</v>
      </c>
      <c r="AL14" t="s">
        <v>212</v>
      </c>
      <c r="AM14" t="s">
        <v>265</v>
      </c>
      <c r="AN14" t="s">
        <v>275</v>
      </c>
      <c r="AO14" t="s">
        <v>221</v>
      </c>
      <c r="AP14" t="s">
        <v>284</v>
      </c>
      <c r="AQ14" t="s">
        <v>261</v>
      </c>
      <c r="AR14" t="s">
        <v>211</v>
      </c>
      <c r="AS14" t="s">
        <v>295</v>
      </c>
      <c r="AT14" t="s">
        <v>250</v>
      </c>
      <c r="AU14" t="s">
        <v>208</v>
      </c>
      <c r="AV14" t="s">
        <v>234</v>
      </c>
      <c r="AW14" t="s">
        <v>263</v>
      </c>
      <c r="AX14" t="s">
        <v>267</v>
      </c>
      <c r="AY14" t="s">
        <v>249</v>
      </c>
      <c r="AZ14" t="s">
        <v>237</v>
      </c>
      <c r="BA14" t="s">
        <v>246</v>
      </c>
    </row>
    <row r="15" spans="1:73">
      <c r="A15" t="s">
        <v>192</v>
      </c>
      <c r="B15">
        <v>2</v>
      </c>
      <c r="C15" t="s">
        <v>267</v>
      </c>
      <c r="D15" t="s">
        <v>265</v>
      </c>
      <c r="E15" t="s">
        <v>223</v>
      </c>
      <c r="F15" t="s">
        <v>236</v>
      </c>
      <c r="G15" t="s">
        <v>277</v>
      </c>
      <c r="H15" t="s">
        <v>285</v>
      </c>
      <c r="I15" t="s">
        <v>225</v>
      </c>
      <c r="J15" t="s">
        <v>286</v>
      </c>
      <c r="K15" t="s">
        <v>221</v>
      </c>
      <c r="L15" t="s">
        <v>209</v>
      </c>
      <c r="M15" t="s">
        <v>268</v>
      </c>
      <c r="N15" t="s">
        <v>251</v>
      </c>
      <c r="O15" t="s">
        <v>272</v>
      </c>
      <c r="P15" t="s">
        <v>288</v>
      </c>
      <c r="Q15" t="s">
        <v>262</v>
      </c>
      <c r="R15" t="s">
        <v>212</v>
      </c>
      <c r="S15" t="s">
        <v>212</v>
      </c>
      <c r="V15" t="s">
        <v>256</v>
      </c>
      <c r="W15" t="s">
        <v>229</v>
      </c>
      <c r="X15" t="s">
        <v>228</v>
      </c>
      <c r="Y15" t="s">
        <v>289</v>
      </c>
      <c r="Z15" t="s">
        <v>290</v>
      </c>
      <c r="AA15" t="s">
        <v>291</v>
      </c>
      <c r="AB15" t="s">
        <v>258</v>
      </c>
      <c r="AC15" t="s">
        <v>292</v>
      </c>
      <c r="AD15" t="s">
        <v>214</v>
      </c>
      <c r="AE15" t="s">
        <v>247</v>
      </c>
      <c r="AF15" t="s">
        <v>206</v>
      </c>
      <c r="AG15" t="s">
        <v>253</v>
      </c>
      <c r="AH15" t="s">
        <v>294</v>
      </c>
      <c r="AI15" t="s">
        <v>276</v>
      </c>
      <c r="AJ15" t="s">
        <v>212</v>
      </c>
      <c r="AK15" t="s">
        <v>212</v>
      </c>
      <c r="AL15" t="s">
        <v>212</v>
      </c>
      <c r="AM15" t="s">
        <v>237</v>
      </c>
      <c r="AN15" t="s">
        <v>275</v>
      </c>
      <c r="AO15" t="s">
        <v>218</v>
      </c>
      <c r="AP15" t="s">
        <v>263</v>
      </c>
      <c r="AQ15" t="s">
        <v>293</v>
      </c>
      <c r="AR15" t="s">
        <v>255</v>
      </c>
      <c r="AS15" t="s">
        <v>234</v>
      </c>
      <c r="AT15" t="s">
        <v>281</v>
      </c>
      <c r="AU15" t="s">
        <v>227</v>
      </c>
      <c r="AV15" t="s">
        <v>210</v>
      </c>
      <c r="AW15" t="s">
        <v>246</v>
      </c>
      <c r="AX15" t="s">
        <v>211</v>
      </c>
      <c r="AY15" t="s">
        <v>270</v>
      </c>
      <c r="AZ15" t="s">
        <v>250</v>
      </c>
      <c r="BA15" t="s">
        <v>233</v>
      </c>
    </row>
    <row r="16" spans="1:73">
      <c r="A16" t="s">
        <v>194</v>
      </c>
      <c r="B16">
        <v>3</v>
      </c>
      <c r="C16" t="s">
        <v>294</v>
      </c>
      <c r="D16" t="s">
        <v>228</v>
      </c>
      <c r="E16" t="s">
        <v>296</v>
      </c>
      <c r="F16" t="s">
        <v>291</v>
      </c>
      <c r="G16" t="s">
        <v>221</v>
      </c>
      <c r="H16" t="s">
        <v>253</v>
      </c>
      <c r="I16" t="s">
        <v>289</v>
      </c>
      <c r="J16" t="s">
        <v>217</v>
      </c>
      <c r="K16" t="s">
        <v>265</v>
      </c>
      <c r="L16" t="s">
        <v>287</v>
      </c>
      <c r="M16" t="s">
        <v>272</v>
      </c>
      <c r="N16" t="s">
        <v>274</v>
      </c>
      <c r="O16" t="s">
        <v>290</v>
      </c>
      <c r="P16" t="s">
        <v>286</v>
      </c>
      <c r="Q16" t="s">
        <v>262</v>
      </c>
      <c r="R16" t="s">
        <v>212</v>
      </c>
      <c r="S16" t="s">
        <v>212</v>
      </c>
      <c r="V16" t="s">
        <v>233</v>
      </c>
      <c r="W16" t="s">
        <v>277</v>
      </c>
      <c r="X16" t="s">
        <v>223</v>
      </c>
      <c r="Y16" t="s">
        <v>237</v>
      </c>
      <c r="Z16" t="s">
        <v>268</v>
      </c>
      <c r="AA16" t="s">
        <v>214</v>
      </c>
      <c r="AB16" t="s">
        <v>206</v>
      </c>
      <c r="AC16" t="s">
        <v>208</v>
      </c>
      <c r="AD16" t="s">
        <v>269</v>
      </c>
      <c r="AE16" t="s">
        <v>285</v>
      </c>
      <c r="AF16" t="s">
        <v>227</v>
      </c>
      <c r="AG16" t="s">
        <v>234</v>
      </c>
      <c r="AH16" t="s">
        <v>236</v>
      </c>
      <c r="AI16" t="s">
        <v>235</v>
      </c>
      <c r="AJ16" t="s">
        <v>212</v>
      </c>
      <c r="AK16" t="s">
        <v>212</v>
      </c>
      <c r="AL16" t="s">
        <v>212</v>
      </c>
      <c r="AM16" t="s">
        <v>297</v>
      </c>
      <c r="AN16" t="s">
        <v>251</v>
      </c>
      <c r="AO16" t="s">
        <v>218</v>
      </c>
      <c r="AP16" t="s">
        <v>263</v>
      </c>
      <c r="AQ16" t="s">
        <v>256</v>
      </c>
      <c r="AR16" t="s">
        <v>279</v>
      </c>
      <c r="AS16" t="s">
        <v>255</v>
      </c>
      <c r="AT16" t="s">
        <v>270</v>
      </c>
      <c r="AU16" t="s">
        <v>284</v>
      </c>
      <c r="AV16" t="s">
        <v>229</v>
      </c>
      <c r="AW16" t="s">
        <v>246</v>
      </c>
      <c r="AX16" t="s">
        <v>247</v>
      </c>
      <c r="AY16" t="s">
        <v>288</v>
      </c>
      <c r="AZ16" t="s">
        <v>250</v>
      </c>
      <c r="BA16" t="s">
        <v>258</v>
      </c>
    </row>
    <row r="17" spans="1:53">
      <c r="B17">
        <v>4</v>
      </c>
      <c r="C17" t="s">
        <v>294</v>
      </c>
      <c r="D17" t="s">
        <v>251</v>
      </c>
      <c r="E17" t="s">
        <v>296</v>
      </c>
      <c r="F17" t="s">
        <v>291</v>
      </c>
      <c r="G17" t="s">
        <v>221</v>
      </c>
      <c r="H17" t="s">
        <v>272</v>
      </c>
      <c r="I17" t="s">
        <v>289</v>
      </c>
      <c r="J17" t="s">
        <v>217</v>
      </c>
      <c r="K17" t="s">
        <v>263</v>
      </c>
      <c r="L17" t="s">
        <v>287</v>
      </c>
      <c r="M17" t="s">
        <v>249</v>
      </c>
      <c r="N17" t="s">
        <v>265</v>
      </c>
      <c r="O17" t="s">
        <v>290</v>
      </c>
      <c r="P17" t="s">
        <v>286</v>
      </c>
      <c r="Q17" t="s">
        <v>209</v>
      </c>
      <c r="R17" t="s">
        <v>212</v>
      </c>
      <c r="S17" t="s">
        <v>212</v>
      </c>
      <c r="V17" t="s">
        <v>261</v>
      </c>
      <c r="W17" t="s">
        <v>277</v>
      </c>
      <c r="X17" t="s">
        <v>223</v>
      </c>
      <c r="Y17" t="s">
        <v>247</v>
      </c>
      <c r="Z17" t="s">
        <v>229</v>
      </c>
      <c r="AA17" t="s">
        <v>214</v>
      </c>
      <c r="AB17" t="s">
        <v>234</v>
      </c>
      <c r="AC17" t="s">
        <v>208</v>
      </c>
      <c r="AD17" t="s">
        <v>274</v>
      </c>
      <c r="AE17" t="s">
        <v>207</v>
      </c>
      <c r="AF17" t="s">
        <v>285</v>
      </c>
      <c r="AG17" t="s">
        <v>235</v>
      </c>
      <c r="AH17" t="s">
        <v>236</v>
      </c>
      <c r="AI17" t="s">
        <v>227</v>
      </c>
      <c r="AJ17" t="s">
        <v>212</v>
      </c>
      <c r="AK17" t="s">
        <v>212</v>
      </c>
      <c r="AL17" t="s">
        <v>212</v>
      </c>
      <c r="AM17" t="s">
        <v>297</v>
      </c>
      <c r="AN17" t="s">
        <v>225</v>
      </c>
      <c r="AO17" t="s">
        <v>282</v>
      </c>
      <c r="AP17" t="s">
        <v>250</v>
      </c>
      <c r="AQ17" t="s">
        <v>267</v>
      </c>
      <c r="AR17" t="s">
        <v>293</v>
      </c>
      <c r="AS17" t="s">
        <v>255</v>
      </c>
      <c r="AT17" t="s">
        <v>270</v>
      </c>
      <c r="AU17" t="s">
        <v>276</v>
      </c>
      <c r="AV17" t="s">
        <v>246</v>
      </c>
      <c r="AW17" t="s">
        <v>279</v>
      </c>
      <c r="AX17" t="s">
        <v>210</v>
      </c>
      <c r="AY17" t="s">
        <v>288</v>
      </c>
      <c r="AZ17" t="s">
        <v>218</v>
      </c>
      <c r="BA17" t="s">
        <v>258</v>
      </c>
    </row>
    <row r="18" spans="1:53">
      <c r="B18">
        <v>5</v>
      </c>
      <c r="C18" t="s">
        <v>212</v>
      </c>
      <c r="D18" t="s">
        <v>212</v>
      </c>
      <c r="E18" t="s">
        <v>212</v>
      </c>
      <c r="F18" t="s">
        <v>212</v>
      </c>
      <c r="G18" t="s">
        <v>212</v>
      </c>
      <c r="H18" t="s">
        <v>212</v>
      </c>
      <c r="I18" t="s">
        <v>212</v>
      </c>
      <c r="J18" t="s">
        <v>212</v>
      </c>
      <c r="K18" t="s">
        <v>212</v>
      </c>
      <c r="L18" t="s">
        <v>212</v>
      </c>
      <c r="M18" t="s">
        <v>212</v>
      </c>
      <c r="N18" t="s">
        <v>212</v>
      </c>
      <c r="O18" t="s">
        <v>212</v>
      </c>
      <c r="P18" t="s">
        <v>212</v>
      </c>
      <c r="Q18" t="s">
        <v>212</v>
      </c>
      <c r="R18" t="s">
        <v>212</v>
      </c>
      <c r="S18" t="s">
        <v>212</v>
      </c>
      <c r="V18" t="s">
        <v>212</v>
      </c>
      <c r="W18" t="s">
        <v>212</v>
      </c>
      <c r="X18" t="s">
        <v>212</v>
      </c>
      <c r="Y18" t="s">
        <v>212</v>
      </c>
      <c r="Z18" t="s">
        <v>212</v>
      </c>
      <c r="AA18" t="s">
        <v>212</v>
      </c>
      <c r="AB18" t="s">
        <v>212</v>
      </c>
      <c r="AC18" t="s">
        <v>212</v>
      </c>
      <c r="AD18" t="s">
        <v>212</v>
      </c>
      <c r="AE18" t="s">
        <v>212</v>
      </c>
      <c r="AF18" t="s">
        <v>212</v>
      </c>
      <c r="AG18" t="s">
        <v>212</v>
      </c>
      <c r="AH18" t="s">
        <v>212</v>
      </c>
      <c r="AI18" t="s">
        <v>212</v>
      </c>
      <c r="AJ18" t="s">
        <v>212</v>
      </c>
      <c r="AK18" t="s">
        <v>212</v>
      </c>
      <c r="AL18" t="s">
        <v>212</v>
      </c>
      <c r="AM18" t="s">
        <v>212</v>
      </c>
      <c r="AN18" t="s">
        <v>212</v>
      </c>
      <c r="AO18" t="s">
        <v>212</v>
      </c>
      <c r="AP18" t="s">
        <v>212</v>
      </c>
      <c r="AQ18" t="s">
        <v>212</v>
      </c>
      <c r="AR18" t="s">
        <v>212</v>
      </c>
      <c r="AS18" t="s">
        <v>212</v>
      </c>
      <c r="AT18" t="s">
        <v>212</v>
      </c>
      <c r="AU18" t="s">
        <v>212</v>
      </c>
      <c r="AV18" t="s">
        <v>212</v>
      </c>
      <c r="AW18" t="s">
        <v>212</v>
      </c>
      <c r="AX18" t="s">
        <v>212</v>
      </c>
      <c r="AY18" t="s">
        <v>212</v>
      </c>
      <c r="AZ18" t="s">
        <v>212</v>
      </c>
      <c r="BA18" t="s">
        <v>212</v>
      </c>
    </row>
    <row r="19" spans="1:53">
      <c r="A19" t="s">
        <v>195</v>
      </c>
      <c r="B19">
        <v>1</v>
      </c>
      <c r="C19" t="s">
        <v>285</v>
      </c>
      <c r="D19" t="s">
        <v>280</v>
      </c>
      <c r="E19" t="s">
        <v>215</v>
      </c>
      <c r="F19" t="s">
        <v>236</v>
      </c>
      <c r="G19" t="s">
        <v>245</v>
      </c>
      <c r="H19" t="s">
        <v>253</v>
      </c>
      <c r="I19" t="s">
        <v>297</v>
      </c>
      <c r="J19" t="s">
        <v>220</v>
      </c>
      <c r="K19" t="s">
        <v>263</v>
      </c>
      <c r="L19" t="s">
        <v>265</v>
      </c>
      <c r="M19" t="s">
        <v>249</v>
      </c>
      <c r="N19" t="s">
        <v>271</v>
      </c>
      <c r="O19" t="s">
        <v>222</v>
      </c>
      <c r="P19" t="s">
        <v>270</v>
      </c>
      <c r="Q19" t="s">
        <v>225</v>
      </c>
      <c r="R19" t="s">
        <v>212</v>
      </c>
      <c r="S19" t="s">
        <v>212</v>
      </c>
      <c r="V19" t="s">
        <v>243</v>
      </c>
      <c r="W19" t="s">
        <v>214</v>
      </c>
      <c r="X19" t="s">
        <v>224</v>
      </c>
      <c r="Y19" t="s">
        <v>268</v>
      </c>
      <c r="Z19" t="s">
        <v>260</v>
      </c>
      <c r="AA19" t="s">
        <v>269</v>
      </c>
      <c r="AB19" t="s">
        <v>264</v>
      </c>
      <c r="AC19" t="s">
        <v>226</v>
      </c>
      <c r="AD19" t="s">
        <v>267</v>
      </c>
      <c r="AE19" t="s">
        <v>211</v>
      </c>
      <c r="AF19" t="s">
        <v>277</v>
      </c>
      <c r="AG19" t="s">
        <v>235</v>
      </c>
      <c r="AH19" t="s">
        <v>247</v>
      </c>
      <c r="AI19" t="s">
        <v>227</v>
      </c>
      <c r="AJ19" t="s">
        <v>212</v>
      </c>
      <c r="AK19" t="s">
        <v>212</v>
      </c>
      <c r="AL19" t="s">
        <v>212</v>
      </c>
      <c r="AM19" t="s">
        <v>237</v>
      </c>
      <c r="AN19" t="s">
        <v>208</v>
      </c>
      <c r="AO19" t="s">
        <v>284</v>
      </c>
      <c r="AP19" t="s">
        <v>275</v>
      </c>
      <c r="AQ19" t="s">
        <v>254</v>
      </c>
      <c r="AR19" t="s">
        <v>242</v>
      </c>
      <c r="AS19" t="s">
        <v>255</v>
      </c>
      <c r="AT19" t="s">
        <v>246</v>
      </c>
      <c r="AU19" t="s">
        <v>276</v>
      </c>
      <c r="AV19" t="s">
        <v>229</v>
      </c>
      <c r="AW19" t="s">
        <v>234</v>
      </c>
      <c r="AX19" t="s">
        <v>258</v>
      </c>
      <c r="AY19" t="s">
        <v>233</v>
      </c>
      <c r="AZ19" t="s">
        <v>273</v>
      </c>
      <c r="BA19" t="s">
        <v>298</v>
      </c>
    </row>
    <row r="20" spans="1:53">
      <c r="A20" t="s">
        <v>192</v>
      </c>
      <c r="B20">
        <v>2</v>
      </c>
      <c r="C20" t="s">
        <v>219</v>
      </c>
      <c r="D20" t="s">
        <v>280</v>
      </c>
      <c r="E20" t="s">
        <v>215</v>
      </c>
      <c r="F20" t="s">
        <v>225</v>
      </c>
      <c r="G20" t="s">
        <v>245</v>
      </c>
      <c r="H20" t="s">
        <v>253</v>
      </c>
      <c r="I20" t="s">
        <v>297</v>
      </c>
      <c r="J20" t="s">
        <v>220</v>
      </c>
      <c r="K20" t="s">
        <v>230</v>
      </c>
      <c r="L20" t="s">
        <v>287</v>
      </c>
      <c r="M20" t="s">
        <v>249</v>
      </c>
      <c r="N20" t="s">
        <v>271</v>
      </c>
      <c r="O20" t="s">
        <v>269</v>
      </c>
      <c r="P20" t="s">
        <v>268</v>
      </c>
      <c r="Q20" t="s">
        <v>281</v>
      </c>
      <c r="R20" t="s">
        <v>212</v>
      </c>
      <c r="S20" t="s">
        <v>212</v>
      </c>
      <c r="V20" t="s">
        <v>293</v>
      </c>
      <c r="W20" t="s">
        <v>285</v>
      </c>
      <c r="X20" t="s">
        <v>233</v>
      </c>
      <c r="Y20" t="s">
        <v>260</v>
      </c>
      <c r="Z20" t="s">
        <v>256</v>
      </c>
      <c r="AA20" t="s">
        <v>214</v>
      </c>
      <c r="AB20" t="s">
        <v>235</v>
      </c>
      <c r="AC20" t="s">
        <v>266</v>
      </c>
      <c r="AD20" t="s">
        <v>243</v>
      </c>
      <c r="AE20" t="s">
        <v>211</v>
      </c>
      <c r="AF20" t="s">
        <v>277</v>
      </c>
      <c r="AG20" t="s">
        <v>227</v>
      </c>
      <c r="AH20" t="s">
        <v>236</v>
      </c>
      <c r="AI20" t="s">
        <v>222</v>
      </c>
      <c r="AJ20" t="s">
        <v>212</v>
      </c>
      <c r="AK20" t="s">
        <v>212</v>
      </c>
      <c r="AL20" t="s">
        <v>212</v>
      </c>
      <c r="AM20" t="s">
        <v>237</v>
      </c>
      <c r="AN20" t="s">
        <v>208</v>
      </c>
      <c r="AO20" t="s">
        <v>226</v>
      </c>
      <c r="AP20" t="s">
        <v>275</v>
      </c>
      <c r="AQ20" t="s">
        <v>254</v>
      </c>
      <c r="AR20" t="s">
        <v>255</v>
      </c>
      <c r="AS20" t="s">
        <v>279</v>
      </c>
      <c r="AT20" t="s">
        <v>265</v>
      </c>
      <c r="AU20" t="s">
        <v>276</v>
      </c>
      <c r="AV20" t="s">
        <v>282</v>
      </c>
      <c r="AW20" t="s">
        <v>246</v>
      </c>
      <c r="AX20" t="s">
        <v>258</v>
      </c>
      <c r="AY20" t="s">
        <v>234</v>
      </c>
      <c r="AZ20" t="s">
        <v>273</v>
      </c>
      <c r="BA20" t="s">
        <v>298</v>
      </c>
    </row>
    <row r="21" spans="1:53">
      <c r="A21" t="s">
        <v>196</v>
      </c>
      <c r="B21">
        <v>3</v>
      </c>
      <c r="C21" t="s">
        <v>253</v>
      </c>
      <c r="D21" t="s">
        <v>220</v>
      </c>
      <c r="E21" t="s">
        <v>255</v>
      </c>
      <c r="F21" t="s">
        <v>216</v>
      </c>
      <c r="G21" t="s">
        <v>221</v>
      </c>
      <c r="H21" t="s">
        <v>277</v>
      </c>
      <c r="I21" t="s">
        <v>219</v>
      </c>
      <c r="J21" t="s">
        <v>273</v>
      </c>
      <c r="K21" t="s">
        <v>230</v>
      </c>
      <c r="L21" t="s">
        <v>269</v>
      </c>
      <c r="M21" t="s">
        <v>222</v>
      </c>
      <c r="N21" t="s">
        <v>299</v>
      </c>
      <c r="O21" t="s">
        <v>249</v>
      </c>
      <c r="P21" t="s">
        <v>236</v>
      </c>
      <c r="Q21" t="s">
        <v>215</v>
      </c>
      <c r="R21" t="s">
        <v>212</v>
      </c>
      <c r="S21" t="s">
        <v>212</v>
      </c>
      <c r="V21" t="s">
        <v>256</v>
      </c>
      <c r="W21" t="s">
        <v>224</v>
      </c>
      <c r="X21" t="s">
        <v>265</v>
      </c>
      <c r="Y21" t="s">
        <v>266</v>
      </c>
      <c r="Z21" t="s">
        <v>268</v>
      </c>
      <c r="AA21" t="s">
        <v>214</v>
      </c>
      <c r="AB21" t="s">
        <v>235</v>
      </c>
      <c r="AC21" t="s">
        <v>275</v>
      </c>
      <c r="AD21" t="s">
        <v>243</v>
      </c>
      <c r="AE21" t="s">
        <v>264</v>
      </c>
      <c r="AF21" t="s">
        <v>285</v>
      </c>
      <c r="AG21" t="s">
        <v>298</v>
      </c>
      <c r="AH21" t="s">
        <v>239</v>
      </c>
      <c r="AI21" t="s">
        <v>208</v>
      </c>
      <c r="AJ21" t="s">
        <v>212</v>
      </c>
      <c r="AK21" t="s">
        <v>212</v>
      </c>
      <c r="AL21" t="s">
        <v>212</v>
      </c>
      <c r="AM21" t="s">
        <v>297</v>
      </c>
      <c r="AN21" t="s">
        <v>225</v>
      </c>
      <c r="AO21" t="s">
        <v>226</v>
      </c>
      <c r="AP21" t="s">
        <v>242</v>
      </c>
      <c r="AQ21" t="s">
        <v>229</v>
      </c>
      <c r="AR21" t="s">
        <v>267</v>
      </c>
      <c r="AS21" t="s">
        <v>279</v>
      </c>
      <c r="AT21" t="s">
        <v>270</v>
      </c>
      <c r="AU21" t="s">
        <v>278</v>
      </c>
      <c r="AV21" t="s">
        <v>246</v>
      </c>
      <c r="AW21" t="s">
        <v>263</v>
      </c>
      <c r="AX21" t="s">
        <v>247</v>
      </c>
      <c r="AY21" t="e">
        <v>#N/A</v>
      </c>
      <c r="AZ21" t="s">
        <v>237</v>
      </c>
      <c r="BA21" t="s">
        <v>281</v>
      </c>
    </row>
    <row r="22" spans="1:53">
      <c r="B22">
        <v>4</v>
      </c>
      <c r="C22" t="s">
        <v>253</v>
      </c>
      <c r="D22" t="s">
        <v>220</v>
      </c>
      <c r="E22" t="s">
        <v>272</v>
      </c>
      <c r="F22" t="s">
        <v>216</v>
      </c>
      <c r="G22" t="s">
        <v>221</v>
      </c>
      <c r="H22" t="s">
        <v>277</v>
      </c>
      <c r="I22" t="s">
        <v>266</v>
      </c>
      <c r="J22" t="s">
        <v>245</v>
      </c>
      <c r="K22" t="s">
        <v>224</v>
      </c>
      <c r="L22" t="s">
        <v>254</v>
      </c>
      <c r="M22" t="s">
        <v>268</v>
      </c>
      <c r="N22" t="s">
        <v>299</v>
      </c>
      <c r="O22" t="s">
        <v>249</v>
      </c>
      <c r="P22" t="s">
        <v>236</v>
      </c>
      <c r="Q22" t="s">
        <v>215</v>
      </c>
      <c r="R22" t="s">
        <v>212</v>
      </c>
      <c r="S22" t="s">
        <v>212</v>
      </c>
      <c r="V22" t="s">
        <v>233</v>
      </c>
      <c r="W22" t="s">
        <v>273</v>
      </c>
      <c r="X22" t="s">
        <v>269</v>
      </c>
      <c r="Y22" t="s">
        <v>241</v>
      </c>
      <c r="Z22" t="s">
        <v>281</v>
      </c>
      <c r="AA22" t="s">
        <v>230</v>
      </c>
      <c r="AB22" t="s">
        <v>285</v>
      </c>
      <c r="AC22" t="s">
        <v>275</v>
      </c>
      <c r="AD22" t="s">
        <v>239</v>
      </c>
      <c r="AE22" t="s">
        <v>276</v>
      </c>
      <c r="AF22" t="s">
        <v>247</v>
      </c>
      <c r="AG22" t="s">
        <v>298</v>
      </c>
      <c r="AH22" t="s">
        <v>219</v>
      </c>
      <c r="AI22" t="s">
        <v>234</v>
      </c>
      <c r="AJ22" t="s">
        <v>212</v>
      </c>
      <c r="AK22" t="s">
        <v>212</v>
      </c>
      <c r="AL22" t="s">
        <v>212</v>
      </c>
      <c r="AM22" t="s">
        <v>260</v>
      </c>
      <c r="AN22" t="s">
        <v>225</v>
      </c>
      <c r="AO22" t="s">
        <v>265</v>
      </c>
      <c r="AP22" t="s">
        <v>242</v>
      </c>
      <c r="AQ22" t="s">
        <v>256</v>
      </c>
      <c r="AR22" t="s">
        <v>211</v>
      </c>
      <c r="AS22" t="s">
        <v>271</v>
      </c>
      <c r="AT22" t="s">
        <v>227</v>
      </c>
      <c r="AU22" t="s">
        <v>278</v>
      </c>
      <c r="AV22" t="s">
        <v>264</v>
      </c>
      <c r="AW22" t="s">
        <v>267</v>
      </c>
      <c r="AX22" t="s">
        <v>263</v>
      </c>
      <c r="AY22" t="e">
        <v>#N/A</v>
      </c>
      <c r="AZ22" t="s">
        <v>237</v>
      </c>
      <c r="BA22" t="s">
        <v>246</v>
      </c>
    </row>
    <row r="23" spans="1:53">
      <c r="B23">
        <v>5</v>
      </c>
      <c r="C23" t="s">
        <v>212</v>
      </c>
      <c r="D23" t="s">
        <v>212</v>
      </c>
      <c r="E23" t="s">
        <v>212</v>
      </c>
      <c r="F23" t="s">
        <v>212</v>
      </c>
      <c r="G23" t="s">
        <v>212</v>
      </c>
      <c r="H23" t="s">
        <v>212</v>
      </c>
      <c r="I23" t="s">
        <v>212</v>
      </c>
      <c r="J23" t="s">
        <v>212</v>
      </c>
      <c r="K23" t="s">
        <v>212</v>
      </c>
      <c r="L23" t="s">
        <v>212</v>
      </c>
      <c r="M23" t="s">
        <v>212</v>
      </c>
      <c r="N23" t="s">
        <v>212</v>
      </c>
      <c r="O23" t="s">
        <v>212</v>
      </c>
      <c r="P23" t="s">
        <v>212</v>
      </c>
      <c r="Q23" t="s">
        <v>212</v>
      </c>
      <c r="R23" t="s">
        <v>212</v>
      </c>
      <c r="S23" t="s">
        <v>212</v>
      </c>
      <c r="V23" t="s">
        <v>212</v>
      </c>
      <c r="W23" t="s">
        <v>212</v>
      </c>
      <c r="X23" t="s">
        <v>212</v>
      </c>
      <c r="Y23" t="s">
        <v>212</v>
      </c>
      <c r="Z23" t="s">
        <v>212</v>
      </c>
      <c r="AA23" t="s">
        <v>212</v>
      </c>
      <c r="AB23" t="s">
        <v>212</v>
      </c>
      <c r="AC23" t="s">
        <v>212</v>
      </c>
      <c r="AD23" t="s">
        <v>212</v>
      </c>
      <c r="AE23" t="s">
        <v>212</v>
      </c>
      <c r="AF23" t="s">
        <v>212</v>
      </c>
      <c r="AG23" t="s">
        <v>212</v>
      </c>
      <c r="AH23" t="s">
        <v>212</v>
      </c>
      <c r="AI23" t="s">
        <v>212</v>
      </c>
      <c r="AJ23" t="s">
        <v>212</v>
      </c>
      <c r="AK23" t="s">
        <v>212</v>
      </c>
      <c r="AL23" t="s">
        <v>212</v>
      </c>
      <c r="AM23" t="s">
        <v>212</v>
      </c>
      <c r="AN23" t="s">
        <v>212</v>
      </c>
      <c r="AO23" t="s">
        <v>212</v>
      </c>
      <c r="AP23" t="s">
        <v>212</v>
      </c>
      <c r="AR23" t="s">
        <v>212</v>
      </c>
      <c r="AS23" t="s">
        <v>212</v>
      </c>
      <c r="AT23" t="s">
        <v>212</v>
      </c>
      <c r="AU23" t="s">
        <v>212</v>
      </c>
      <c r="AV23" t="s">
        <v>212</v>
      </c>
      <c r="AW23" t="s">
        <v>212</v>
      </c>
      <c r="AX23" t="s">
        <v>212</v>
      </c>
      <c r="AY23" t="s">
        <v>212</v>
      </c>
      <c r="AZ23" t="s">
        <v>212</v>
      </c>
      <c r="BA23" t="s">
        <v>212</v>
      </c>
    </row>
    <row r="24" spans="1:53">
      <c r="A24" t="s">
        <v>197</v>
      </c>
      <c r="B24">
        <v>1</v>
      </c>
      <c r="C24" t="s">
        <v>253</v>
      </c>
      <c r="D24" t="s">
        <v>214</v>
      </c>
      <c r="E24" t="s">
        <v>223</v>
      </c>
      <c r="F24" t="s">
        <v>252</v>
      </c>
      <c r="G24" t="s">
        <v>278</v>
      </c>
      <c r="H24" t="s">
        <v>267</v>
      </c>
      <c r="I24" t="s">
        <v>297</v>
      </c>
      <c r="J24" t="s">
        <v>245</v>
      </c>
      <c r="K24" t="s">
        <v>279</v>
      </c>
      <c r="L24" t="e">
        <v>#N/A</v>
      </c>
      <c r="M24" t="s">
        <v>249</v>
      </c>
      <c r="N24" t="s">
        <v>274</v>
      </c>
      <c r="O24" t="s">
        <v>222</v>
      </c>
      <c r="P24" t="s">
        <v>273</v>
      </c>
      <c r="Q24" t="s">
        <v>209</v>
      </c>
      <c r="R24" t="s">
        <v>212</v>
      </c>
      <c r="S24" t="s">
        <v>212</v>
      </c>
      <c r="V24" t="s">
        <v>293</v>
      </c>
      <c r="W24" t="s">
        <v>224</v>
      </c>
      <c r="X24" t="s">
        <v>240</v>
      </c>
      <c r="Y24" t="s">
        <v>248</v>
      </c>
      <c r="Z24" t="s">
        <v>277</v>
      </c>
      <c r="AA24" t="s">
        <v>242</v>
      </c>
      <c r="AB24" t="s">
        <v>206</v>
      </c>
      <c r="AC24" t="s">
        <v>266</v>
      </c>
      <c r="AD24" t="s">
        <v>239</v>
      </c>
      <c r="AE24" t="s">
        <v>244</v>
      </c>
      <c r="AF24" t="s">
        <v>241</v>
      </c>
      <c r="AG24" t="s">
        <v>276</v>
      </c>
      <c r="AH24" t="s">
        <v>219</v>
      </c>
      <c r="AI24" t="s">
        <v>208</v>
      </c>
      <c r="AJ24" t="s">
        <v>212</v>
      </c>
      <c r="AK24" t="s">
        <v>212</v>
      </c>
      <c r="AL24" t="s">
        <v>212</v>
      </c>
      <c r="AM24" t="s">
        <v>271</v>
      </c>
      <c r="AN24" t="s">
        <v>231</v>
      </c>
      <c r="AO24" t="s">
        <v>221</v>
      </c>
      <c r="AP24" t="s">
        <v>283</v>
      </c>
      <c r="AQ24" t="s">
        <v>275</v>
      </c>
      <c r="AR24" t="s">
        <v>211</v>
      </c>
      <c r="AS24" t="s">
        <v>281</v>
      </c>
      <c r="AT24" t="s">
        <v>238</v>
      </c>
      <c r="AU24" t="s">
        <v>299</v>
      </c>
      <c r="AV24" t="s">
        <v>263</v>
      </c>
      <c r="AW24" t="s">
        <v>262</v>
      </c>
      <c r="AX24" t="s">
        <v>210</v>
      </c>
      <c r="AY24" t="s">
        <v>286</v>
      </c>
      <c r="AZ24" t="s">
        <v>250</v>
      </c>
      <c r="BA24" t="s">
        <v>265</v>
      </c>
    </row>
    <row r="25" spans="1:53">
      <c r="A25" t="s">
        <v>192</v>
      </c>
      <c r="B25">
        <v>2</v>
      </c>
      <c r="C25" t="s">
        <v>253</v>
      </c>
      <c r="D25" t="s">
        <v>214</v>
      </c>
      <c r="E25" t="s">
        <v>223</v>
      </c>
      <c r="F25" t="s">
        <v>252</v>
      </c>
      <c r="G25" t="s">
        <v>278</v>
      </c>
      <c r="H25" t="s">
        <v>216</v>
      </c>
      <c r="I25" t="s">
        <v>262</v>
      </c>
      <c r="J25" t="s">
        <v>245</v>
      </c>
      <c r="K25" t="s">
        <v>230</v>
      </c>
      <c r="L25" t="s">
        <v>209</v>
      </c>
      <c r="M25" t="s">
        <v>249</v>
      </c>
      <c r="N25" t="s">
        <v>270</v>
      </c>
      <c r="O25" t="s">
        <v>222</v>
      </c>
      <c r="P25" t="s">
        <v>288</v>
      </c>
      <c r="Q25" t="s">
        <v>273</v>
      </c>
      <c r="R25" t="s">
        <v>212</v>
      </c>
      <c r="S25" t="s">
        <v>212</v>
      </c>
      <c r="V25" t="s">
        <v>265</v>
      </c>
      <c r="W25" t="s">
        <v>267</v>
      </c>
      <c r="X25" t="s">
        <v>240</v>
      </c>
      <c r="Y25" t="s">
        <v>211</v>
      </c>
      <c r="Z25" t="s">
        <v>277</v>
      </c>
      <c r="AA25" t="s">
        <v>238</v>
      </c>
      <c r="AB25" t="s">
        <v>234</v>
      </c>
      <c r="AC25" t="s">
        <v>266</v>
      </c>
      <c r="AD25" t="s">
        <v>239</v>
      </c>
      <c r="AE25" t="s">
        <v>285</v>
      </c>
      <c r="AF25" t="s">
        <v>206</v>
      </c>
      <c r="AG25" t="s">
        <v>293</v>
      </c>
      <c r="AH25" t="s">
        <v>219</v>
      </c>
      <c r="AI25" t="s">
        <v>281</v>
      </c>
      <c r="AJ25" t="s">
        <v>212</v>
      </c>
      <c r="AK25" t="s">
        <v>212</v>
      </c>
      <c r="AL25" t="s">
        <v>212</v>
      </c>
      <c r="AM25" t="s">
        <v>271</v>
      </c>
      <c r="AN25" t="s">
        <v>215</v>
      </c>
      <c r="AO25" t="s">
        <v>221</v>
      </c>
      <c r="AP25" t="s">
        <v>210</v>
      </c>
      <c r="AQ25" t="s">
        <v>275</v>
      </c>
      <c r="AR25" t="s">
        <v>261</v>
      </c>
      <c r="AS25" t="s">
        <v>231</v>
      </c>
      <c r="AT25" t="s">
        <v>276</v>
      </c>
      <c r="AU25" t="s">
        <v>299</v>
      </c>
      <c r="AV25" t="s">
        <v>264</v>
      </c>
      <c r="AW25" t="s">
        <v>244</v>
      </c>
      <c r="AX25" t="s">
        <v>248</v>
      </c>
      <c r="AY25" t="s">
        <v>286</v>
      </c>
      <c r="AZ25" t="s">
        <v>250</v>
      </c>
      <c r="BA25" t="s">
        <v>242</v>
      </c>
    </row>
    <row r="26" spans="1:53">
      <c r="A26" t="s">
        <v>198</v>
      </c>
      <c r="B26">
        <v>3</v>
      </c>
      <c r="C26" t="s">
        <v>279</v>
      </c>
      <c r="D26" t="s">
        <v>283</v>
      </c>
      <c r="E26" t="s">
        <v>252</v>
      </c>
      <c r="F26" t="s">
        <v>254</v>
      </c>
      <c r="G26" t="s">
        <v>230</v>
      </c>
      <c r="H26" t="s">
        <v>266</v>
      </c>
      <c r="I26" t="s">
        <v>210</v>
      </c>
      <c r="J26" t="s">
        <v>297</v>
      </c>
      <c r="K26" t="s">
        <v>221</v>
      </c>
      <c r="L26" t="s">
        <v>286</v>
      </c>
      <c r="M26" t="s">
        <v>222</v>
      </c>
      <c r="N26" t="s">
        <v>271</v>
      </c>
      <c r="O26" t="s">
        <v>274</v>
      </c>
      <c r="P26" t="s">
        <v>270</v>
      </c>
      <c r="Q26" t="s">
        <v>273</v>
      </c>
      <c r="R26" t="s">
        <v>212</v>
      </c>
      <c r="S26" t="s">
        <v>212</v>
      </c>
      <c r="V26" t="s">
        <v>275</v>
      </c>
      <c r="W26" t="s">
        <v>214</v>
      </c>
      <c r="X26" t="s">
        <v>224</v>
      </c>
      <c r="Y26" t="s">
        <v>211</v>
      </c>
      <c r="Z26" t="s">
        <v>219</v>
      </c>
      <c r="AA26" t="s">
        <v>238</v>
      </c>
      <c r="AB26" t="s">
        <v>298</v>
      </c>
      <c r="AC26" t="s">
        <v>293</v>
      </c>
      <c r="AD26" t="s">
        <v>277</v>
      </c>
      <c r="AE26" t="s">
        <v>276</v>
      </c>
      <c r="AF26" t="s">
        <v>267</v>
      </c>
      <c r="AG26" t="s">
        <v>253</v>
      </c>
      <c r="AH26" t="s">
        <v>285</v>
      </c>
      <c r="AI26" t="s">
        <v>295</v>
      </c>
      <c r="AJ26" t="s">
        <v>212</v>
      </c>
      <c r="AK26" t="s">
        <v>212</v>
      </c>
      <c r="AL26" t="s">
        <v>212</v>
      </c>
      <c r="AM26" t="s">
        <v>243</v>
      </c>
      <c r="AN26" t="s">
        <v>208</v>
      </c>
      <c r="AO26" t="s">
        <v>278</v>
      </c>
      <c r="AP26" t="s">
        <v>250</v>
      </c>
      <c r="AQ26" t="s">
        <v>248</v>
      </c>
      <c r="AR26" t="s">
        <v>261</v>
      </c>
      <c r="AS26" t="s">
        <v>206</v>
      </c>
      <c r="AT26" t="s">
        <v>244</v>
      </c>
      <c r="AU26" t="s">
        <v>245</v>
      </c>
      <c r="AV26" t="s">
        <v>288</v>
      </c>
      <c r="AW26" t="s">
        <v>240</v>
      </c>
      <c r="AX26" t="s">
        <v>216</v>
      </c>
      <c r="AY26" t="s">
        <v>264</v>
      </c>
      <c r="AZ26" t="s">
        <v>299</v>
      </c>
      <c r="BA26" t="s">
        <v>242</v>
      </c>
    </row>
    <row r="27" spans="1:53">
      <c r="B27">
        <v>4</v>
      </c>
      <c r="C27" t="s">
        <v>279</v>
      </c>
      <c r="D27" t="s">
        <v>283</v>
      </c>
      <c r="E27" t="s">
        <v>252</v>
      </c>
      <c r="F27" t="s">
        <v>254</v>
      </c>
      <c r="G27" t="s">
        <v>288</v>
      </c>
      <c r="H27" t="s">
        <v>253</v>
      </c>
      <c r="I27" t="s">
        <v>266</v>
      </c>
      <c r="J27" t="s">
        <v>297</v>
      </c>
      <c r="K27" t="s">
        <v>221</v>
      </c>
      <c r="L27" t="s">
        <v>286</v>
      </c>
      <c r="M27" t="s">
        <v>222</v>
      </c>
      <c r="N27" t="s">
        <v>223</v>
      </c>
      <c r="O27" t="s">
        <v>274</v>
      </c>
      <c r="P27" t="s">
        <v>265</v>
      </c>
      <c r="Q27" t="s">
        <v>262</v>
      </c>
      <c r="R27" t="s">
        <v>212</v>
      </c>
      <c r="S27" t="s">
        <v>212</v>
      </c>
      <c r="V27" t="s">
        <v>275</v>
      </c>
      <c r="W27" t="s">
        <v>214</v>
      </c>
      <c r="X27" t="s">
        <v>224</v>
      </c>
      <c r="Y27" t="s">
        <v>234</v>
      </c>
      <c r="Z27" t="s">
        <v>219</v>
      </c>
      <c r="AA27" t="s">
        <v>230</v>
      </c>
      <c r="AB27" t="s">
        <v>264</v>
      </c>
      <c r="AC27" t="s">
        <v>208</v>
      </c>
      <c r="AD27" t="s">
        <v>277</v>
      </c>
      <c r="AE27" t="s">
        <v>211</v>
      </c>
      <c r="AF27" t="s">
        <v>293</v>
      </c>
      <c r="AG27" t="s">
        <v>285</v>
      </c>
      <c r="AH27" t="s">
        <v>276</v>
      </c>
      <c r="AI27" t="s">
        <v>298</v>
      </c>
      <c r="AJ27" t="s">
        <v>212</v>
      </c>
      <c r="AK27" t="s">
        <v>212</v>
      </c>
      <c r="AL27" t="s">
        <v>212</v>
      </c>
      <c r="AM27" t="s">
        <v>243</v>
      </c>
      <c r="AN27" t="s">
        <v>267</v>
      </c>
      <c r="AO27" t="s">
        <v>210</v>
      </c>
      <c r="AP27" t="s">
        <v>250</v>
      </c>
      <c r="AQ27" t="s">
        <v>248</v>
      </c>
      <c r="AR27" t="s">
        <v>242</v>
      </c>
      <c r="AS27" t="s">
        <v>206</v>
      </c>
      <c r="AT27" t="s">
        <v>244</v>
      </c>
      <c r="AU27" t="s">
        <v>261</v>
      </c>
      <c r="AV27" t="s">
        <v>245</v>
      </c>
      <c r="AW27" t="s">
        <v>263</v>
      </c>
      <c r="AX27" t="s">
        <v>216</v>
      </c>
      <c r="AY27" t="s">
        <v>215</v>
      </c>
      <c r="AZ27" t="s">
        <v>299</v>
      </c>
      <c r="BA27" t="s">
        <v>238</v>
      </c>
    </row>
    <row r="28" spans="1:53">
      <c r="B28">
        <v>5</v>
      </c>
      <c r="C28" t="s">
        <v>212</v>
      </c>
      <c r="D28" t="s">
        <v>212</v>
      </c>
      <c r="E28" t="s">
        <v>212</v>
      </c>
      <c r="F28" t="s">
        <v>212</v>
      </c>
      <c r="G28" t="s">
        <v>212</v>
      </c>
      <c r="H28" t="s">
        <v>212</v>
      </c>
      <c r="I28" t="s">
        <v>212</v>
      </c>
      <c r="J28" t="s">
        <v>212</v>
      </c>
      <c r="K28" t="s">
        <v>212</v>
      </c>
      <c r="L28" t="s">
        <v>212</v>
      </c>
      <c r="M28" t="s">
        <v>212</v>
      </c>
      <c r="N28" t="s">
        <v>212</v>
      </c>
      <c r="O28" t="s">
        <v>212</v>
      </c>
      <c r="P28" t="s">
        <v>212</v>
      </c>
      <c r="Q28" t="s">
        <v>212</v>
      </c>
      <c r="R28" t="s">
        <v>212</v>
      </c>
      <c r="S28" t="s">
        <v>212</v>
      </c>
      <c r="V28" t="s">
        <v>212</v>
      </c>
      <c r="W28" t="s">
        <v>212</v>
      </c>
      <c r="X28" t="s">
        <v>212</v>
      </c>
      <c r="Y28" t="s">
        <v>212</v>
      </c>
      <c r="Z28" t="s">
        <v>212</v>
      </c>
      <c r="AA28" t="s">
        <v>212</v>
      </c>
      <c r="AB28" t="s">
        <v>212</v>
      </c>
      <c r="AC28" t="s">
        <v>212</v>
      </c>
      <c r="AD28" t="s">
        <v>212</v>
      </c>
      <c r="AE28" t="s">
        <v>212</v>
      </c>
      <c r="AF28" t="s">
        <v>212</v>
      </c>
      <c r="AG28" t="s">
        <v>212</v>
      </c>
      <c r="AH28" t="s">
        <v>212</v>
      </c>
      <c r="AI28" t="s">
        <v>212</v>
      </c>
      <c r="AJ28" t="s">
        <v>212</v>
      </c>
      <c r="AK28" t="s">
        <v>212</v>
      </c>
      <c r="AL28" t="s">
        <v>212</v>
      </c>
      <c r="AM28" t="s">
        <v>212</v>
      </c>
      <c r="AN28" t="s">
        <v>212</v>
      </c>
      <c r="AO28" t="s">
        <v>212</v>
      </c>
      <c r="AP28" t="s">
        <v>212</v>
      </c>
      <c r="AQ28" t="s">
        <v>212</v>
      </c>
      <c r="AR28" t="s">
        <v>212</v>
      </c>
      <c r="AS28" t="s">
        <v>212</v>
      </c>
      <c r="AT28" t="s">
        <v>212</v>
      </c>
      <c r="AU28" t="s">
        <v>212</v>
      </c>
      <c r="AV28" t="s">
        <v>212</v>
      </c>
      <c r="AX28" t="s">
        <v>212</v>
      </c>
      <c r="AY28" t="s">
        <v>212</v>
      </c>
      <c r="AZ28" t="s">
        <v>212</v>
      </c>
      <c r="BA28" t="s">
        <v>212</v>
      </c>
    </row>
    <row r="29" spans="1:53">
      <c r="A29" t="s">
        <v>199</v>
      </c>
      <c r="B29">
        <v>1</v>
      </c>
      <c r="C29" t="s">
        <v>212</v>
      </c>
      <c r="D29" t="s">
        <v>212</v>
      </c>
      <c r="E29" t="s">
        <v>212</v>
      </c>
      <c r="F29" t="s">
        <v>212</v>
      </c>
      <c r="G29" t="s">
        <v>212</v>
      </c>
      <c r="H29" t="s">
        <v>212</v>
      </c>
      <c r="I29" t="s">
        <v>212</v>
      </c>
      <c r="J29" t="s">
        <v>212</v>
      </c>
      <c r="K29" t="s">
        <v>212</v>
      </c>
      <c r="L29" t="s">
        <v>212</v>
      </c>
      <c r="M29" t="s">
        <v>212</v>
      </c>
      <c r="N29" t="s">
        <v>212</v>
      </c>
      <c r="O29" t="s">
        <v>212</v>
      </c>
      <c r="P29" t="s">
        <v>212</v>
      </c>
      <c r="V29" t="s">
        <v>212</v>
      </c>
      <c r="W29" t="s">
        <v>212</v>
      </c>
      <c r="X29" t="s">
        <v>212</v>
      </c>
      <c r="Y29" t="s">
        <v>248</v>
      </c>
      <c r="Z29" t="s">
        <v>212</v>
      </c>
      <c r="AA29" t="s">
        <v>212</v>
      </c>
      <c r="AB29" t="s">
        <v>212</v>
      </c>
      <c r="AC29" t="s">
        <v>212</v>
      </c>
      <c r="AD29" t="s">
        <v>212</v>
      </c>
      <c r="AE29" t="s">
        <v>212</v>
      </c>
      <c r="AF29" t="s">
        <v>212</v>
      </c>
      <c r="AG29" t="s">
        <v>212</v>
      </c>
      <c r="AH29" t="s">
        <v>212</v>
      </c>
      <c r="AI29" t="s">
        <v>212</v>
      </c>
      <c r="AJ29" t="s">
        <v>212</v>
      </c>
      <c r="AK29" t="s">
        <v>212</v>
      </c>
      <c r="AL29" t="s">
        <v>212</v>
      </c>
      <c r="AM29" t="s">
        <v>212</v>
      </c>
      <c r="AN29" t="s">
        <v>251</v>
      </c>
      <c r="AO29" t="s">
        <v>212</v>
      </c>
      <c r="AP29" t="s">
        <v>212</v>
      </c>
      <c r="AQ29" t="s">
        <v>212</v>
      </c>
      <c r="AR29" t="s">
        <v>212</v>
      </c>
      <c r="AS29" t="s">
        <v>212</v>
      </c>
      <c r="AT29" t="s">
        <v>212</v>
      </c>
      <c r="AU29" t="s">
        <v>212</v>
      </c>
      <c r="AV29" t="s">
        <v>282</v>
      </c>
      <c r="AW29" t="s">
        <v>212</v>
      </c>
      <c r="AX29" t="s">
        <v>212</v>
      </c>
      <c r="AY29" t="s">
        <v>212</v>
      </c>
      <c r="AZ29" t="s">
        <v>212</v>
      </c>
      <c r="BA29" t="s">
        <v>212</v>
      </c>
    </row>
    <row r="30" spans="1:53">
      <c r="A30" t="s">
        <v>192</v>
      </c>
      <c r="B30">
        <v>2</v>
      </c>
      <c r="C30" t="s">
        <v>212</v>
      </c>
      <c r="D30" t="s">
        <v>212</v>
      </c>
      <c r="E30" t="s">
        <v>212</v>
      </c>
      <c r="F30" t="s">
        <v>212</v>
      </c>
      <c r="G30" t="s">
        <v>212</v>
      </c>
      <c r="H30" t="s">
        <v>212</v>
      </c>
      <c r="I30" t="s">
        <v>212</v>
      </c>
      <c r="J30" t="s">
        <v>212</v>
      </c>
      <c r="K30" t="s">
        <v>212</v>
      </c>
      <c r="L30" t="s">
        <v>212</v>
      </c>
      <c r="M30" t="s">
        <v>212</v>
      </c>
      <c r="N30" t="s">
        <v>212</v>
      </c>
      <c r="O30" t="s">
        <v>212</v>
      </c>
      <c r="P30" t="s">
        <v>212</v>
      </c>
      <c r="V30" t="s">
        <v>212</v>
      </c>
      <c r="W30" t="s">
        <v>212</v>
      </c>
      <c r="X30" t="s">
        <v>212</v>
      </c>
      <c r="Y30" t="s">
        <v>212</v>
      </c>
      <c r="Z30" t="s">
        <v>282</v>
      </c>
      <c r="AA30" t="s">
        <v>212</v>
      </c>
      <c r="AB30" t="s">
        <v>212</v>
      </c>
      <c r="AC30" t="s">
        <v>212</v>
      </c>
      <c r="AD30" t="s">
        <v>212</v>
      </c>
      <c r="AE30" t="s">
        <v>207</v>
      </c>
      <c r="AF30" t="s">
        <v>293</v>
      </c>
      <c r="AG30" t="s">
        <v>248</v>
      </c>
      <c r="AH30" t="s">
        <v>212</v>
      </c>
      <c r="AI30" t="s">
        <v>295</v>
      </c>
      <c r="AJ30" t="s">
        <v>212</v>
      </c>
      <c r="AK30" t="s">
        <v>212</v>
      </c>
      <c r="AL30" t="s">
        <v>212</v>
      </c>
      <c r="AM30" t="s">
        <v>212</v>
      </c>
      <c r="AN30" t="s">
        <v>212</v>
      </c>
      <c r="AO30" t="s">
        <v>212</v>
      </c>
      <c r="AP30" t="s">
        <v>212</v>
      </c>
      <c r="AQ30" t="s">
        <v>212</v>
      </c>
      <c r="AR30" t="s">
        <v>212</v>
      </c>
      <c r="AS30" t="s">
        <v>212</v>
      </c>
      <c r="AT30" t="s">
        <v>212</v>
      </c>
      <c r="AU30" t="s">
        <v>212</v>
      </c>
      <c r="AV30" t="s">
        <v>212</v>
      </c>
      <c r="AW30" t="s">
        <v>212</v>
      </c>
      <c r="AX30" t="s">
        <v>212</v>
      </c>
      <c r="AY30" t="s">
        <v>212</v>
      </c>
      <c r="AZ30" t="s">
        <v>250</v>
      </c>
      <c r="BA30" t="s">
        <v>251</v>
      </c>
    </row>
    <row r="31" spans="1:53">
      <c r="A31" t="s">
        <v>200</v>
      </c>
      <c r="B31">
        <v>3</v>
      </c>
      <c r="C31" t="s">
        <v>212</v>
      </c>
      <c r="D31" t="s">
        <v>212</v>
      </c>
      <c r="E31" t="s">
        <v>212</v>
      </c>
      <c r="F31" t="s">
        <v>212</v>
      </c>
      <c r="G31" t="s">
        <v>212</v>
      </c>
      <c r="H31" t="s">
        <v>212</v>
      </c>
      <c r="I31" t="s">
        <v>212</v>
      </c>
      <c r="J31" t="s">
        <v>212</v>
      </c>
      <c r="K31" t="s">
        <v>212</v>
      </c>
      <c r="L31" t="s">
        <v>212</v>
      </c>
      <c r="M31" t="s">
        <v>212</v>
      </c>
      <c r="N31" t="s">
        <v>212</v>
      </c>
      <c r="O31" t="s">
        <v>212</v>
      </c>
      <c r="P31" t="s">
        <v>212</v>
      </c>
      <c r="V31" t="s">
        <v>212</v>
      </c>
      <c r="W31" t="s">
        <v>267</v>
      </c>
      <c r="X31" t="s">
        <v>228</v>
      </c>
      <c r="Y31" t="s">
        <v>212</v>
      </c>
      <c r="Z31" t="s">
        <v>212</v>
      </c>
      <c r="AA31" t="s">
        <v>230</v>
      </c>
      <c r="AB31" t="s">
        <v>247</v>
      </c>
      <c r="AC31" t="s">
        <v>226</v>
      </c>
      <c r="AD31" t="s">
        <v>243</v>
      </c>
      <c r="AE31" t="s">
        <v>212</v>
      </c>
      <c r="AF31" t="s">
        <v>212</v>
      </c>
      <c r="AG31" t="s">
        <v>212</v>
      </c>
      <c r="AH31" t="s">
        <v>239</v>
      </c>
      <c r="AI31" t="s">
        <v>212</v>
      </c>
      <c r="AJ31" t="s">
        <v>212</v>
      </c>
      <c r="AK31" t="s">
        <v>212</v>
      </c>
      <c r="AL31" t="s">
        <v>212</v>
      </c>
      <c r="AM31" t="s">
        <v>237</v>
      </c>
      <c r="AN31" t="s">
        <v>212</v>
      </c>
      <c r="AO31" t="s">
        <v>212</v>
      </c>
      <c r="AP31" t="s">
        <v>240</v>
      </c>
      <c r="AQ31" t="s">
        <v>254</v>
      </c>
      <c r="AR31" t="s">
        <v>293</v>
      </c>
      <c r="AS31" t="s">
        <v>295</v>
      </c>
      <c r="AT31" t="s">
        <v>250</v>
      </c>
      <c r="AU31" t="s">
        <v>278</v>
      </c>
      <c r="AV31" t="s">
        <v>212</v>
      </c>
      <c r="AW31" t="s">
        <v>212</v>
      </c>
      <c r="AX31" t="s">
        <v>248</v>
      </c>
      <c r="AY31" t="s">
        <v>212</v>
      </c>
      <c r="AZ31" t="s">
        <v>212</v>
      </c>
      <c r="BA31" t="s">
        <v>212</v>
      </c>
    </row>
    <row r="32" spans="1:53">
      <c r="B32">
        <v>4</v>
      </c>
      <c r="C32" t="s">
        <v>212</v>
      </c>
      <c r="D32" t="s">
        <v>212</v>
      </c>
      <c r="E32" t="s">
        <v>212</v>
      </c>
      <c r="F32" t="s">
        <v>212</v>
      </c>
      <c r="G32" t="s">
        <v>212</v>
      </c>
      <c r="H32" t="s">
        <v>212</v>
      </c>
      <c r="I32" t="s">
        <v>212</v>
      </c>
      <c r="J32" t="s">
        <v>212</v>
      </c>
      <c r="K32" t="s">
        <v>212</v>
      </c>
      <c r="L32" t="s">
        <v>212</v>
      </c>
      <c r="M32" t="s">
        <v>212</v>
      </c>
      <c r="N32" t="s">
        <v>212</v>
      </c>
      <c r="O32" t="s">
        <v>212</v>
      </c>
      <c r="P32" t="s">
        <v>212</v>
      </c>
      <c r="V32" t="s">
        <v>293</v>
      </c>
      <c r="W32" t="s">
        <v>212</v>
      </c>
      <c r="X32" t="s">
        <v>212</v>
      </c>
      <c r="Y32" t="s">
        <v>212</v>
      </c>
      <c r="Z32" t="s">
        <v>212</v>
      </c>
      <c r="AA32" t="s">
        <v>212</v>
      </c>
      <c r="AB32" t="s">
        <v>212</v>
      </c>
      <c r="AC32" t="s">
        <v>212</v>
      </c>
      <c r="AD32" t="s">
        <v>212</v>
      </c>
      <c r="AE32" t="s">
        <v>212</v>
      </c>
      <c r="AF32" t="s">
        <v>212</v>
      </c>
      <c r="AG32" t="s">
        <v>212</v>
      </c>
      <c r="AH32" t="s">
        <v>212</v>
      </c>
      <c r="AI32" t="s">
        <v>212</v>
      </c>
      <c r="AJ32" t="s">
        <v>212</v>
      </c>
      <c r="AK32" t="s">
        <v>212</v>
      </c>
      <c r="AL32" t="s">
        <v>212</v>
      </c>
      <c r="AM32" t="s">
        <v>212</v>
      </c>
      <c r="AN32" t="s">
        <v>212</v>
      </c>
      <c r="AO32" t="s">
        <v>282</v>
      </c>
      <c r="AP32" t="s">
        <v>212</v>
      </c>
      <c r="AQ32" t="s">
        <v>212</v>
      </c>
      <c r="AR32" t="s">
        <v>212</v>
      </c>
      <c r="AS32" t="s">
        <v>212</v>
      </c>
      <c r="AT32" t="s">
        <v>212</v>
      </c>
      <c r="AU32" t="s">
        <v>212</v>
      </c>
      <c r="AV32" t="s">
        <v>212</v>
      </c>
      <c r="AW32" t="s">
        <v>212</v>
      </c>
      <c r="AX32" t="s">
        <v>212</v>
      </c>
      <c r="AY32" t="s">
        <v>212</v>
      </c>
      <c r="AZ32" t="s">
        <v>212</v>
      </c>
      <c r="BA32" t="s">
        <v>212</v>
      </c>
    </row>
    <row r="33" spans="1:57">
      <c r="B33">
        <v>5</v>
      </c>
      <c r="C33" t="s">
        <v>212</v>
      </c>
      <c r="D33" t="s">
        <v>212</v>
      </c>
      <c r="E33" t="s">
        <v>212</v>
      </c>
      <c r="F33" t="s">
        <v>212</v>
      </c>
      <c r="G33" t="s">
        <v>212</v>
      </c>
      <c r="H33" t="s">
        <v>212</v>
      </c>
      <c r="I33" t="s">
        <v>212</v>
      </c>
      <c r="J33" t="s">
        <v>212</v>
      </c>
      <c r="K33" t="s">
        <v>212</v>
      </c>
      <c r="L33" t="s">
        <v>212</v>
      </c>
      <c r="M33" t="s">
        <v>212</v>
      </c>
      <c r="N33" t="s">
        <v>212</v>
      </c>
      <c r="O33" t="s">
        <v>212</v>
      </c>
      <c r="P33" t="s">
        <v>212</v>
      </c>
      <c r="V33" t="s">
        <v>212</v>
      </c>
      <c r="W33" t="s">
        <v>212</v>
      </c>
      <c r="X33" t="s">
        <v>212</v>
      </c>
      <c r="Y33" t="s">
        <v>212</v>
      </c>
      <c r="Z33" t="s">
        <v>212</v>
      </c>
      <c r="AA33" t="s">
        <v>212</v>
      </c>
      <c r="AB33" t="s">
        <v>212</v>
      </c>
      <c r="AC33" t="s">
        <v>212</v>
      </c>
      <c r="AD33" t="s">
        <v>212</v>
      </c>
      <c r="AE33" t="s">
        <v>212</v>
      </c>
      <c r="AF33" t="s">
        <v>212</v>
      </c>
      <c r="AG33" t="s">
        <v>212</v>
      </c>
      <c r="AH33" t="s">
        <v>212</v>
      </c>
      <c r="AI33" t="s">
        <v>212</v>
      </c>
      <c r="AJ33" t="s">
        <v>212</v>
      </c>
      <c r="AK33" t="s">
        <v>212</v>
      </c>
      <c r="AL33" t="s">
        <v>212</v>
      </c>
      <c r="AM33" t="s">
        <v>212</v>
      </c>
      <c r="AN33" t="s">
        <v>212</v>
      </c>
      <c r="AO33" t="s">
        <v>212</v>
      </c>
      <c r="AP33" t="s">
        <v>212</v>
      </c>
      <c r="AQ33" t="s">
        <v>212</v>
      </c>
      <c r="AR33" t="s">
        <v>212</v>
      </c>
      <c r="AS33" t="s">
        <v>212</v>
      </c>
      <c r="AT33" t="s">
        <v>212</v>
      </c>
      <c r="AU33" t="s">
        <v>212</v>
      </c>
      <c r="AV33" t="s">
        <v>212</v>
      </c>
      <c r="AW33" t="s">
        <v>212</v>
      </c>
      <c r="AX33" t="s">
        <v>212</v>
      </c>
      <c r="AY33" t="s">
        <v>212</v>
      </c>
      <c r="AZ33" t="s">
        <v>212</v>
      </c>
      <c r="BA33" t="s">
        <v>212</v>
      </c>
    </row>
    <row r="39" spans="1:57">
      <c r="C39" t="s">
        <v>302</v>
      </c>
    </row>
    <row r="40" spans="1:57">
      <c r="C40" t="s">
        <v>186</v>
      </c>
      <c r="Y40" t="s">
        <v>184</v>
      </c>
      <c r="AP40" t="s">
        <v>300</v>
      </c>
      <c r="AQ40" t="s">
        <v>301</v>
      </c>
      <c r="AR40" t="s">
        <v>185</v>
      </c>
    </row>
    <row r="41" spans="1:57">
      <c r="A41" t="s">
        <v>187</v>
      </c>
      <c r="B41" t="s">
        <v>188</v>
      </c>
      <c r="C41" t="s">
        <v>3</v>
      </c>
      <c r="D41" t="s">
        <v>6</v>
      </c>
      <c r="E41" t="s">
        <v>94</v>
      </c>
      <c r="F41" t="s">
        <v>9</v>
      </c>
      <c r="G41" t="s">
        <v>12</v>
      </c>
      <c r="H41" t="s">
        <v>14</v>
      </c>
      <c r="I41" t="s">
        <v>95</v>
      </c>
      <c r="J41" t="s">
        <v>96</v>
      </c>
      <c r="K41" t="s">
        <v>97</v>
      </c>
      <c r="L41" t="s">
        <v>91</v>
      </c>
      <c r="M41" t="s">
        <v>92</v>
      </c>
      <c r="N41" t="s">
        <v>17</v>
      </c>
      <c r="O41" t="s">
        <v>20</v>
      </c>
      <c r="P41" t="s">
        <v>23</v>
      </c>
      <c r="Q41" t="s">
        <v>26</v>
      </c>
      <c r="R41" t="s">
        <v>93</v>
      </c>
      <c r="S41" t="s">
        <v>28</v>
      </c>
      <c r="T41" t="s">
        <v>30</v>
      </c>
      <c r="U41" t="s">
        <v>33</v>
      </c>
      <c r="V41" t="s">
        <v>36</v>
      </c>
      <c r="W41" t="s">
        <v>37</v>
      </c>
      <c r="X41" t="s">
        <v>303</v>
      </c>
      <c r="Y41" t="s">
        <v>49</v>
      </c>
      <c r="Z41" t="s">
        <v>110</v>
      </c>
      <c r="AA41" t="s">
        <v>51</v>
      </c>
      <c r="AB41" t="s">
        <v>54</v>
      </c>
      <c r="AC41" t="s">
        <v>57</v>
      </c>
      <c r="AD41" t="s">
        <v>58</v>
      </c>
      <c r="AE41" t="s">
        <v>111</v>
      </c>
      <c r="AF41" t="s">
        <v>59</v>
      </c>
      <c r="AG41" t="s">
        <v>113</v>
      </c>
      <c r="AH41" t="s">
        <v>106</v>
      </c>
      <c r="AI41" t="s">
        <v>107</v>
      </c>
      <c r="AJ41" t="s">
        <v>108</v>
      </c>
      <c r="AK41" t="s">
        <v>61</v>
      </c>
      <c r="AL41" t="s">
        <v>109</v>
      </c>
      <c r="AM41" t="s">
        <v>62</v>
      </c>
      <c r="AN41" t="s">
        <v>304</v>
      </c>
      <c r="AO41" t="s">
        <v>305</v>
      </c>
      <c r="AP41" t="s">
        <v>306</v>
      </c>
      <c r="AQ41" t="s">
        <v>307</v>
      </c>
      <c r="AR41" t="s">
        <v>40</v>
      </c>
      <c r="AS41" t="s">
        <v>101</v>
      </c>
      <c r="AT41" t="s">
        <v>41</v>
      </c>
      <c r="AU41" t="s">
        <v>42</v>
      </c>
      <c r="AV41" t="s">
        <v>44</v>
      </c>
      <c r="AW41" t="s">
        <v>102</v>
      </c>
      <c r="AX41" t="s">
        <v>103</v>
      </c>
      <c r="AY41" t="s">
        <v>104</v>
      </c>
      <c r="AZ41" t="s">
        <v>105</v>
      </c>
      <c r="BA41" t="s">
        <v>98</v>
      </c>
      <c r="BB41" t="s">
        <v>45</v>
      </c>
      <c r="BC41" t="s">
        <v>99</v>
      </c>
      <c r="BD41" t="s">
        <v>48</v>
      </c>
      <c r="BE41" t="s">
        <v>100</v>
      </c>
    </row>
    <row r="42" spans="1:57">
      <c r="A42" t="s">
        <v>189</v>
      </c>
      <c r="B42">
        <v>1</v>
      </c>
      <c r="C42" t="s">
        <v>308</v>
      </c>
      <c r="D42" t="s">
        <v>309</v>
      </c>
      <c r="E42" t="s">
        <v>212</v>
      </c>
      <c r="F42" t="s">
        <v>283</v>
      </c>
      <c r="G42" t="s">
        <v>256</v>
      </c>
      <c r="H42" t="s">
        <v>212</v>
      </c>
      <c r="I42" t="e">
        <v>#N/A</v>
      </c>
      <c r="J42" t="s">
        <v>246</v>
      </c>
      <c r="K42" t="s">
        <v>217</v>
      </c>
      <c r="L42" t="s">
        <v>245</v>
      </c>
      <c r="M42" t="e">
        <v>#N/A</v>
      </c>
      <c r="N42" t="e">
        <v>#N/A</v>
      </c>
      <c r="O42" t="s">
        <v>233</v>
      </c>
      <c r="P42" t="s">
        <v>212</v>
      </c>
      <c r="Q42" t="s">
        <v>251</v>
      </c>
      <c r="R42" t="e">
        <v>#N/A</v>
      </c>
      <c r="S42" t="s">
        <v>241</v>
      </c>
      <c r="T42" t="e">
        <v>#N/A</v>
      </c>
      <c r="U42" t="s">
        <v>209</v>
      </c>
      <c r="V42" t="e">
        <v>#N/A</v>
      </c>
      <c r="W42" t="s">
        <v>262</v>
      </c>
      <c r="X42" t="s">
        <v>212</v>
      </c>
      <c r="Y42" t="s">
        <v>213</v>
      </c>
      <c r="Z42" t="s">
        <v>259</v>
      </c>
      <c r="AA42" t="s">
        <v>223</v>
      </c>
      <c r="AB42" t="s">
        <v>236</v>
      </c>
      <c r="AC42" t="s">
        <v>221</v>
      </c>
      <c r="AD42" t="s">
        <v>253</v>
      </c>
      <c r="AE42" t="s">
        <v>266</v>
      </c>
      <c r="AF42" t="s">
        <v>297</v>
      </c>
      <c r="AG42" t="s">
        <v>235</v>
      </c>
      <c r="AH42" t="s">
        <v>271</v>
      </c>
      <c r="AI42" t="s">
        <v>255</v>
      </c>
      <c r="AJ42" t="s">
        <v>274</v>
      </c>
      <c r="AK42" t="s">
        <v>273</v>
      </c>
      <c r="AL42" t="s">
        <v>270</v>
      </c>
      <c r="AM42" t="s">
        <v>215</v>
      </c>
      <c r="AN42" t="s">
        <v>212</v>
      </c>
      <c r="AO42" t="s">
        <v>212</v>
      </c>
      <c r="AP42" t="s">
        <v>212</v>
      </c>
      <c r="AQ42" t="s">
        <v>212</v>
      </c>
      <c r="AR42" t="s">
        <v>226</v>
      </c>
      <c r="AS42" t="s">
        <v>310</v>
      </c>
      <c r="AT42" t="s">
        <v>228</v>
      </c>
      <c r="AU42" t="e">
        <v>#N/A</v>
      </c>
      <c r="AV42" t="s">
        <v>260</v>
      </c>
      <c r="AW42" t="s">
        <v>232</v>
      </c>
      <c r="AX42" t="s">
        <v>212</v>
      </c>
      <c r="AY42" t="e">
        <v>#N/A</v>
      </c>
      <c r="AZ42" t="s">
        <v>308</v>
      </c>
      <c r="BA42" t="s">
        <v>244</v>
      </c>
      <c r="BB42" t="e">
        <v>#N/A</v>
      </c>
      <c r="BC42" t="s">
        <v>258</v>
      </c>
      <c r="BD42" t="s">
        <v>298</v>
      </c>
      <c r="BE42" t="e">
        <v>#N/A</v>
      </c>
    </row>
    <row r="43" spans="1:57">
      <c r="B43">
        <v>2</v>
      </c>
      <c r="C43" t="s">
        <v>308</v>
      </c>
      <c r="D43" t="s">
        <v>309</v>
      </c>
      <c r="E43" t="s">
        <v>212</v>
      </c>
      <c r="F43" t="s">
        <v>283</v>
      </c>
      <c r="G43" t="s">
        <v>256</v>
      </c>
      <c r="H43" t="s">
        <v>212</v>
      </c>
      <c r="I43" t="e">
        <v>#N/A</v>
      </c>
      <c r="J43" t="s">
        <v>246</v>
      </c>
      <c r="K43" t="s">
        <v>217</v>
      </c>
      <c r="L43" t="s">
        <v>245</v>
      </c>
      <c r="M43" t="e">
        <v>#N/A</v>
      </c>
      <c r="N43" t="e">
        <v>#N/A</v>
      </c>
      <c r="O43" t="s">
        <v>270</v>
      </c>
      <c r="P43" t="s">
        <v>216</v>
      </c>
      <c r="Q43" t="s">
        <v>233</v>
      </c>
      <c r="R43" t="e">
        <v>#N/A</v>
      </c>
      <c r="S43" t="s">
        <v>241</v>
      </c>
      <c r="T43" t="e">
        <v>#N/A</v>
      </c>
      <c r="U43" t="s">
        <v>262</v>
      </c>
      <c r="V43" t="e">
        <v>#N/A</v>
      </c>
      <c r="W43" t="s">
        <v>265</v>
      </c>
      <c r="X43" t="s">
        <v>212</v>
      </c>
      <c r="Y43" t="s">
        <v>213</v>
      </c>
      <c r="Z43" t="s">
        <v>214</v>
      </c>
      <c r="AA43" t="s">
        <v>215</v>
      </c>
      <c r="AB43" t="s">
        <v>236</v>
      </c>
      <c r="AC43" t="s">
        <v>221</v>
      </c>
      <c r="AD43" t="s">
        <v>253</v>
      </c>
      <c r="AE43" t="s">
        <v>266</v>
      </c>
      <c r="AF43" t="s">
        <v>297</v>
      </c>
      <c r="AG43" t="s">
        <v>235</v>
      </c>
      <c r="AH43" t="s">
        <v>271</v>
      </c>
      <c r="AI43" t="s">
        <v>222</v>
      </c>
      <c r="AJ43" t="s">
        <v>228</v>
      </c>
      <c r="AK43" t="s">
        <v>274</v>
      </c>
      <c r="AL43" t="s">
        <v>273</v>
      </c>
      <c r="AM43" t="s">
        <v>209</v>
      </c>
      <c r="AN43" t="s">
        <v>212</v>
      </c>
      <c r="AO43" t="s">
        <v>212</v>
      </c>
      <c r="AP43" t="s">
        <v>212</v>
      </c>
      <c r="AQ43" t="s">
        <v>212</v>
      </c>
      <c r="AR43" t="s">
        <v>226</v>
      </c>
      <c r="AS43" t="s">
        <v>310</v>
      </c>
      <c r="AT43" t="s">
        <v>223</v>
      </c>
      <c r="AU43" t="e">
        <v>#N/A</v>
      </c>
      <c r="AV43" t="s">
        <v>260</v>
      </c>
      <c r="AW43" t="s">
        <v>232</v>
      </c>
      <c r="AX43" t="s">
        <v>212</v>
      </c>
      <c r="AY43" t="e">
        <v>#N/A</v>
      </c>
      <c r="AZ43" t="s">
        <v>308</v>
      </c>
      <c r="BA43" t="s">
        <v>244</v>
      </c>
      <c r="BB43" t="e">
        <v>#N/A</v>
      </c>
      <c r="BC43" t="s">
        <v>258</v>
      </c>
      <c r="BD43" t="s">
        <v>298</v>
      </c>
      <c r="BE43" t="e">
        <v>#N/A</v>
      </c>
    </row>
    <row r="44" spans="1:57">
      <c r="B44">
        <v>3</v>
      </c>
      <c r="C44" t="e">
        <v>#N/A</v>
      </c>
      <c r="D44" t="s">
        <v>251</v>
      </c>
      <c r="E44" t="s">
        <v>212</v>
      </c>
      <c r="F44" t="s">
        <v>217</v>
      </c>
      <c r="G44" t="e">
        <v>#N/A</v>
      </c>
      <c r="H44" t="s">
        <v>212</v>
      </c>
      <c r="I44" t="s">
        <v>271</v>
      </c>
      <c r="J44" t="s">
        <v>308</v>
      </c>
      <c r="K44" t="e">
        <v>#N/A</v>
      </c>
      <c r="L44" t="s">
        <v>212</v>
      </c>
      <c r="M44" t="s">
        <v>262</v>
      </c>
      <c r="N44" t="s">
        <v>212</v>
      </c>
      <c r="O44" t="s">
        <v>215</v>
      </c>
      <c r="P44" t="s">
        <v>265</v>
      </c>
      <c r="Q44" t="s">
        <v>233</v>
      </c>
      <c r="R44" t="s">
        <v>212</v>
      </c>
      <c r="S44" t="s">
        <v>308</v>
      </c>
      <c r="T44" t="s">
        <v>212</v>
      </c>
      <c r="U44" t="e">
        <v>#N/A</v>
      </c>
      <c r="V44" t="s">
        <v>286</v>
      </c>
      <c r="W44" t="s">
        <v>270</v>
      </c>
      <c r="X44" t="s">
        <v>212</v>
      </c>
      <c r="Y44" t="s">
        <v>253</v>
      </c>
      <c r="Z44" t="s">
        <v>214</v>
      </c>
      <c r="AA44" t="s">
        <v>255</v>
      </c>
      <c r="AB44" t="s">
        <v>299</v>
      </c>
      <c r="AC44" t="s">
        <v>245</v>
      </c>
      <c r="AD44" t="s">
        <v>216</v>
      </c>
      <c r="AE44" t="s">
        <v>297</v>
      </c>
      <c r="AF44" t="s">
        <v>273</v>
      </c>
      <c r="AG44" t="s">
        <v>274</v>
      </c>
      <c r="AH44" t="s">
        <v>235</v>
      </c>
      <c r="AI44" t="s">
        <v>283</v>
      </c>
      <c r="AJ44" t="s">
        <v>259</v>
      </c>
      <c r="AK44" t="s">
        <v>222</v>
      </c>
      <c r="AL44" t="s">
        <v>236</v>
      </c>
      <c r="AM44" t="s">
        <v>209</v>
      </c>
      <c r="AN44" t="s">
        <v>212</v>
      </c>
      <c r="AO44" t="s">
        <v>212</v>
      </c>
      <c r="AP44" t="s">
        <v>212</v>
      </c>
      <c r="AQ44" t="s">
        <v>212</v>
      </c>
      <c r="AR44" t="s">
        <v>212</v>
      </c>
      <c r="AS44" t="s">
        <v>212</v>
      </c>
      <c r="AT44" t="s">
        <v>223</v>
      </c>
      <c r="AU44" t="s">
        <v>212</v>
      </c>
      <c r="AV44" t="e">
        <v>#N/A</v>
      </c>
      <c r="AW44" t="s">
        <v>212</v>
      </c>
      <c r="AX44" t="s">
        <v>308</v>
      </c>
      <c r="AY44" t="s">
        <v>298</v>
      </c>
      <c r="AZ44" t="s">
        <v>212</v>
      </c>
      <c r="BA44" t="s">
        <v>212</v>
      </c>
      <c r="BB44" t="s">
        <v>212</v>
      </c>
      <c r="BC44" t="s">
        <v>212</v>
      </c>
      <c r="BD44" t="s">
        <v>212</v>
      </c>
      <c r="BE44" t="s">
        <v>212</v>
      </c>
    </row>
    <row r="45" spans="1:57">
      <c r="B45">
        <v>4</v>
      </c>
      <c r="C45" t="e">
        <v>#N/A</v>
      </c>
      <c r="D45" t="s">
        <v>251</v>
      </c>
      <c r="E45" t="s">
        <v>212</v>
      </c>
      <c r="F45" t="s">
        <v>212</v>
      </c>
      <c r="G45" t="e">
        <v>#N/A</v>
      </c>
      <c r="H45" t="s">
        <v>212</v>
      </c>
      <c r="I45" t="s">
        <v>271</v>
      </c>
      <c r="J45" t="s">
        <v>308</v>
      </c>
      <c r="K45" t="e">
        <v>#N/A</v>
      </c>
      <c r="L45" t="s">
        <v>212</v>
      </c>
      <c r="M45" t="s">
        <v>212</v>
      </c>
      <c r="N45" t="s">
        <v>212</v>
      </c>
      <c r="O45" t="s">
        <v>212</v>
      </c>
      <c r="P45" t="s">
        <v>212</v>
      </c>
      <c r="Q45" t="s">
        <v>270</v>
      </c>
      <c r="R45" t="s">
        <v>212</v>
      </c>
      <c r="S45" t="s">
        <v>308</v>
      </c>
      <c r="T45" t="s">
        <v>212</v>
      </c>
      <c r="U45" t="e">
        <v>#N/A</v>
      </c>
      <c r="V45" t="s">
        <v>286</v>
      </c>
      <c r="W45" t="s">
        <v>212</v>
      </c>
      <c r="X45" t="s">
        <v>212</v>
      </c>
      <c r="Y45" t="s">
        <v>253</v>
      </c>
      <c r="Z45" t="s">
        <v>212</v>
      </c>
      <c r="AA45" t="s">
        <v>273</v>
      </c>
      <c r="AB45" t="s">
        <v>299</v>
      </c>
      <c r="AC45" t="s">
        <v>245</v>
      </c>
      <c r="AD45" t="s">
        <v>216</v>
      </c>
      <c r="AE45" t="s">
        <v>262</v>
      </c>
      <c r="AF45" t="s">
        <v>265</v>
      </c>
      <c r="AG45" t="s">
        <v>274</v>
      </c>
      <c r="AH45" t="s">
        <v>235</v>
      </c>
      <c r="AI45" t="s">
        <v>283</v>
      </c>
      <c r="AJ45" t="s">
        <v>259</v>
      </c>
      <c r="AK45" t="s">
        <v>222</v>
      </c>
      <c r="AL45" t="s">
        <v>228</v>
      </c>
      <c r="AM45" t="s">
        <v>212</v>
      </c>
      <c r="AN45" t="s">
        <v>212</v>
      </c>
      <c r="AO45" t="s">
        <v>212</v>
      </c>
      <c r="AP45" t="s">
        <v>212</v>
      </c>
      <c r="AQ45" t="s">
        <v>212</v>
      </c>
      <c r="AR45" t="s">
        <v>212</v>
      </c>
      <c r="AS45" t="s">
        <v>212</v>
      </c>
      <c r="AT45" t="s">
        <v>212</v>
      </c>
      <c r="AU45" t="s">
        <v>212</v>
      </c>
      <c r="AV45" t="e">
        <v>#N/A</v>
      </c>
      <c r="AW45" t="s">
        <v>212</v>
      </c>
      <c r="AX45" t="s">
        <v>308</v>
      </c>
      <c r="AY45" t="s">
        <v>298</v>
      </c>
      <c r="AZ45" t="s">
        <v>212</v>
      </c>
      <c r="BA45" t="s">
        <v>212</v>
      </c>
      <c r="BB45" t="s">
        <v>212</v>
      </c>
      <c r="BC45" t="s">
        <v>212</v>
      </c>
      <c r="BD45" t="s">
        <v>212</v>
      </c>
      <c r="BE45" t="s">
        <v>212</v>
      </c>
    </row>
    <row r="46" spans="1:57">
      <c r="B46">
        <v>5</v>
      </c>
      <c r="C46" t="s">
        <v>212</v>
      </c>
      <c r="D46" t="s">
        <v>212</v>
      </c>
      <c r="E46" t="s">
        <v>212</v>
      </c>
      <c r="F46" t="s">
        <v>212</v>
      </c>
      <c r="G46" t="s">
        <v>212</v>
      </c>
      <c r="H46" t="s">
        <v>212</v>
      </c>
      <c r="I46" t="s">
        <v>212</v>
      </c>
      <c r="J46" t="s">
        <v>212</v>
      </c>
      <c r="K46" t="s">
        <v>212</v>
      </c>
      <c r="L46" t="s">
        <v>212</v>
      </c>
      <c r="M46" t="s">
        <v>212</v>
      </c>
      <c r="N46" t="s">
        <v>212</v>
      </c>
      <c r="O46" t="s">
        <v>212</v>
      </c>
      <c r="P46" t="s">
        <v>212</v>
      </c>
      <c r="Q46" t="s">
        <v>212</v>
      </c>
      <c r="R46" t="s">
        <v>212</v>
      </c>
      <c r="S46" t="s">
        <v>212</v>
      </c>
      <c r="T46" t="s">
        <v>212</v>
      </c>
      <c r="U46" t="s">
        <v>212</v>
      </c>
      <c r="V46" t="s">
        <v>212</v>
      </c>
      <c r="W46" t="s">
        <v>212</v>
      </c>
      <c r="X46" t="s">
        <v>212</v>
      </c>
      <c r="Y46" t="s">
        <v>212</v>
      </c>
      <c r="Z46" t="s">
        <v>212</v>
      </c>
      <c r="AA46" t="s">
        <v>212</v>
      </c>
      <c r="AB46" t="s">
        <v>212</v>
      </c>
      <c r="AC46" t="s">
        <v>212</v>
      </c>
      <c r="AD46" t="s">
        <v>212</v>
      </c>
      <c r="AE46" t="s">
        <v>212</v>
      </c>
      <c r="AF46" t="s">
        <v>212</v>
      </c>
      <c r="AG46" t="s">
        <v>212</v>
      </c>
      <c r="AH46" t="s">
        <v>212</v>
      </c>
      <c r="AI46" t="s">
        <v>212</v>
      </c>
      <c r="AJ46" t="s">
        <v>212</v>
      </c>
      <c r="AK46" t="s">
        <v>212</v>
      </c>
      <c r="AL46" t="s">
        <v>212</v>
      </c>
      <c r="AM46" t="s">
        <v>212</v>
      </c>
      <c r="AN46" t="s">
        <v>212</v>
      </c>
      <c r="AO46" t="s">
        <v>212</v>
      </c>
      <c r="AP46" t="s">
        <v>212</v>
      </c>
      <c r="AQ46" t="s">
        <v>212</v>
      </c>
      <c r="AR46" t="s">
        <v>212</v>
      </c>
      <c r="AS46" t="s">
        <v>212</v>
      </c>
      <c r="AT46" t="s">
        <v>212</v>
      </c>
      <c r="AU46" t="s">
        <v>212</v>
      </c>
      <c r="AV46" t="s">
        <v>212</v>
      </c>
      <c r="AW46" t="s">
        <v>212</v>
      </c>
      <c r="AX46" t="s">
        <v>212</v>
      </c>
      <c r="AY46" t="s">
        <v>212</v>
      </c>
      <c r="AZ46" t="s">
        <v>212</v>
      </c>
      <c r="BA46" t="s">
        <v>212</v>
      </c>
      <c r="BB46" t="s">
        <v>212</v>
      </c>
      <c r="BC46" t="s">
        <v>212</v>
      </c>
      <c r="BD46" t="s">
        <v>212</v>
      </c>
      <c r="BE46" t="s">
        <v>212</v>
      </c>
    </row>
    <row r="47" spans="1:57">
      <c r="A47" t="s">
        <v>191</v>
      </c>
      <c r="B47">
        <v>1</v>
      </c>
      <c r="C47" t="s">
        <v>261</v>
      </c>
      <c r="D47" t="s">
        <v>212</v>
      </c>
      <c r="E47" t="s">
        <v>239</v>
      </c>
      <c r="F47" t="e">
        <v>#N/A</v>
      </c>
      <c r="G47" t="e">
        <v>#N/A</v>
      </c>
      <c r="H47" t="s">
        <v>286</v>
      </c>
      <c r="I47" t="s">
        <v>212</v>
      </c>
      <c r="J47" t="s">
        <v>212</v>
      </c>
      <c r="K47" t="s">
        <v>278</v>
      </c>
      <c r="L47" t="s">
        <v>263</v>
      </c>
      <c r="M47" t="s">
        <v>244</v>
      </c>
      <c r="N47" t="e">
        <v>#N/A</v>
      </c>
      <c r="O47" t="s">
        <v>308</v>
      </c>
      <c r="P47" t="s">
        <v>220</v>
      </c>
      <c r="Q47" t="e">
        <v>#N/A</v>
      </c>
      <c r="R47" t="s">
        <v>257</v>
      </c>
      <c r="S47" t="s">
        <v>311</v>
      </c>
      <c r="T47" t="s">
        <v>276</v>
      </c>
      <c r="U47" t="s">
        <v>312</v>
      </c>
      <c r="V47" t="s">
        <v>212</v>
      </c>
      <c r="W47" t="s">
        <v>212</v>
      </c>
      <c r="X47" t="s">
        <v>212</v>
      </c>
      <c r="Y47" t="s">
        <v>285</v>
      </c>
      <c r="Z47" t="s">
        <v>280</v>
      </c>
      <c r="AA47" t="s">
        <v>215</v>
      </c>
      <c r="AB47" t="s">
        <v>254</v>
      </c>
      <c r="AC47" t="s">
        <v>291</v>
      </c>
      <c r="AD47" t="s">
        <v>288</v>
      </c>
      <c r="AE47" t="s">
        <v>277</v>
      </c>
      <c r="AF47" t="s">
        <v>294</v>
      </c>
      <c r="AG47" t="s">
        <v>294</v>
      </c>
      <c r="AH47" t="s">
        <v>292</v>
      </c>
      <c r="AI47" t="s">
        <v>212</v>
      </c>
      <c r="AJ47" t="s">
        <v>290</v>
      </c>
      <c r="AK47" t="s">
        <v>269</v>
      </c>
      <c r="AL47" t="s">
        <v>268</v>
      </c>
      <c r="AM47" t="s">
        <v>225</v>
      </c>
      <c r="AN47" t="s">
        <v>212</v>
      </c>
      <c r="AO47" t="s">
        <v>212</v>
      </c>
      <c r="AP47" t="s">
        <v>212</v>
      </c>
      <c r="AQ47" t="s">
        <v>212</v>
      </c>
      <c r="AR47" t="e">
        <v>#N/A</v>
      </c>
      <c r="AS47" t="s">
        <v>224</v>
      </c>
      <c r="AT47" t="s">
        <v>212</v>
      </c>
      <c r="AU47" t="s">
        <v>228</v>
      </c>
      <c r="AV47" t="s">
        <v>212</v>
      </c>
      <c r="AW47" t="s">
        <v>234</v>
      </c>
      <c r="AX47" t="s">
        <v>212</v>
      </c>
      <c r="AY47" t="s">
        <v>208</v>
      </c>
      <c r="AZ47" t="s">
        <v>212</v>
      </c>
      <c r="BA47" t="e">
        <v>#N/A</v>
      </c>
      <c r="BB47" t="s">
        <v>212</v>
      </c>
      <c r="BC47" t="s">
        <v>310</v>
      </c>
      <c r="BD47" t="s">
        <v>212</v>
      </c>
      <c r="BE47" t="s">
        <v>212</v>
      </c>
    </row>
    <row r="48" spans="1:57">
      <c r="A48" t="s">
        <v>192</v>
      </c>
      <c r="B48">
        <v>2</v>
      </c>
      <c r="C48" t="s">
        <v>261</v>
      </c>
      <c r="D48" t="s">
        <v>270</v>
      </c>
      <c r="E48" t="s">
        <v>239</v>
      </c>
      <c r="F48" t="e">
        <v>#N/A</v>
      </c>
      <c r="G48" t="e">
        <v>#N/A</v>
      </c>
      <c r="H48" t="s">
        <v>286</v>
      </c>
      <c r="I48" t="s">
        <v>212</v>
      </c>
      <c r="J48" t="s">
        <v>212</v>
      </c>
      <c r="K48" t="s">
        <v>234</v>
      </c>
      <c r="L48" t="s">
        <v>263</v>
      </c>
      <c r="M48" t="s">
        <v>244</v>
      </c>
      <c r="N48" t="e">
        <v>#N/A</v>
      </c>
      <c r="O48" t="s">
        <v>308</v>
      </c>
      <c r="P48" t="s">
        <v>220</v>
      </c>
      <c r="Q48" t="e">
        <v>#N/A</v>
      </c>
      <c r="R48" t="e">
        <v>#N/A</v>
      </c>
      <c r="S48" t="s">
        <v>311</v>
      </c>
      <c r="T48" t="s">
        <v>276</v>
      </c>
      <c r="U48" t="s">
        <v>312</v>
      </c>
      <c r="V48" t="s">
        <v>225</v>
      </c>
      <c r="W48" t="s">
        <v>231</v>
      </c>
      <c r="X48" t="s">
        <v>212</v>
      </c>
      <c r="Y48" t="s">
        <v>278</v>
      </c>
      <c r="Z48" t="s">
        <v>280</v>
      </c>
      <c r="AA48" t="s">
        <v>215</v>
      </c>
      <c r="AB48" t="s">
        <v>268</v>
      </c>
      <c r="AC48" t="s">
        <v>291</v>
      </c>
      <c r="AD48" t="s">
        <v>210</v>
      </c>
      <c r="AE48" t="s">
        <v>277</v>
      </c>
      <c r="AF48" t="s">
        <v>294</v>
      </c>
      <c r="AG48" t="s">
        <v>294</v>
      </c>
      <c r="AH48" t="s">
        <v>292</v>
      </c>
      <c r="AI48" t="s">
        <v>212</v>
      </c>
      <c r="AJ48" t="s">
        <v>290</v>
      </c>
      <c r="AK48" t="s">
        <v>218</v>
      </c>
      <c r="AL48" t="s">
        <v>288</v>
      </c>
      <c r="AM48" t="s">
        <v>285</v>
      </c>
      <c r="AN48" t="s">
        <v>212</v>
      </c>
      <c r="AO48" t="s">
        <v>212</v>
      </c>
      <c r="AP48" t="s">
        <v>212</v>
      </c>
      <c r="AQ48" t="s">
        <v>212</v>
      </c>
      <c r="AR48" t="e">
        <v>#N/A</v>
      </c>
      <c r="AS48" t="s">
        <v>224</v>
      </c>
      <c r="AT48" t="s">
        <v>212</v>
      </c>
      <c r="AU48" t="s">
        <v>228</v>
      </c>
      <c r="AV48" t="s">
        <v>212</v>
      </c>
      <c r="AW48" t="s">
        <v>227</v>
      </c>
      <c r="AX48" t="s">
        <v>212</v>
      </c>
      <c r="AY48" t="s">
        <v>269</v>
      </c>
      <c r="AZ48" t="s">
        <v>212</v>
      </c>
      <c r="BA48" t="e">
        <v>#N/A</v>
      </c>
      <c r="BB48" t="s">
        <v>212</v>
      </c>
      <c r="BC48" t="s">
        <v>310</v>
      </c>
      <c r="BD48" t="s">
        <v>212</v>
      </c>
      <c r="BE48" t="s">
        <v>212</v>
      </c>
    </row>
    <row r="49" spans="1:57">
      <c r="A49" t="s">
        <v>191</v>
      </c>
      <c r="B49">
        <v>3</v>
      </c>
      <c r="C49" t="s">
        <v>299</v>
      </c>
      <c r="D49" t="s">
        <v>208</v>
      </c>
      <c r="E49" t="s">
        <v>309</v>
      </c>
      <c r="F49" t="s">
        <v>212</v>
      </c>
      <c r="G49" t="s">
        <v>212</v>
      </c>
      <c r="H49" t="e">
        <v>#N/A</v>
      </c>
      <c r="I49" t="s">
        <v>231</v>
      </c>
      <c r="J49" t="s">
        <v>212</v>
      </c>
      <c r="K49" t="s">
        <v>308</v>
      </c>
      <c r="L49" t="s">
        <v>288</v>
      </c>
      <c r="M49" t="s">
        <v>308</v>
      </c>
      <c r="N49" t="s">
        <v>212</v>
      </c>
      <c r="O49" t="e">
        <v>#N/A</v>
      </c>
      <c r="P49" t="s">
        <v>263</v>
      </c>
      <c r="Q49" t="e">
        <v>#N/A</v>
      </c>
      <c r="R49" t="s">
        <v>311</v>
      </c>
      <c r="S49" t="s">
        <v>257</v>
      </c>
      <c r="T49" t="s">
        <v>227</v>
      </c>
      <c r="U49" t="s">
        <v>212</v>
      </c>
      <c r="V49" t="s">
        <v>225</v>
      </c>
      <c r="W49" t="s">
        <v>239</v>
      </c>
      <c r="X49" t="s">
        <v>212</v>
      </c>
      <c r="Y49" t="s">
        <v>278</v>
      </c>
      <c r="Z49" t="s">
        <v>292</v>
      </c>
      <c r="AA49" t="s">
        <v>277</v>
      </c>
      <c r="AB49" t="s">
        <v>270</v>
      </c>
      <c r="AC49" t="s">
        <v>269</v>
      </c>
      <c r="AD49" t="s">
        <v>289</v>
      </c>
      <c r="AE49" t="s">
        <v>210</v>
      </c>
      <c r="AF49" t="s">
        <v>220</v>
      </c>
      <c r="AG49" t="s">
        <v>224</v>
      </c>
      <c r="AH49" t="s">
        <v>254</v>
      </c>
      <c r="AI49" t="s">
        <v>292</v>
      </c>
      <c r="AJ49" t="s">
        <v>268</v>
      </c>
      <c r="AK49" t="s">
        <v>218</v>
      </c>
      <c r="AL49" t="s">
        <v>291</v>
      </c>
      <c r="AM49" t="s">
        <v>291</v>
      </c>
      <c r="AN49" t="s">
        <v>212</v>
      </c>
      <c r="AO49" t="s">
        <v>212</v>
      </c>
      <c r="AP49" t="s">
        <v>212</v>
      </c>
      <c r="AQ49" t="s">
        <v>212</v>
      </c>
      <c r="AR49" t="e">
        <v>#N/A</v>
      </c>
      <c r="AS49" t="s">
        <v>285</v>
      </c>
      <c r="AT49" t="e">
        <v>#N/A</v>
      </c>
      <c r="AU49" t="s">
        <v>212</v>
      </c>
      <c r="AV49" t="e">
        <v>#N/A</v>
      </c>
      <c r="AW49" t="e">
        <v>#N/A</v>
      </c>
      <c r="AX49" t="e">
        <v>#N/A</v>
      </c>
      <c r="AY49" t="s">
        <v>234</v>
      </c>
      <c r="AZ49" t="e">
        <v>#N/A</v>
      </c>
      <c r="BA49" t="e">
        <v>#N/A</v>
      </c>
      <c r="BB49" t="e">
        <v>#N/A</v>
      </c>
      <c r="BC49" t="s">
        <v>212</v>
      </c>
      <c r="BD49" t="e">
        <v>#N/A</v>
      </c>
      <c r="BE49" t="e">
        <v>#N/A</v>
      </c>
    </row>
    <row r="50" spans="1:57">
      <c r="B50">
        <v>4</v>
      </c>
      <c r="C50" t="s">
        <v>299</v>
      </c>
      <c r="D50" t="s">
        <v>212</v>
      </c>
      <c r="E50" t="s">
        <v>309</v>
      </c>
      <c r="F50" t="s">
        <v>212</v>
      </c>
      <c r="G50" t="s">
        <v>212</v>
      </c>
      <c r="H50" t="e">
        <v>#N/A</v>
      </c>
      <c r="I50" t="s">
        <v>231</v>
      </c>
      <c r="J50" t="s">
        <v>212</v>
      </c>
      <c r="K50" t="s">
        <v>308</v>
      </c>
      <c r="L50" t="s">
        <v>288</v>
      </c>
      <c r="M50" t="s">
        <v>308</v>
      </c>
      <c r="N50" t="s">
        <v>212</v>
      </c>
      <c r="O50" t="e">
        <v>#N/A</v>
      </c>
      <c r="P50" t="s">
        <v>263</v>
      </c>
      <c r="Q50" t="e">
        <v>#N/A</v>
      </c>
      <c r="R50" t="s">
        <v>311</v>
      </c>
      <c r="S50" t="s">
        <v>207</v>
      </c>
      <c r="T50" t="s">
        <v>208</v>
      </c>
      <c r="U50" t="s">
        <v>212</v>
      </c>
      <c r="V50" t="s">
        <v>212</v>
      </c>
      <c r="W50" t="s">
        <v>239</v>
      </c>
      <c r="X50" t="s">
        <v>212</v>
      </c>
      <c r="Y50" t="s">
        <v>212</v>
      </c>
      <c r="Z50" t="s">
        <v>292</v>
      </c>
      <c r="AA50" t="s">
        <v>277</v>
      </c>
      <c r="AB50" t="s">
        <v>225</v>
      </c>
      <c r="AC50" t="s">
        <v>269</v>
      </c>
      <c r="AD50" t="s">
        <v>289</v>
      </c>
      <c r="AE50" t="s">
        <v>285</v>
      </c>
      <c r="AF50" t="s">
        <v>220</v>
      </c>
      <c r="AG50" t="s">
        <v>224</v>
      </c>
      <c r="AH50" t="s">
        <v>254</v>
      </c>
      <c r="AI50" t="s">
        <v>292</v>
      </c>
      <c r="AJ50" t="s">
        <v>270</v>
      </c>
      <c r="AK50" t="s">
        <v>212</v>
      </c>
      <c r="AL50" t="s">
        <v>291</v>
      </c>
      <c r="AM50" t="s">
        <v>291</v>
      </c>
      <c r="AN50" t="s">
        <v>212</v>
      </c>
      <c r="AO50" t="s">
        <v>212</v>
      </c>
      <c r="AP50" t="s">
        <v>212</v>
      </c>
      <c r="AQ50" t="s">
        <v>212</v>
      </c>
      <c r="AR50" t="e">
        <v>#N/A</v>
      </c>
      <c r="AS50" t="s">
        <v>212</v>
      </c>
      <c r="AT50" t="e">
        <v>#N/A</v>
      </c>
      <c r="AU50" t="s">
        <v>212</v>
      </c>
      <c r="AV50" t="e">
        <v>#N/A</v>
      </c>
      <c r="AW50" t="e">
        <v>#N/A</v>
      </c>
      <c r="AX50" t="e">
        <v>#N/A</v>
      </c>
      <c r="AY50" t="s">
        <v>212</v>
      </c>
      <c r="AZ50" t="e">
        <v>#N/A</v>
      </c>
      <c r="BA50" t="e">
        <v>#N/A</v>
      </c>
      <c r="BB50" t="e">
        <v>#N/A</v>
      </c>
      <c r="BC50" t="s">
        <v>212</v>
      </c>
      <c r="BD50" t="e">
        <v>#N/A</v>
      </c>
      <c r="BE50" t="e">
        <v>#N/A</v>
      </c>
    </row>
    <row r="51" spans="1:57">
      <c r="B51">
        <v>5</v>
      </c>
      <c r="C51" t="s">
        <v>212</v>
      </c>
      <c r="D51" t="s">
        <v>212</v>
      </c>
      <c r="E51" t="s">
        <v>212</v>
      </c>
      <c r="F51" t="s">
        <v>212</v>
      </c>
      <c r="G51" t="s">
        <v>212</v>
      </c>
      <c r="H51" t="s">
        <v>212</v>
      </c>
      <c r="I51" t="s">
        <v>212</v>
      </c>
      <c r="J51" t="s">
        <v>212</v>
      </c>
      <c r="K51" t="s">
        <v>212</v>
      </c>
      <c r="L51" t="s">
        <v>212</v>
      </c>
      <c r="M51" t="s">
        <v>212</v>
      </c>
      <c r="N51" t="s">
        <v>212</v>
      </c>
      <c r="O51" t="s">
        <v>212</v>
      </c>
      <c r="P51" t="s">
        <v>212</v>
      </c>
      <c r="Q51" t="s">
        <v>212</v>
      </c>
      <c r="R51" t="s">
        <v>212</v>
      </c>
      <c r="S51" t="s">
        <v>212</v>
      </c>
      <c r="T51" t="s">
        <v>212</v>
      </c>
      <c r="U51" t="s">
        <v>212</v>
      </c>
      <c r="V51" t="s">
        <v>212</v>
      </c>
      <c r="W51" t="s">
        <v>212</v>
      </c>
      <c r="X51" t="s">
        <v>212</v>
      </c>
      <c r="Y51" t="s">
        <v>212</v>
      </c>
      <c r="Z51" t="s">
        <v>212</v>
      </c>
      <c r="AA51" t="s">
        <v>212</v>
      </c>
      <c r="AB51" t="s">
        <v>212</v>
      </c>
      <c r="AC51" t="s">
        <v>212</v>
      </c>
      <c r="AD51" t="s">
        <v>212</v>
      </c>
      <c r="AE51" t="s">
        <v>212</v>
      </c>
      <c r="AF51" t="s">
        <v>212</v>
      </c>
      <c r="AG51" t="s">
        <v>212</v>
      </c>
      <c r="AH51" t="s">
        <v>212</v>
      </c>
      <c r="AI51" t="s">
        <v>212</v>
      </c>
      <c r="AJ51" t="s">
        <v>212</v>
      </c>
      <c r="AK51" t="s">
        <v>212</v>
      </c>
      <c r="AL51" t="s">
        <v>212</v>
      </c>
      <c r="AM51" t="s">
        <v>212</v>
      </c>
      <c r="AN51" t="s">
        <v>212</v>
      </c>
      <c r="AO51" t="s">
        <v>212</v>
      </c>
      <c r="AP51" t="s">
        <v>212</v>
      </c>
      <c r="AQ51" t="s">
        <v>212</v>
      </c>
      <c r="AR51" t="s">
        <v>212</v>
      </c>
      <c r="AS51" t="s">
        <v>212</v>
      </c>
      <c r="AT51" t="s">
        <v>212</v>
      </c>
      <c r="AU51" t="s">
        <v>212</v>
      </c>
      <c r="AV51" t="s">
        <v>212</v>
      </c>
      <c r="AW51" t="s">
        <v>212</v>
      </c>
      <c r="AX51" t="s">
        <v>212</v>
      </c>
      <c r="AY51" t="s">
        <v>212</v>
      </c>
      <c r="AZ51" t="s">
        <v>212</v>
      </c>
      <c r="BA51" t="s">
        <v>212</v>
      </c>
      <c r="BB51" t="s">
        <v>212</v>
      </c>
      <c r="BC51" t="s">
        <v>212</v>
      </c>
      <c r="BD51" t="s">
        <v>212</v>
      </c>
      <c r="BE51" t="s">
        <v>212</v>
      </c>
    </row>
    <row r="52" spans="1:57">
      <c r="A52" t="s">
        <v>193</v>
      </c>
      <c r="B52">
        <v>1</v>
      </c>
      <c r="C52" t="s">
        <v>309</v>
      </c>
      <c r="D52" t="s">
        <v>212</v>
      </c>
      <c r="E52" t="e">
        <v>#N/A</v>
      </c>
      <c r="F52" t="s">
        <v>308</v>
      </c>
      <c r="G52" t="e">
        <v>#N/A</v>
      </c>
      <c r="H52" t="e">
        <v>#N/A</v>
      </c>
      <c r="I52" t="s">
        <v>308</v>
      </c>
      <c r="J52" t="s">
        <v>276</v>
      </c>
      <c r="K52" t="e">
        <v>#N/A</v>
      </c>
      <c r="L52" t="s">
        <v>313</v>
      </c>
      <c r="M52" t="s">
        <v>279</v>
      </c>
      <c r="N52" t="s">
        <v>247</v>
      </c>
      <c r="O52" t="s">
        <v>288</v>
      </c>
      <c r="P52" t="s">
        <v>311</v>
      </c>
      <c r="Q52" t="s">
        <v>270</v>
      </c>
      <c r="R52" t="s">
        <v>206</v>
      </c>
      <c r="S52" t="e">
        <v>#N/A</v>
      </c>
      <c r="T52" t="e">
        <v>#N/A</v>
      </c>
      <c r="U52" t="e">
        <v>#N/A</v>
      </c>
      <c r="V52" t="e">
        <v>#N/A</v>
      </c>
      <c r="W52" t="e">
        <v>#N/A</v>
      </c>
      <c r="X52" t="s">
        <v>212</v>
      </c>
      <c r="Y52" t="s">
        <v>232</v>
      </c>
      <c r="Z52" t="s">
        <v>214</v>
      </c>
      <c r="AA52" t="s">
        <v>269</v>
      </c>
      <c r="AB52" t="s">
        <v>212</v>
      </c>
      <c r="AC52" t="s">
        <v>217</v>
      </c>
      <c r="AD52" t="s">
        <v>218</v>
      </c>
      <c r="AE52" t="s">
        <v>297</v>
      </c>
      <c r="AF52" t="s">
        <v>268</v>
      </c>
      <c r="AG52" t="s">
        <v>314</v>
      </c>
      <c r="AH52" t="e">
        <v>#N/A</v>
      </c>
      <c r="AI52" t="s">
        <v>272</v>
      </c>
      <c r="AJ52" t="s">
        <v>271</v>
      </c>
      <c r="AK52" t="s">
        <v>249</v>
      </c>
      <c r="AL52" t="s">
        <v>236</v>
      </c>
      <c r="AM52" t="s">
        <v>285</v>
      </c>
      <c r="AN52" t="s">
        <v>212</v>
      </c>
      <c r="AO52" t="s">
        <v>212</v>
      </c>
      <c r="AP52" t="s">
        <v>212</v>
      </c>
      <c r="AQ52" t="s">
        <v>212</v>
      </c>
      <c r="AR52" t="s">
        <v>212</v>
      </c>
      <c r="AS52" t="s">
        <v>212</v>
      </c>
      <c r="AT52" t="s">
        <v>212</v>
      </c>
      <c r="AU52" t="s">
        <v>212</v>
      </c>
      <c r="AV52" t="s">
        <v>212</v>
      </c>
      <c r="AW52" t="s">
        <v>212</v>
      </c>
      <c r="AX52" t="s">
        <v>212</v>
      </c>
      <c r="AY52" t="s">
        <v>212</v>
      </c>
      <c r="AZ52" t="s">
        <v>296</v>
      </c>
      <c r="BA52" t="s">
        <v>289</v>
      </c>
      <c r="BB52" t="s">
        <v>290</v>
      </c>
      <c r="BC52" t="s">
        <v>291</v>
      </c>
      <c r="BD52" t="s">
        <v>281</v>
      </c>
      <c r="BE52" t="s">
        <v>212</v>
      </c>
    </row>
    <row r="53" spans="1:57">
      <c r="A53" t="s">
        <v>192</v>
      </c>
      <c r="B53">
        <v>2</v>
      </c>
      <c r="C53" t="s">
        <v>309</v>
      </c>
      <c r="D53" t="s">
        <v>212</v>
      </c>
      <c r="E53" t="e">
        <v>#N/A</v>
      </c>
      <c r="F53" t="s">
        <v>308</v>
      </c>
      <c r="G53" t="e">
        <v>#N/A</v>
      </c>
      <c r="H53" t="e">
        <v>#N/A</v>
      </c>
      <c r="I53" t="s">
        <v>308</v>
      </c>
      <c r="J53" t="s">
        <v>229</v>
      </c>
      <c r="K53" t="e">
        <v>#N/A</v>
      </c>
      <c r="L53" t="s">
        <v>313</v>
      </c>
      <c r="M53" t="s">
        <v>247</v>
      </c>
      <c r="N53" t="s">
        <v>293</v>
      </c>
      <c r="O53" t="s">
        <v>281</v>
      </c>
      <c r="P53" t="s">
        <v>311</v>
      </c>
      <c r="Q53" t="s">
        <v>251</v>
      </c>
      <c r="R53" t="s">
        <v>206</v>
      </c>
      <c r="S53" t="e">
        <v>#N/A</v>
      </c>
      <c r="T53" t="e">
        <v>#N/A</v>
      </c>
      <c r="U53" t="e">
        <v>#N/A</v>
      </c>
      <c r="V53" t="e">
        <v>#N/A</v>
      </c>
      <c r="W53" t="e">
        <v>#N/A</v>
      </c>
      <c r="X53" t="s">
        <v>212</v>
      </c>
      <c r="Y53" t="s">
        <v>232</v>
      </c>
      <c r="Z53" t="s">
        <v>214</v>
      </c>
      <c r="AA53" t="s">
        <v>269</v>
      </c>
      <c r="AB53" t="s">
        <v>270</v>
      </c>
      <c r="AC53" t="s">
        <v>288</v>
      </c>
      <c r="AD53" t="s">
        <v>218</v>
      </c>
      <c r="AE53" t="s">
        <v>297</v>
      </c>
      <c r="AF53" t="s">
        <v>268</v>
      </c>
      <c r="AG53" t="s">
        <v>314</v>
      </c>
      <c r="AH53" t="e">
        <v>#N/A</v>
      </c>
      <c r="AI53" t="s">
        <v>272</v>
      </c>
      <c r="AJ53" t="s">
        <v>271</v>
      </c>
      <c r="AK53" t="s">
        <v>249</v>
      </c>
      <c r="AL53" t="s">
        <v>236</v>
      </c>
      <c r="AM53" t="s">
        <v>285</v>
      </c>
      <c r="AN53" t="s">
        <v>212</v>
      </c>
      <c r="AO53" t="s">
        <v>212</v>
      </c>
      <c r="AP53" t="s">
        <v>212</v>
      </c>
      <c r="AQ53" t="s">
        <v>212</v>
      </c>
      <c r="AR53" t="s">
        <v>212</v>
      </c>
      <c r="AS53" t="s">
        <v>212</v>
      </c>
      <c r="AT53" t="s">
        <v>212</v>
      </c>
      <c r="AU53" t="s">
        <v>212</v>
      </c>
      <c r="AV53" t="s">
        <v>212</v>
      </c>
      <c r="AW53" t="s">
        <v>212</v>
      </c>
      <c r="AX53" t="s">
        <v>212</v>
      </c>
      <c r="AY53" t="s">
        <v>212</v>
      </c>
      <c r="AZ53" t="s">
        <v>296</v>
      </c>
      <c r="BA53" t="s">
        <v>289</v>
      </c>
      <c r="BB53" t="s">
        <v>290</v>
      </c>
      <c r="BC53" t="s">
        <v>291</v>
      </c>
      <c r="BD53" t="s">
        <v>276</v>
      </c>
      <c r="BE53" t="s">
        <v>212</v>
      </c>
    </row>
    <row r="54" spans="1:57">
      <c r="A54" t="s">
        <v>194</v>
      </c>
      <c r="B54">
        <v>3</v>
      </c>
      <c r="C54" t="s">
        <v>218</v>
      </c>
      <c r="D54" t="e">
        <v>#N/A</v>
      </c>
      <c r="E54" t="e">
        <v>#N/A</v>
      </c>
      <c r="F54" t="s">
        <v>311</v>
      </c>
      <c r="G54" t="s">
        <v>229</v>
      </c>
      <c r="H54" t="s">
        <v>293</v>
      </c>
      <c r="I54" t="s">
        <v>309</v>
      </c>
      <c r="J54" t="e">
        <v>#N/A</v>
      </c>
      <c r="K54" t="s">
        <v>261</v>
      </c>
      <c r="L54" t="e">
        <v>#N/A</v>
      </c>
      <c r="M54" t="s">
        <v>212</v>
      </c>
      <c r="N54" t="e">
        <v>#N/A</v>
      </c>
      <c r="O54" t="e">
        <v>#N/A</v>
      </c>
      <c r="P54" t="e">
        <v>#N/A</v>
      </c>
      <c r="Q54" t="s">
        <v>212</v>
      </c>
      <c r="R54" t="e">
        <v>#N/A</v>
      </c>
      <c r="S54" t="s">
        <v>212</v>
      </c>
      <c r="T54" t="s">
        <v>217</v>
      </c>
      <c r="U54" t="e">
        <v>#N/A</v>
      </c>
      <c r="V54" t="s">
        <v>212</v>
      </c>
      <c r="W54" t="s">
        <v>212</v>
      </c>
      <c r="X54" t="s">
        <v>212</v>
      </c>
      <c r="Y54" t="s">
        <v>251</v>
      </c>
      <c r="Z54" t="e">
        <v>#N/A</v>
      </c>
      <c r="AA54" t="s">
        <v>315</v>
      </c>
      <c r="AB54" t="s">
        <v>236</v>
      </c>
      <c r="AC54" t="s">
        <v>281</v>
      </c>
      <c r="AD54" t="e">
        <v>#N/A</v>
      </c>
      <c r="AE54" t="s">
        <v>314</v>
      </c>
      <c r="AF54" t="s">
        <v>297</v>
      </c>
      <c r="AG54" t="s">
        <v>279</v>
      </c>
      <c r="AH54" t="s">
        <v>271</v>
      </c>
      <c r="AI54" t="s">
        <v>249</v>
      </c>
      <c r="AJ54" t="s">
        <v>268</v>
      </c>
      <c r="AK54" t="s">
        <v>272</v>
      </c>
      <c r="AL54" t="s">
        <v>232</v>
      </c>
      <c r="AM54" t="s">
        <v>209</v>
      </c>
      <c r="AN54" t="s">
        <v>212</v>
      </c>
      <c r="AO54" t="s">
        <v>212</v>
      </c>
      <c r="AP54" t="s">
        <v>212</v>
      </c>
      <c r="AQ54" t="s">
        <v>212</v>
      </c>
      <c r="AR54" t="s">
        <v>294</v>
      </c>
      <c r="AS54" t="s">
        <v>292</v>
      </c>
      <c r="AT54" t="s">
        <v>296</v>
      </c>
      <c r="AU54" t="s">
        <v>212</v>
      </c>
      <c r="AV54" t="s">
        <v>212</v>
      </c>
      <c r="AW54" t="s">
        <v>212</v>
      </c>
      <c r="AX54" t="s">
        <v>294</v>
      </c>
      <c r="AY54" t="s">
        <v>212</v>
      </c>
      <c r="AZ54" t="s">
        <v>212</v>
      </c>
      <c r="BA54" t="s">
        <v>212</v>
      </c>
      <c r="BB54" t="s">
        <v>212</v>
      </c>
      <c r="BC54" t="s">
        <v>212</v>
      </c>
      <c r="BD54" t="s">
        <v>247</v>
      </c>
      <c r="BE54" t="s">
        <v>292</v>
      </c>
    </row>
    <row r="55" spans="1:57">
      <c r="B55">
        <v>4</v>
      </c>
      <c r="C55" t="s">
        <v>281</v>
      </c>
      <c r="D55" t="e">
        <v>#N/A</v>
      </c>
      <c r="E55" t="e">
        <v>#N/A</v>
      </c>
      <c r="F55" t="s">
        <v>311</v>
      </c>
      <c r="G55" t="s">
        <v>229</v>
      </c>
      <c r="H55" t="s">
        <v>279</v>
      </c>
      <c r="I55" t="s">
        <v>309</v>
      </c>
      <c r="J55" t="e">
        <v>#N/A</v>
      </c>
      <c r="K55" t="s">
        <v>261</v>
      </c>
      <c r="L55" t="e">
        <v>#N/A</v>
      </c>
      <c r="M55" t="s">
        <v>212</v>
      </c>
      <c r="N55" t="e">
        <v>#N/A</v>
      </c>
      <c r="O55" t="e">
        <v>#N/A</v>
      </c>
      <c r="P55" t="e">
        <v>#N/A</v>
      </c>
      <c r="Q55" t="s">
        <v>212</v>
      </c>
      <c r="R55" t="e">
        <v>#N/A</v>
      </c>
      <c r="S55" t="s">
        <v>212</v>
      </c>
      <c r="T55" t="s">
        <v>217</v>
      </c>
      <c r="U55" t="e">
        <v>#N/A</v>
      </c>
      <c r="V55" t="s">
        <v>212</v>
      </c>
      <c r="W55" t="s">
        <v>212</v>
      </c>
      <c r="X55" t="s">
        <v>212</v>
      </c>
      <c r="Y55" t="s">
        <v>251</v>
      </c>
      <c r="Z55" t="e">
        <v>#N/A</v>
      </c>
      <c r="AA55" t="s">
        <v>315</v>
      </c>
      <c r="AB55" t="s">
        <v>236</v>
      </c>
      <c r="AC55" t="s">
        <v>212</v>
      </c>
      <c r="AD55" t="e">
        <v>#N/A</v>
      </c>
      <c r="AE55" t="s">
        <v>314</v>
      </c>
      <c r="AF55" t="s">
        <v>297</v>
      </c>
      <c r="AG55" t="s">
        <v>212</v>
      </c>
      <c r="AH55" t="s">
        <v>212</v>
      </c>
      <c r="AI55" t="s">
        <v>270</v>
      </c>
      <c r="AJ55" t="s">
        <v>212</v>
      </c>
      <c r="AK55" t="s">
        <v>272</v>
      </c>
      <c r="AL55" t="s">
        <v>212</v>
      </c>
      <c r="AM55" t="s">
        <v>209</v>
      </c>
      <c r="AN55" t="s">
        <v>212</v>
      </c>
      <c r="AO55" t="s">
        <v>212</v>
      </c>
      <c r="AP55" t="s">
        <v>212</v>
      </c>
      <c r="AQ55" t="s">
        <v>212</v>
      </c>
      <c r="AR55" t="s">
        <v>294</v>
      </c>
      <c r="AS55" t="s">
        <v>292</v>
      </c>
      <c r="AT55" t="s">
        <v>296</v>
      </c>
      <c r="AU55" t="s">
        <v>212</v>
      </c>
      <c r="AV55" t="s">
        <v>212</v>
      </c>
      <c r="AW55" t="s">
        <v>212</v>
      </c>
      <c r="AX55" t="s">
        <v>294</v>
      </c>
      <c r="AY55" t="s">
        <v>212</v>
      </c>
      <c r="AZ55" t="s">
        <v>212</v>
      </c>
      <c r="BA55" t="s">
        <v>212</v>
      </c>
      <c r="BB55" t="s">
        <v>212</v>
      </c>
      <c r="BC55" t="s">
        <v>212</v>
      </c>
      <c r="BD55" t="s">
        <v>212</v>
      </c>
      <c r="BE55" t="s">
        <v>292</v>
      </c>
    </row>
    <row r="56" spans="1:57">
      <c r="B56">
        <v>5</v>
      </c>
      <c r="C56" t="s">
        <v>212</v>
      </c>
      <c r="D56" t="s">
        <v>212</v>
      </c>
      <c r="E56" t="s">
        <v>212</v>
      </c>
      <c r="F56" t="s">
        <v>212</v>
      </c>
      <c r="G56" t="s">
        <v>212</v>
      </c>
      <c r="H56" t="s">
        <v>212</v>
      </c>
      <c r="I56" t="s">
        <v>212</v>
      </c>
      <c r="J56" t="s">
        <v>212</v>
      </c>
      <c r="K56" t="s">
        <v>212</v>
      </c>
      <c r="L56" t="s">
        <v>212</v>
      </c>
      <c r="M56" t="s">
        <v>212</v>
      </c>
      <c r="N56" t="s">
        <v>212</v>
      </c>
      <c r="O56" t="s">
        <v>212</v>
      </c>
      <c r="P56" t="s">
        <v>212</v>
      </c>
      <c r="Q56" t="s">
        <v>212</v>
      </c>
      <c r="R56" t="s">
        <v>212</v>
      </c>
      <c r="S56" t="s">
        <v>212</v>
      </c>
      <c r="T56" t="s">
        <v>212</v>
      </c>
      <c r="U56" t="s">
        <v>212</v>
      </c>
      <c r="V56" t="s">
        <v>212</v>
      </c>
      <c r="W56" t="s">
        <v>212</v>
      </c>
      <c r="X56" t="s">
        <v>212</v>
      </c>
      <c r="Y56" t="s">
        <v>212</v>
      </c>
      <c r="Z56" t="s">
        <v>212</v>
      </c>
      <c r="AA56" t="s">
        <v>212</v>
      </c>
      <c r="AB56" t="s">
        <v>212</v>
      </c>
      <c r="AC56" t="s">
        <v>212</v>
      </c>
      <c r="AD56" t="s">
        <v>212</v>
      </c>
      <c r="AE56" t="s">
        <v>212</v>
      </c>
      <c r="AF56" t="s">
        <v>212</v>
      </c>
      <c r="AG56" t="s">
        <v>212</v>
      </c>
      <c r="AH56" t="s">
        <v>212</v>
      </c>
      <c r="AI56" t="s">
        <v>212</v>
      </c>
      <c r="AJ56" t="s">
        <v>212</v>
      </c>
      <c r="AK56" t="s">
        <v>212</v>
      </c>
      <c r="AL56" t="s">
        <v>212</v>
      </c>
      <c r="AM56" t="s">
        <v>212</v>
      </c>
      <c r="AN56" t="s">
        <v>212</v>
      </c>
      <c r="AO56" t="s">
        <v>212</v>
      </c>
      <c r="AP56" t="s">
        <v>212</v>
      </c>
      <c r="AQ56" t="s">
        <v>212</v>
      </c>
      <c r="AR56" t="s">
        <v>212</v>
      </c>
      <c r="AS56" t="s">
        <v>212</v>
      </c>
      <c r="AT56" t="s">
        <v>212</v>
      </c>
      <c r="AU56" t="s">
        <v>212</v>
      </c>
      <c r="AV56" t="s">
        <v>212</v>
      </c>
      <c r="AW56" t="s">
        <v>212</v>
      </c>
      <c r="AX56" t="s">
        <v>212</v>
      </c>
      <c r="AY56" t="s">
        <v>212</v>
      </c>
      <c r="AZ56" t="s">
        <v>212</v>
      </c>
      <c r="BA56" t="s">
        <v>212</v>
      </c>
      <c r="BB56" t="s">
        <v>212</v>
      </c>
      <c r="BC56" t="s">
        <v>212</v>
      </c>
      <c r="BD56" t="s">
        <v>212</v>
      </c>
      <c r="BE56" t="s">
        <v>212</v>
      </c>
    </row>
    <row r="57" spans="1:57">
      <c r="A57" t="s">
        <v>195</v>
      </c>
      <c r="B57">
        <v>1</v>
      </c>
      <c r="C57" t="s">
        <v>212</v>
      </c>
      <c r="D57" t="s">
        <v>270</v>
      </c>
      <c r="E57" t="s">
        <v>263</v>
      </c>
      <c r="F57" t="s">
        <v>289</v>
      </c>
      <c r="G57" t="s">
        <v>279</v>
      </c>
      <c r="H57" t="s">
        <v>252</v>
      </c>
      <c r="I57" t="s">
        <v>243</v>
      </c>
      <c r="J57" t="s">
        <v>299</v>
      </c>
      <c r="K57" t="s">
        <v>212</v>
      </c>
      <c r="L57" t="s">
        <v>212</v>
      </c>
      <c r="M57" t="s">
        <v>275</v>
      </c>
      <c r="N57" t="s">
        <v>212</v>
      </c>
      <c r="O57" t="s">
        <v>215</v>
      </c>
      <c r="P57" t="s">
        <v>212</v>
      </c>
      <c r="Q57" t="s">
        <v>212</v>
      </c>
      <c r="R57" t="s">
        <v>296</v>
      </c>
      <c r="S57" t="s">
        <v>212</v>
      </c>
      <c r="T57" t="s">
        <v>291</v>
      </c>
      <c r="U57" t="s">
        <v>292</v>
      </c>
      <c r="V57" t="s">
        <v>212</v>
      </c>
      <c r="W57" t="s">
        <v>289</v>
      </c>
      <c r="X57" t="s">
        <v>212</v>
      </c>
      <c r="Y57" t="s">
        <v>278</v>
      </c>
      <c r="Z57" t="s">
        <v>220</v>
      </c>
      <c r="AA57" t="s">
        <v>230</v>
      </c>
      <c r="AB57" t="s">
        <v>252</v>
      </c>
      <c r="AC57" t="s">
        <v>217</v>
      </c>
      <c r="AD57" t="s">
        <v>266</v>
      </c>
      <c r="AE57" t="s">
        <v>225</v>
      </c>
      <c r="AF57" t="s">
        <v>232</v>
      </c>
      <c r="AG57" t="s">
        <v>235</v>
      </c>
      <c r="AH57" t="s">
        <v>254</v>
      </c>
      <c r="AI57" t="s">
        <v>272</v>
      </c>
      <c r="AJ57" t="s">
        <v>259</v>
      </c>
      <c r="AK57" t="s">
        <v>269</v>
      </c>
      <c r="AL57" t="s">
        <v>288</v>
      </c>
      <c r="AM57" t="s">
        <v>285</v>
      </c>
      <c r="AN57" t="s">
        <v>212</v>
      </c>
      <c r="AO57" t="s">
        <v>212</v>
      </c>
      <c r="AP57" t="s">
        <v>212</v>
      </c>
      <c r="AQ57" t="s">
        <v>212</v>
      </c>
      <c r="AR57" t="e">
        <v>#N/A</v>
      </c>
      <c r="AS57" t="s">
        <v>308</v>
      </c>
      <c r="AT57" t="s">
        <v>213</v>
      </c>
      <c r="AU57" t="s">
        <v>247</v>
      </c>
      <c r="AV57" t="s">
        <v>256</v>
      </c>
      <c r="AW57" t="s">
        <v>242</v>
      </c>
      <c r="AX57" t="s">
        <v>298</v>
      </c>
      <c r="AY57" t="s">
        <v>226</v>
      </c>
      <c r="AZ57" t="s">
        <v>237</v>
      </c>
      <c r="BA57" t="s">
        <v>258</v>
      </c>
      <c r="BB57" t="s">
        <v>227</v>
      </c>
      <c r="BC57" t="s">
        <v>239</v>
      </c>
      <c r="BD57" t="s">
        <v>276</v>
      </c>
      <c r="BE57" t="s">
        <v>222</v>
      </c>
    </row>
    <row r="58" spans="1:57">
      <c r="A58" t="s">
        <v>192</v>
      </c>
      <c r="B58">
        <v>2</v>
      </c>
      <c r="C58" t="s">
        <v>212</v>
      </c>
      <c r="D58" t="s">
        <v>293</v>
      </c>
      <c r="E58" t="s">
        <v>263</v>
      </c>
      <c r="F58" t="s">
        <v>289</v>
      </c>
      <c r="G58" t="s">
        <v>279</v>
      </c>
      <c r="H58" t="s">
        <v>252</v>
      </c>
      <c r="I58" t="s">
        <v>243</v>
      </c>
      <c r="J58" t="s">
        <v>299</v>
      </c>
      <c r="K58" t="s">
        <v>212</v>
      </c>
      <c r="L58" t="s">
        <v>212</v>
      </c>
      <c r="M58" t="s">
        <v>275</v>
      </c>
      <c r="N58" t="s">
        <v>212</v>
      </c>
      <c r="O58" t="s">
        <v>215</v>
      </c>
      <c r="P58" t="s">
        <v>212</v>
      </c>
      <c r="Q58" t="s">
        <v>212</v>
      </c>
      <c r="R58" t="s">
        <v>296</v>
      </c>
      <c r="S58" t="s">
        <v>212</v>
      </c>
      <c r="T58" t="s">
        <v>291</v>
      </c>
      <c r="U58" t="s">
        <v>292</v>
      </c>
      <c r="V58" t="s">
        <v>212</v>
      </c>
      <c r="W58" t="s">
        <v>289</v>
      </c>
      <c r="X58" t="s">
        <v>212</v>
      </c>
      <c r="Y58" t="s">
        <v>278</v>
      </c>
      <c r="Z58" t="s">
        <v>220</v>
      </c>
      <c r="AA58" t="s">
        <v>230</v>
      </c>
      <c r="AB58" t="s">
        <v>252</v>
      </c>
      <c r="AC58" t="s">
        <v>217</v>
      </c>
      <c r="AD58" t="s">
        <v>266</v>
      </c>
      <c r="AE58" t="s">
        <v>225</v>
      </c>
      <c r="AF58" t="s">
        <v>232</v>
      </c>
      <c r="AG58" t="s">
        <v>235</v>
      </c>
      <c r="AH58" t="s">
        <v>254</v>
      </c>
      <c r="AI58" t="s">
        <v>272</v>
      </c>
      <c r="AJ58" t="s">
        <v>259</v>
      </c>
      <c r="AK58" t="s">
        <v>269</v>
      </c>
      <c r="AL58" t="s">
        <v>288</v>
      </c>
      <c r="AM58" t="s">
        <v>285</v>
      </c>
      <c r="AN58" t="s">
        <v>212</v>
      </c>
      <c r="AO58" t="s">
        <v>212</v>
      </c>
      <c r="AP58" t="s">
        <v>212</v>
      </c>
      <c r="AQ58" t="s">
        <v>212</v>
      </c>
      <c r="AR58" t="e">
        <v>#N/A</v>
      </c>
      <c r="AS58" t="s">
        <v>308</v>
      </c>
      <c r="AT58" t="s">
        <v>213</v>
      </c>
      <c r="AU58" t="s">
        <v>269</v>
      </c>
      <c r="AV58" t="s">
        <v>256</v>
      </c>
      <c r="AW58" t="s">
        <v>242</v>
      </c>
      <c r="AX58" t="s">
        <v>222</v>
      </c>
      <c r="AY58" t="s">
        <v>226</v>
      </c>
      <c r="AZ58" t="s">
        <v>237</v>
      </c>
      <c r="BA58" t="s">
        <v>258</v>
      </c>
      <c r="BB58" t="s">
        <v>247</v>
      </c>
      <c r="BC58" t="s">
        <v>239</v>
      </c>
      <c r="BD58" t="s">
        <v>227</v>
      </c>
      <c r="BE58" t="s">
        <v>276</v>
      </c>
    </row>
    <row r="59" spans="1:57">
      <c r="A59" t="s">
        <v>196</v>
      </c>
      <c r="B59">
        <v>3</v>
      </c>
      <c r="C59" t="s">
        <v>212</v>
      </c>
      <c r="D59" t="s">
        <v>308</v>
      </c>
      <c r="E59" t="s">
        <v>299</v>
      </c>
      <c r="F59" t="s">
        <v>212</v>
      </c>
      <c r="G59" t="s">
        <v>212</v>
      </c>
      <c r="H59" t="e">
        <v>#N/A</v>
      </c>
      <c r="I59" t="s">
        <v>212</v>
      </c>
      <c r="J59" t="s">
        <v>315</v>
      </c>
      <c r="K59" t="s">
        <v>212</v>
      </c>
      <c r="L59" t="s">
        <v>289</v>
      </c>
      <c r="M59" t="e">
        <v>#N/A</v>
      </c>
      <c r="N59" t="s">
        <v>291</v>
      </c>
      <c r="O59" t="s">
        <v>212</v>
      </c>
      <c r="P59" t="s">
        <v>292</v>
      </c>
      <c r="Q59" t="e">
        <v>#N/A</v>
      </c>
      <c r="R59" t="s">
        <v>212</v>
      </c>
      <c r="S59" t="s">
        <v>256</v>
      </c>
      <c r="T59" t="s">
        <v>212</v>
      </c>
      <c r="U59" t="s">
        <v>212</v>
      </c>
      <c r="V59" t="s">
        <v>289</v>
      </c>
      <c r="W59" t="s">
        <v>212</v>
      </c>
      <c r="X59" t="s">
        <v>212</v>
      </c>
      <c r="Y59" t="s">
        <v>213</v>
      </c>
      <c r="Z59" t="s">
        <v>283</v>
      </c>
      <c r="AA59" t="s">
        <v>259</v>
      </c>
      <c r="AB59" t="s">
        <v>225</v>
      </c>
      <c r="AC59" t="s">
        <v>279</v>
      </c>
      <c r="AD59" t="s">
        <v>218</v>
      </c>
      <c r="AE59" t="s">
        <v>266</v>
      </c>
      <c r="AF59" t="s">
        <v>220</v>
      </c>
      <c r="AG59" t="s">
        <v>263</v>
      </c>
      <c r="AH59" t="s">
        <v>287</v>
      </c>
      <c r="AI59" t="s">
        <v>235</v>
      </c>
      <c r="AJ59" t="s">
        <v>270</v>
      </c>
      <c r="AK59" t="s">
        <v>274</v>
      </c>
      <c r="AL59" t="s">
        <v>232</v>
      </c>
      <c r="AM59" t="s">
        <v>262</v>
      </c>
      <c r="AN59" t="s">
        <v>212</v>
      </c>
      <c r="AO59" t="s">
        <v>212</v>
      </c>
      <c r="AP59" t="s">
        <v>212</v>
      </c>
      <c r="AQ59" t="s">
        <v>212</v>
      </c>
      <c r="AR59" t="s">
        <v>212</v>
      </c>
      <c r="AS59" t="s">
        <v>212</v>
      </c>
      <c r="AT59" t="e">
        <v>#N/A</v>
      </c>
      <c r="AU59" t="e">
        <v>#N/A</v>
      </c>
      <c r="AV59" t="s">
        <v>313</v>
      </c>
      <c r="AW59" t="s">
        <v>227</v>
      </c>
      <c r="AX59" t="s">
        <v>222</v>
      </c>
      <c r="AY59" t="e">
        <v>#N/A</v>
      </c>
      <c r="AZ59" t="s">
        <v>269</v>
      </c>
      <c r="BA59" t="s">
        <v>247</v>
      </c>
      <c r="BB59" t="s">
        <v>293</v>
      </c>
      <c r="BC59" t="s">
        <v>285</v>
      </c>
      <c r="BD59" t="e">
        <v>#N/A</v>
      </c>
      <c r="BE59" t="s">
        <v>298</v>
      </c>
    </row>
    <row r="60" spans="1:57">
      <c r="B60">
        <v>4</v>
      </c>
      <c r="C60" t="s">
        <v>212</v>
      </c>
      <c r="D60" t="s">
        <v>308</v>
      </c>
      <c r="E60" t="s">
        <v>299</v>
      </c>
      <c r="F60" t="s">
        <v>212</v>
      </c>
      <c r="G60" t="s">
        <v>212</v>
      </c>
      <c r="H60" t="e">
        <v>#N/A</v>
      </c>
      <c r="I60" t="s">
        <v>212</v>
      </c>
      <c r="J60" t="s">
        <v>315</v>
      </c>
      <c r="K60" t="s">
        <v>212</v>
      </c>
      <c r="L60" t="s">
        <v>289</v>
      </c>
      <c r="M60" t="e">
        <v>#N/A</v>
      </c>
      <c r="N60" t="s">
        <v>291</v>
      </c>
      <c r="O60" t="s">
        <v>212</v>
      </c>
      <c r="P60" t="s">
        <v>292</v>
      </c>
      <c r="Q60" t="e">
        <v>#N/A</v>
      </c>
      <c r="R60" t="s">
        <v>212</v>
      </c>
      <c r="S60" t="s">
        <v>256</v>
      </c>
      <c r="T60" t="s">
        <v>212</v>
      </c>
      <c r="U60" t="s">
        <v>212</v>
      </c>
      <c r="V60" t="s">
        <v>289</v>
      </c>
      <c r="W60" t="s">
        <v>212</v>
      </c>
      <c r="X60" t="s">
        <v>212</v>
      </c>
      <c r="Y60" t="s">
        <v>213</v>
      </c>
      <c r="Z60" t="s">
        <v>283</v>
      </c>
      <c r="AA60" t="s">
        <v>259</v>
      </c>
      <c r="AB60" t="s">
        <v>225</v>
      </c>
      <c r="AC60" t="s">
        <v>279</v>
      </c>
      <c r="AD60" t="s">
        <v>218</v>
      </c>
      <c r="AE60" t="s">
        <v>266</v>
      </c>
      <c r="AF60" t="s">
        <v>220</v>
      </c>
      <c r="AG60" t="s">
        <v>263</v>
      </c>
      <c r="AH60" t="s">
        <v>287</v>
      </c>
      <c r="AI60" t="s">
        <v>235</v>
      </c>
      <c r="AJ60" t="s">
        <v>270</v>
      </c>
      <c r="AK60" t="s">
        <v>274</v>
      </c>
      <c r="AL60" t="s">
        <v>232</v>
      </c>
      <c r="AM60" t="s">
        <v>262</v>
      </c>
      <c r="AN60" t="s">
        <v>212</v>
      </c>
      <c r="AO60" t="s">
        <v>212</v>
      </c>
      <c r="AP60" t="s">
        <v>212</v>
      </c>
      <c r="AQ60" t="s">
        <v>212</v>
      </c>
      <c r="AR60" t="s">
        <v>212</v>
      </c>
      <c r="AS60" t="s">
        <v>212</v>
      </c>
      <c r="AT60" t="e">
        <v>#N/A</v>
      </c>
      <c r="AU60" t="e">
        <v>#N/A</v>
      </c>
      <c r="AV60" t="s">
        <v>313</v>
      </c>
      <c r="AW60" t="s">
        <v>212</v>
      </c>
      <c r="AX60" t="s">
        <v>212</v>
      </c>
      <c r="AY60" t="e">
        <v>#N/A</v>
      </c>
      <c r="AZ60" t="s">
        <v>212</v>
      </c>
      <c r="BA60" t="s">
        <v>212</v>
      </c>
      <c r="BB60" t="s">
        <v>212</v>
      </c>
      <c r="BC60" t="s">
        <v>212</v>
      </c>
      <c r="BD60" t="e">
        <v>#N/A</v>
      </c>
      <c r="BE60" t="s">
        <v>212</v>
      </c>
    </row>
    <row r="61" spans="1:57">
      <c r="B61">
        <v>5</v>
      </c>
      <c r="C61" t="s">
        <v>212</v>
      </c>
      <c r="D61" t="s">
        <v>212</v>
      </c>
      <c r="E61" t="s">
        <v>212</v>
      </c>
      <c r="F61" t="s">
        <v>212</v>
      </c>
      <c r="G61" t="s">
        <v>212</v>
      </c>
      <c r="H61" t="s">
        <v>212</v>
      </c>
      <c r="I61" t="s">
        <v>212</v>
      </c>
      <c r="J61" t="s">
        <v>212</v>
      </c>
      <c r="K61" t="s">
        <v>212</v>
      </c>
      <c r="L61" t="s">
        <v>212</v>
      </c>
      <c r="M61" t="s">
        <v>212</v>
      </c>
      <c r="N61" t="s">
        <v>212</v>
      </c>
      <c r="O61" t="s">
        <v>212</v>
      </c>
      <c r="P61" t="s">
        <v>212</v>
      </c>
      <c r="Q61" t="s">
        <v>212</v>
      </c>
      <c r="R61" t="s">
        <v>212</v>
      </c>
      <c r="S61" t="s">
        <v>212</v>
      </c>
      <c r="T61" t="s">
        <v>212</v>
      </c>
      <c r="U61" t="s">
        <v>212</v>
      </c>
      <c r="V61" t="s">
        <v>212</v>
      </c>
      <c r="W61" t="s">
        <v>212</v>
      </c>
      <c r="X61" t="s">
        <v>212</v>
      </c>
      <c r="Y61" t="s">
        <v>212</v>
      </c>
      <c r="Z61" t="s">
        <v>212</v>
      </c>
      <c r="AA61" t="s">
        <v>212</v>
      </c>
      <c r="AB61" t="s">
        <v>212</v>
      </c>
      <c r="AC61" t="s">
        <v>212</v>
      </c>
      <c r="AD61" t="s">
        <v>212</v>
      </c>
      <c r="AE61" t="s">
        <v>212</v>
      </c>
      <c r="AF61" t="s">
        <v>212</v>
      </c>
      <c r="AG61" t="s">
        <v>212</v>
      </c>
      <c r="AH61" t="s">
        <v>212</v>
      </c>
      <c r="AI61" t="s">
        <v>212</v>
      </c>
      <c r="AJ61" t="s">
        <v>212</v>
      </c>
      <c r="AK61" t="s">
        <v>212</v>
      </c>
      <c r="AL61" t="s">
        <v>212</v>
      </c>
      <c r="AM61" t="s">
        <v>212</v>
      </c>
      <c r="AN61" t="s">
        <v>212</v>
      </c>
      <c r="AO61" t="s">
        <v>212</v>
      </c>
      <c r="AP61" t="s">
        <v>212</v>
      </c>
      <c r="AQ61" t="s">
        <v>212</v>
      </c>
      <c r="AR61" t="s">
        <v>212</v>
      </c>
      <c r="AS61" t="s">
        <v>212</v>
      </c>
      <c r="AT61" t="s">
        <v>212</v>
      </c>
      <c r="AU61" t="s">
        <v>212</v>
      </c>
      <c r="AV61" t="s">
        <v>212</v>
      </c>
      <c r="AW61" t="s">
        <v>212</v>
      </c>
      <c r="AX61" t="s">
        <v>212</v>
      </c>
      <c r="AY61" t="s">
        <v>212</v>
      </c>
      <c r="AZ61" t="s">
        <v>212</v>
      </c>
      <c r="BA61" t="s">
        <v>212</v>
      </c>
      <c r="BB61" t="s">
        <v>212</v>
      </c>
      <c r="BC61" t="s">
        <v>212</v>
      </c>
      <c r="BD61" t="s">
        <v>212</v>
      </c>
      <c r="BE61" t="s">
        <v>212</v>
      </c>
    </row>
    <row r="62" spans="1:57">
      <c r="A62" t="s">
        <v>197</v>
      </c>
      <c r="B62">
        <v>1</v>
      </c>
      <c r="C62" t="s">
        <v>212</v>
      </c>
      <c r="D62" t="s">
        <v>212</v>
      </c>
      <c r="E62" t="s">
        <v>212</v>
      </c>
      <c r="F62" t="s">
        <v>210</v>
      </c>
      <c r="G62" t="s">
        <v>212</v>
      </c>
      <c r="H62" t="s">
        <v>291</v>
      </c>
      <c r="I62" t="s">
        <v>294</v>
      </c>
      <c r="J62" t="s">
        <v>292</v>
      </c>
      <c r="K62" t="s">
        <v>296</v>
      </c>
      <c r="L62" t="s">
        <v>212</v>
      </c>
      <c r="M62" t="s">
        <v>212</v>
      </c>
      <c r="N62" t="s">
        <v>211</v>
      </c>
      <c r="O62" t="s">
        <v>294</v>
      </c>
      <c r="P62" t="s">
        <v>308</v>
      </c>
      <c r="Q62" t="s">
        <v>315</v>
      </c>
      <c r="R62" t="s">
        <v>206</v>
      </c>
      <c r="S62" t="s">
        <v>289</v>
      </c>
      <c r="T62" t="e">
        <v>#N/A</v>
      </c>
      <c r="U62" t="s">
        <v>279</v>
      </c>
      <c r="V62" t="s">
        <v>262</v>
      </c>
      <c r="W62" t="e">
        <v>#N/A</v>
      </c>
      <c r="X62" t="s">
        <v>212</v>
      </c>
      <c r="Y62" t="s">
        <v>212</v>
      </c>
      <c r="Z62" t="s">
        <v>286</v>
      </c>
      <c r="AA62" t="s">
        <v>212</v>
      </c>
      <c r="AB62" t="s">
        <v>216</v>
      </c>
      <c r="AC62" t="s">
        <v>221</v>
      </c>
      <c r="AD62" t="s">
        <v>288</v>
      </c>
      <c r="AE62" t="s">
        <v>219</v>
      </c>
      <c r="AF62" t="s">
        <v>212</v>
      </c>
      <c r="AG62" t="s">
        <v>263</v>
      </c>
      <c r="AH62" t="s">
        <v>209</v>
      </c>
      <c r="AI62" t="s">
        <v>265</v>
      </c>
      <c r="AJ62" t="s">
        <v>223</v>
      </c>
      <c r="AK62" t="s">
        <v>249</v>
      </c>
      <c r="AL62" t="s">
        <v>314</v>
      </c>
      <c r="AM62" t="e">
        <v>#N/A</v>
      </c>
      <c r="AN62" t="s">
        <v>212</v>
      </c>
      <c r="AO62" t="s">
        <v>212</v>
      </c>
      <c r="AP62" t="s">
        <v>212</v>
      </c>
      <c r="AQ62" t="s">
        <v>212</v>
      </c>
      <c r="AR62" t="s">
        <v>273</v>
      </c>
      <c r="AS62" t="e">
        <v>#N/A</v>
      </c>
      <c r="AT62" t="e">
        <v>#N/A</v>
      </c>
      <c r="AU62" t="s">
        <v>241</v>
      </c>
      <c r="AV62" t="s">
        <v>240</v>
      </c>
      <c r="AW62" t="s">
        <v>308</v>
      </c>
      <c r="AX62" t="s">
        <v>313</v>
      </c>
      <c r="AY62" t="e">
        <v>#N/A</v>
      </c>
      <c r="AZ62" t="e">
        <v>#N/A</v>
      </c>
      <c r="BA62" t="e">
        <v>#N/A</v>
      </c>
      <c r="BB62" t="s">
        <v>274</v>
      </c>
      <c r="BC62" t="e">
        <v>#N/A</v>
      </c>
      <c r="BD62" t="s">
        <v>212</v>
      </c>
      <c r="BE62" t="s">
        <v>222</v>
      </c>
    </row>
    <row r="63" spans="1:57">
      <c r="A63" t="s">
        <v>192</v>
      </c>
      <c r="B63">
        <v>2</v>
      </c>
      <c r="C63" t="s">
        <v>212</v>
      </c>
      <c r="D63" t="s">
        <v>212</v>
      </c>
      <c r="E63" t="s">
        <v>212</v>
      </c>
      <c r="F63" t="s">
        <v>265</v>
      </c>
      <c r="G63" t="s">
        <v>212</v>
      </c>
      <c r="H63" t="s">
        <v>291</v>
      </c>
      <c r="I63" t="s">
        <v>294</v>
      </c>
      <c r="J63" t="s">
        <v>292</v>
      </c>
      <c r="K63" t="s">
        <v>296</v>
      </c>
      <c r="L63" t="s">
        <v>212</v>
      </c>
      <c r="M63" t="s">
        <v>212</v>
      </c>
      <c r="N63" t="s">
        <v>211</v>
      </c>
      <c r="O63" t="s">
        <v>294</v>
      </c>
      <c r="P63" t="s">
        <v>308</v>
      </c>
      <c r="Q63" t="s">
        <v>315</v>
      </c>
      <c r="R63" t="s">
        <v>233</v>
      </c>
      <c r="S63" t="s">
        <v>289</v>
      </c>
      <c r="T63" t="e">
        <v>#N/A</v>
      </c>
      <c r="U63" t="s">
        <v>262</v>
      </c>
      <c r="V63" t="s">
        <v>210</v>
      </c>
      <c r="W63" t="e">
        <v>#N/A</v>
      </c>
      <c r="X63" t="s">
        <v>212</v>
      </c>
      <c r="Y63" t="s">
        <v>212</v>
      </c>
      <c r="Z63" t="s">
        <v>286</v>
      </c>
      <c r="AA63" t="s">
        <v>267</v>
      </c>
      <c r="AB63" t="s">
        <v>216</v>
      </c>
      <c r="AC63" t="s">
        <v>221</v>
      </c>
      <c r="AD63" t="s">
        <v>285</v>
      </c>
      <c r="AE63" t="s">
        <v>219</v>
      </c>
      <c r="AF63" t="s">
        <v>263</v>
      </c>
      <c r="AG63" t="s">
        <v>224</v>
      </c>
      <c r="AH63" t="s">
        <v>209</v>
      </c>
      <c r="AI63" t="s">
        <v>249</v>
      </c>
      <c r="AJ63" t="s">
        <v>223</v>
      </c>
      <c r="AK63" t="s">
        <v>273</v>
      </c>
      <c r="AL63" t="s">
        <v>314</v>
      </c>
      <c r="AM63" t="e">
        <v>#N/A</v>
      </c>
      <c r="AN63" t="s">
        <v>212</v>
      </c>
      <c r="AO63" t="s">
        <v>212</v>
      </c>
      <c r="AP63" t="s">
        <v>212</v>
      </c>
      <c r="AQ63" t="s">
        <v>212</v>
      </c>
      <c r="AR63" t="s">
        <v>243</v>
      </c>
      <c r="AS63" t="e">
        <v>#N/A</v>
      </c>
      <c r="AT63" t="e">
        <v>#N/A</v>
      </c>
      <c r="AU63" t="s">
        <v>241</v>
      </c>
      <c r="AV63" t="s">
        <v>240</v>
      </c>
      <c r="AW63" t="s">
        <v>308</v>
      </c>
      <c r="AX63" t="s">
        <v>313</v>
      </c>
      <c r="AY63" t="e">
        <v>#N/A</v>
      </c>
      <c r="AZ63" t="e">
        <v>#N/A</v>
      </c>
      <c r="BA63" t="e">
        <v>#N/A</v>
      </c>
      <c r="BB63" t="s">
        <v>274</v>
      </c>
      <c r="BC63" t="e">
        <v>#N/A</v>
      </c>
      <c r="BD63" t="s">
        <v>212</v>
      </c>
      <c r="BE63" t="s">
        <v>222</v>
      </c>
    </row>
    <row r="64" spans="1:57">
      <c r="A64" t="s">
        <v>198</v>
      </c>
      <c r="B64">
        <v>3</v>
      </c>
      <c r="C64" t="s">
        <v>294</v>
      </c>
      <c r="D64" t="s">
        <v>292</v>
      </c>
      <c r="E64" t="s">
        <v>296</v>
      </c>
      <c r="F64" t="s">
        <v>240</v>
      </c>
      <c r="G64" t="s">
        <v>290</v>
      </c>
      <c r="H64" t="s">
        <v>212</v>
      </c>
      <c r="I64" t="s">
        <v>212</v>
      </c>
      <c r="J64" t="s">
        <v>212</v>
      </c>
      <c r="K64" t="s">
        <v>212</v>
      </c>
      <c r="L64" t="s">
        <v>308</v>
      </c>
      <c r="M64" t="s">
        <v>290</v>
      </c>
      <c r="N64" t="s">
        <v>262</v>
      </c>
      <c r="O64" t="s">
        <v>212</v>
      </c>
      <c r="P64" t="s">
        <v>212</v>
      </c>
      <c r="Q64" t="s">
        <v>212</v>
      </c>
      <c r="R64" t="s">
        <v>273</v>
      </c>
      <c r="S64" t="s">
        <v>212</v>
      </c>
      <c r="T64" t="s">
        <v>212</v>
      </c>
      <c r="U64" t="s">
        <v>212</v>
      </c>
      <c r="V64" t="e">
        <v>#N/A</v>
      </c>
      <c r="W64" t="s">
        <v>212</v>
      </c>
      <c r="X64" t="s">
        <v>212</v>
      </c>
      <c r="Y64" t="s">
        <v>219</v>
      </c>
      <c r="Z64" t="s">
        <v>263</v>
      </c>
      <c r="AA64" t="s">
        <v>223</v>
      </c>
      <c r="AB64" t="e">
        <v>#N/A</v>
      </c>
      <c r="AC64" t="e">
        <v>#N/A</v>
      </c>
      <c r="AD64" t="s">
        <v>210</v>
      </c>
      <c r="AE64" t="s">
        <v>285</v>
      </c>
      <c r="AF64" t="s">
        <v>314</v>
      </c>
      <c r="AG64" t="s">
        <v>286</v>
      </c>
      <c r="AH64" t="s">
        <v>279</v>
      </c>
      <c r="AI64" t="s">
        <v>288</v>
      </c>
      <c r="AJ64" t="s">
        <v>315</v>
      </c>
      <c r="AK64" t="s">
        <v>212</v>
      </c>
      <c r="AL64" t="s">
        <v>224</v>
      </c>
      <c r="AM64" t="s">
        <v>267</v>
      </c>
      <c r="AN64" t="s">
        <v>212</v>
      </c>
      <c r="AO64" t="s">
        <v>212</v>
      </c>
      <c r="AP64" t="s">
        <v>212</v>
      </c>
      <c r="AQ64" t="s">
        <v>212</v>
      </c>
      <c r="AR64" t="s">
        <v>233</v>
      </c>
      <c r="AS64" t="s">
        <v>274</v>
      </c>
      <c r="AT64" t="s">
        <v>212</v>
      </c>
      <c r="AU64" t="s">
        <v>211</v>
      </c>
      <c r="AV64" t="s">
        <v>265</v>
      </c>
      <c r="AW64" t="s">
        <v>313</v>
      </c>
      <c r="AX64" t="s">
        <v>206</v>
      </c>
      <c r="AY64" t="s">
        <v>212</v>
      </c>
      <c r="AZ64" t="s">
        <v>243</v>
      </c>
      <c r="BA64" t="s">
        <v>212</v>
      </c>
      <c r="BB64" t="s">
        <v>308</v>
      </c>
      <c r="BC64" t="e">
        <v>#N/A</v>
      </c>
      <c r="BD64" t="e">
        <v>#N/A</v>
      </c>
      <c r="BE64" t="e">
        <v>#N/A</v>
      </c>
    </row>
    <row r="65" spans="2:57">
      <c r="B65">
        <v>4</v>
      </c>
      <c r="C65" t="s">
        <v>294</v>
      </c>
      <c r="D65" t="s">
        <v>292</v>
      </c>
      <c r="E65" t="s">
        <v>296</v>
      </c>
      <c r="F65" t="s">
        <v>212</v>
      </c>
      <c r="G65" t="s">
        <v>290</v>
      </c>
      <c r="H65" t="s">
        <v>212</v>
      </c>
      <c r="I65" t="s">
        <v>212</v>
      </c>
      <c r="J65" t="s">
        <v>212</v>
      </c>
      <c r="K65" t="s">
        <v>212</v>
      </c>
      <c r="L65" t="s">
        <v>308</v>
      </c>
      <c r="M65" t="s">
        <v>290</v>
      </c>
      <c r="N65" t="s">
        <v>262</v>
      </c>
      <c r="O65" t="s">
        <v>212</v>
      </c>
      <c r="P65" t="s">
        <v>212</v>
      </c>
      <c r="Q65" t="s">
        <v>212</v>
      </c>
      <c r="R65" t="s">
        <v>212</v>
      </c>
      <c r="S65" t="s">
        <v>212</v>
      </c>
      <c r="T65" t="s">
        <v>212</v>
      </c>
      <c r="U65" t="s">
        <v>212</v>
      </c>
      <c r="V65" t="e">
        <v>#N/A</v>
      </c>
      <c r="W65" t="s">
        <v>212</v>
      </c>
      <c r="X65" t="s">
        <v>212</v>
      </c>
      <c r="Y65" t="s">
        <v>219</v>
      </c>
      <c r="Z65" t="s">
        <v>263</v>
      </c>
      <c r="AA65" t="s">
        <v>273</v>
      </c>
      <c r="AB65" t="e">
        <v>#N/A</v>
      </c>
      <c r="AC65" t="e">
        <v>#N/A</v>
      </c>
      <c r="AD65" t="s">
        <v>212</v>
      </c>
      <c r="AE65" t="s">
        <v>212</v>
      </c>
      <c r="AF65" t="s">
        <v>314</v>
      </c>
      <c r="AG65" t="s">
        <v>286</v>
      </c>
      <c r="AH65" t="s">
        <v>279</v>
      </c>
      <c r="AI65" t="s">
        <v>212</v>
      </c>
      <c r="AJ65" t="s">
        <v>315</v>
      </c>
      <c r="AK65" t="s">
        <v>212</v>
      </c>
      <c r="AL65" t="s">
        <v>224</v>
      </c>
      <c r="AM65" t="s">
        <v>210</v>
      </c>
      <c r="AN65" t="s">
        <v>212</v>
      </c>
      <c r="AO65" t="s">
        <v>212</v>
      </c>
      <c r="AP65" t="s">
        <v>212</v>
      </c>
      <c r="AQ65" t="s">
        <v>212</v>
      </c>
      <c r="AR65" t="s">
        <v>212</v>
      </c>
      <c r="AS65" t="s">
        <v>274</v>
      </c>
      <c r="AT65" t="s">
        <v>212</v>
      </c>
      <c r="AU65" t="s">
        <v>212</v>
      </c>
      <c r="AV65" t="s">
        <v>212</v>
      </c>
      <c r="AW65" t="s">
        <v>313</v>
      </c>
      <c r="AX65" t="s">
        <v>206</v>
      </c>
      <c r="AY65" t="s">
        <v>212</v>
      </c>
      <c r="AZ65" t="s">
        <v>233</v>
      </c>
      <c r="BA65" t="s">
        <v>212</v>
      </c>
      <c r="BB65" t="s">
        <v>308</v>
      </c>
      <c r="BC65" t="e">
        <v>#N/A</v>
      </c>
      <c r="BD65" t="e">
        <v>#N/A</v>
      </c>
      <c r="BE65" t="e">
        <v>#N/A</v>
      </c>
    </row>
    <row r="66" spans="2:57">
      <c r="B66">
        <v>5</v>
      </c>
      <c r="C66" t="s">
        <v>212</v>
      </c>
      <c r="D66" t="s">
        <v>212</v>
      </c>
      <c r="E66" t="s">
        <v>212</v>
      </c>
      <c r="F66" t="s">
        <v>212</v>
      </c>
      <c r="G66" t="s">
        <v>212</v>
      </c>
      <c r="H66" t="s">
        <v>212</v>
      </c>
      <c r="I66" t="s">
        <v>212</v>
      </c>
      <c r="J66" t="s">
        <v>212</v>
      </c>
      <c r="K66" t="s">
        <v>212</v>
      </c>
      <c r="L66" t="s">
        <v>212</v>
      </c>
      <c r="M66" t="s">
        <v>212</v>
      </c>
      <c r="N66" t="s">
        <v>212</v>
      </c>
      <c r="O66" t="s">
        <v>212</v>
      </c>
      <c r="P66" t="s">
        <v>212</v>
      </c>
      <c r="Q66" t="s">
        <v>212</v>
      </c>
      <c r="R66" t="s">
        <v>212</v>
      </c>
      <c r="S66" t="s">
        <v>212</v>
      </c>
      <c r="T66" t="s">
        <v>212</v>
      </c>
      <c r="U66" t="s">
        <v>212</v>
      </c>
      <c r="V66" t="s">
        <v>212</v>
      </c>
      <c r="W66" t="s">
        <v>212</v>
      </c>
      <c r="X66" t="s">
        <v>212</v>
      </c>
      <c r="Y66" t="s">
        <v>212</v>
      </c>
      <c r="Z66" t="s">
        <v>212</v>
      </c>
      <c r="AA66" t="s">
        <v>212</v>
      </c>
      <c r="AB66" t="s">
        <v>212</v>
      </c>
      <c r="AC66" t="s">
        <v>212</v>
      </c>
      <c r="AD66" t="s">
        <v>212</v>
      </c>
      <c r="AE66" t="s">
        <v>212</v>
      </c>
      <c r="AF66" t="s">
        <v>212</v>
      </c>
      <c r="AG66" t="s">
        <v>212</v>
      </c>
      <c r="AH66" t="s">
        <v>212</v>
      </c>
      <c r="AI66" t="s">
        <v>212</v>
      </c>
      <c r="AJ66" t="s">
        <v>212</v>
      </c>
      <c r="AK66" t="s">
        <v>212</v>
      </c>
      <c r="AL66" t="s">
        <v>212</v>
      </c>
      <c r="AM66" t="s">
        <v>212</v>
      </c>
      <c r="AN66" t="s">
        <v>212</v>
      </c>
      <c r="AO66" t="s">
        <v>212</v>
      </c>
      <c r="AP66" t="s">
        <v>212</v>
      </c>
      <c r="AQ66" t="s">
        <v>212</v>
      </c>
      <c r="AR66" t="s">
        <v>212</v>
      </c>
      <c r="AS66" t="s">
        <v>212</v>
      </c>
      <c r="AT66" t="s">
        <v>212</v>
      </c>
      <c r="AU66" t="s">
        <v>212</v>
      </c>
      <c r="AV66" t="s">
        <v>212</v>
      </c>
      <c r="AW66" t="s">
        <v>212</v>
      </c>
      <c r="AX66" t="s">
        <v>212</v>
      </c>
      <c r="AY66" t="s">
        <v>212</v>
      </c>
      <c r="AZ66" t="s">
        <v>212</v>
      </c>
      <c r="BA66" t="s">
        <v>212</v>
      </c>
      <c r="BB66" t="s">
        <v>212</v>
      </c>
      <c r="BC66" t="s">
        <v>212</v>
      </c>
      <c r="BD66" t="s">
        <v>212</v>
      </c>
      <c r="BE66" t="s">
        <v>212</v>
      </c>
    </row>
  </sheetData>
  <conditionalFormatting sqref="A1:XFD1048576">
    <cfRule type="containsText" dxfId="25" priority="1" operator="containsText" text="N/A">
      <formula>NOT(ISERROR(SEARCH("N/A",A1)))</formula>
    </cfRule>
    <cfRule type="containsText" dxfId="24" priority="2" operator="containsText" text="#N/A">
      <formula>NOT(ISERROR(SEARCH("#N/A",A1)))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FCA17-195D-6B42-9090-D7A99DB14BDF}">
  <dimension ref="A1:E64"/>
  <sheetViews>
    <sheetView tabSelected="1" topLeftCell="A17" zoomScale="112" workbookViewId="0">
      <selection activeCell="F35" sqref="F35"/>
    </sheetView>
  </sheetViews>
  <sheetFormatPr baseColWidth="10" defaultRowHeight="15"/>
  <cols>
    <col min="1" max="1" width="14.6640625" bestFit="1" customWidth="1"/>
    <col min="2" max="2" width="55" customWidth="1"/>
    <col min="3" max="3" width="11.5"/>
    <col min="4" max="4" width="27.5" customWidth="1"/>
    <col min="5" max="5" width="6.6640625" bestFit="1" customWidth="1"/>
  </cols>
  <sheetData>
    <row r="1" spans="1:5" ht="21" thickBot="1">
      <c r="A1" s="59" t="s">
        <v>318</v>
      </c>
    </row>
    <row r="2" spans="1:5" ht="16" thickTop="1">
      <c r="A2" s="60" t="s">
        <v>319</v>
      </c>
    </row>
    <row r="3" spans="1:5">
      <c r="A3" s="61" t="s">
        <v>320</v>
      </c>
      <c r="B3" s="61" t="s">
        <v>321</v>
      </c>
      <c r="C3" s="61" t="s">
        <v>322</v>
      </c>
      <c r="D3" s="62" t="s">
        <v>324</v>
      </c>
      <c r="E3" s="214" t="s">
        <v>956</v>
      </c>
    </row>
    <row r="4" spans="1:5" ht="16">
      <c r="A4" s="63" t="s">
        <v>325</v>
      </c>
      <c r="B4" s="64" t="str" cm="1">
        <f t="array" ref="B4">_xlfn.LET(_xlpm.g,$A4,_xlpm.cl,_xlfn.VSTACK([2]DU_LIEU_HS_K10!$C$3:$C$2000,[2]!BangDuLieuHSK11[LỚP],[2]!BangDuLieuK12[LỚP]),_xlpm.gr,_xlfn.VSTACK([2]DU_LIEU_HS_K10!$J$3:$J$2000,[2]!BangDuLieuHSK11[Mã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10A4 (29) + 10A21 (7) + 10A18 (3) + 10A2 (3)</v>
      </c>
      <c r="C4" s="65">
        <f>COUNTIF([2]DU_LIEU_HS_K10!$J:$J,$A4)+COUNTIF([2]!BangDuLieuHSK11[Mã nhóm THQT],$A4)+COUNTIF([2]!BangDuLieuK12[THQT],$A4)</f>
        <v>42</v>
      </c>
      <c r="D4" s="66" t="str">
        <f>IFERROR(INDEX('[2]Ma nhom'!$D:$D,MATCH($A4,'[2]Ma nhom'!$B:$B,0)),"Chưa phân công")</f>
        <v>Đặng Thị Xuân</v>
      </c>
      <c r="E4" s="66" t="str" cm="1">
        <f t="array" ref="E4">IFERROR(_xlfn.XLOOKUP(TRIM(D4)&amp;"|"&amp;MID(TRIM(A4),FIND("-",TRIM(A4))+1,FIND("-",TRIM(A4),FIND("-",TRIM(A4))+1)-FIND("-",TRIM(A4))-1),TRIM(MAGV!$B$2:$B$206)&amp;"|"&amp;MAGV!$F$2:$F$206,MAGV!$A$2:$A$206),"Không tìm thấy")</f>
        <v>M3QT</v>
      </c>
    </row>
    <row r="5" spans="1:5" ht="16">
      <c r="A5" s="67" t="s">
        <v>326</v>
      </c>
      <c r="B5" s="64" t="str" cm="1">
        <f t="array" ref="B5">_xlfn.LET(_xlpm.g,$A5,_xlpm.cl,_xlfn.VSTACK([2]DU_LIEU_HS_K10!$C$3:$C$2000,[2]!BangDuLieuHSK11[LỚP],[2]!BangDuLieuK12[LỚP]),_xlpm.gr,_xlfn.VSTACK([2]DU_LIEU_HS_K10!$J$3:$J$2000,[2]!BangDuLieuHSK11[Mã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10A2 (28) + 10A19 (8) + 10A1 (3) + 10A21 (1)</v>
      </c>
      <c r="C5" s="65">
        <f>COUNTIF([2]DU_LIEU_HS_K10!$J:$J,$A5)+COUNTIF([2]!BangDuLieuHSK11[Mã nhóm THQT],$A5)+COUNTIF([2]!BangDuLieuK12[THQT],$A5)</f>
        <v>40</v>
      </c>
      <c r="D5" s="68" t="str">
        <f>IFERROR(INDEX('[2]Ma nhom'!$D:$D,MATCH($A5,'[2]Ma nhom'!$B:$B,0)),"Chưa phân công")</f>
        <v>Đặng Thị Xuân</v>
      </c>
      <c r="E5" s="68" t="str" cm="1">
        <f t="array" ref="E5">IFERROR(_xlfn.XLOOKUP(TRIM(D5)&amp;"|"&amp;MID(TRIM(A5),FIND("-",TRIM(A5))+1,FIND("-",TRIM(A5),FIND("-",TRIM(A5))+1)-FIND("-",TRIM(A5))-1),TRIM(MAGV!$B$2:$B$206)&amp;"|"&amp;MAGV!$F$2:$F$206,MAGV!$A$2:$A$206),"Không tìm thấy")</f>
        <v>M3QT</v>
      </c>
    </row>
    <row r="6" spans="1:5" ht="16">
      <c r="A6" s="63" t="s">
        <v>327</v>
      </c>
      <c r="B6" s="64" t="str" cm="1">
        <f t="array" ref="B6">_xlfn.LET(_xlpm.g,$A6,_xlpm.cl,_xlfn.VSTACK([2]DU_LIEU_HS_K10!$C$3:$C$2000,[2]!BangDuLieuHSK11[LỚP],[2]!BangDuLieuK12[LỚP]),_xlpm.gr,_xlfn.VSTACK([2]DU_LIEU_HS_K10!$J$3:$J$2000,[2]!BangDuLieuHSK11[Mã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10A1 (22) + 10A18 (11) + 10A21 (10) + 10A19 (5) + 10A7 (2)</v>
      </c>
      <c r="C6" s="65">
        <f>COUNTIF([2]DU_LIEU_HS_K10!$J:$J,$A6)+COUNTIF([2]!BangDuLieuHSK11[Mã nhóm THQT],$A6)+COUNTIF([2]!BangDuLieuK12[THQT],$A6)</f>
        <v>50</v>
      </c>
      <c r="D6" s="66" t="str">
        <f>IFERROR(INDEX('[2]Ma nhom'!$D:$D,MATCH($A6,'[2]Ma nhom'!$B:$B,0)),"Chưa phân công")</f>
        <v>Đặng Thị Xuân</v>
      </c>
      <c r="E6" s="66" t="str" cm="1">
        <f t="array" ref="E6">IFERROR(_xlfn.XLOOKUP(TRIM(D6)&amp;"|"&amp;MID(TRIM(A6),FIND("-",TRIM(A6))+1,FIND("-",TRIM(A6),FIND("-",TRIM(A6))+1)-FIND("-",TRIM(A6))-1),TRIM(MAGV!$B$2:$B$206)&amp;"|"&amp;MAGV!$F$2:$F$206,MAGV!$A$2:$A$206),"Không tìm thấy")</f>
        <v>M3QT</v>
      </c>
    </row>
    <row r="7" spans="1:5" ht="16">
      <c r="A7" s="67" t="s">
        <v>328</v>
      </c>
      <c r="B7" s="64" t="str" cm="1">
        <f t="array" ref="B7">_xlfn.LET(_xlpm.g,$A7,_xlpm.cl,_xlfn.VSTACK([2]DU_LIEU_HS_K10!$C$3:$C$2000,[2]!BangDuLieuHSK11[LỚP],[2]!BangDuLieuK12[LỚP]),_xlpm.gr,_xlfn.VSTACK([2]DU_LIEU_HS_K10!$J$3:$J$2000,[2]!BangDuLieuHSK11[Mã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10A8 (25) + 10A13 (20) + 10A4 (2)</v>
      </c>
      <c r="C7" s="65">
        <f>COUNTIF([2]DU_LIEU_HS_K10!$J:$J,$A7)+COUNTIF([2]!BangDuLieuHSK11[Mã nhóm THQT],$A7)+COUNTIF([2]!BangDuLieuK12[THQT],$A7)</f>
        <v>47</v>
      </c>
      <c r="D7" s="68" t="str">
        <f>IFERROR(INDEX('[2]Ma nhom'!$D:$D,MATCH($A7,'[2]Ma nhom'!$B:$B,0)),"Chưa phân công")</f>
        <v>Đặng Thị Xuân</v>
      </c>
      <c r="E7" s="68" t="str" cm="1">
        <f t="array" ref="E7">IFERROR(_xlfn.XLOOKUP(TRIM(D7)&amp;"|"&amp;MID(TRIM(A7),FIND("-",TRIM(A7))+1,FIND("-",TRIM(A7),FIND("-",TRIM(A7))+1)-FIND("-",TRIM(A7))-1),TRIM(MAGV!$B$2:$B$206)&amp;"|"&amp;MAGV!$F$2:$F$206,MAGV!$A$2:$A$206),"Không tìm thấy")</f>
        <v>M3QT</v>
      </c>
    </row>
    <row r="8" spans="1:5" ht="16">
      <c r="A8" s="63" t="s">
        <v>329</v>
      </c>
      <c r="B8" s="64" t="str" cm="1">
        <f t="array" ref="B8">_xlfn.LET(_xlpm.g,$A8,_xlpm.cl,_xlfn.VSTACK([2]DU_LIEU_HS_K10!$C$3:$C$2000,[2]!BangDuLieuHSK11[LỚP],[2]!BangDuLieuK12[LỚP]),_xlpm.gr,_xlfn.VSTACK([2]DU_LIEU_HS_K10!$J$3:$J$2000,[2]!BangDuLieuHSK11[Mã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10A14 (37) + 10A5 (4)</v>
      </c>
      <c r="C8" s="65">
        <f>COUNTIF([2]DU_LIEU_HS_K10!$J:$J,$A8)+COUNTIF([2]!BangDuLieuHSK11[Mã nhóm THQT],$A8)+COUNTIF([2]!BangDuLieuK12[THQT],$A8)</f>
        <v>41</v>
      </c>
      <c r="D8" s="68" t="str">
        <f>IFERROR(INDEX('[2]Ma nhom'!$D:$D,MATCH($A8,'[2]Ma nhom'!$B:$B,0)),"Chưa phân công")</f>
        <v>Huỳnh Chí Cường</v>
      </c>
      <c r="E8" s="68" t="str" cm="1">
        <f t="array" ref="E8">IFERROR(_xlfn.XLOOKUP(TRIM(D8)&amp;"|"&amp;MID(TRIM(A8),FIND("-",TRIM(A8))+1,FIND("-",TRIM(A8),FIND("-",TRIM(A8))+1)-FIND("-",TRIM(A8))-1),TRIM(MAGV!$B$2:$B$206)&amp;"|"&amp;MAGV!$F$2:$F$206,MAGV!$A$2:$A$206),"Không tìm thấy")</f>
        <v>M5QT</v>
      </c>
    </row>
    <row r="9" spans="1:5" ht="16">
      <c r="A9" s="67" t="s">
        <v>330</v>
      </c>
      <c r="B9" s="64" t="str" cm="1">
        <f t="array" ref="B9">_xlfn.LET(_xlpm.g,$A9,_xlpm.cl,_xlfn.VSTACK([2]DU_LIEU_HS_K10!$C$3:$C$2000,[2]!BangDuLieuHSK11[LỚP],[2]!BangDuLieuK12[LỚP]),_xlpm.gr,_xlfn.VSTACK([2]DU_LIEU_HS_K10!$J$3:$J$2000,[2]!BangDuLieuHSK11[Mã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10A15 (28) + 10A20 (10) + 10A11 (3)</v>
      </c>
      <c r="C9" s="65">
        <f>COUNTIF([2]DU_LIEU_HS_K10!$J:$J,$A9)+COUNTIF([2]!BangDuLieuHSK11[Mã nhóm THQT],$A9)+COUNTIF([2]!BangDuLieuK12[THQT],$A9)</f>
        <v>41</v>
      </c>
      <c r="D9" s="66" t="str">
        <f>IFERROR(INDEX('[2]Ma nhom'!$D:$D,MATCH($A9,'[2]Ma nhom'!$B:$B,0)),"Chưa phân công")</f>
        <v>Huỳnh Chí Cường</v>
      </c>
      <c r="E9" s="66" t="str" cm="1">
        <f t="array" ref="E9">IFERROR(_xlfn.XLOOKUP(TRIM(D9)&amp;"|"&amp;MID(TRIM(A9),FIND("-",TRIM(A9))+1,FIND("-",TRIM(A9),FIND("-",TRIM(A9))+1)-FIND("-",TRIM(A9))-1),TRIM(MAGV!$B$2:$B$206)&amp;"|"&amp;MAGV!$F$2:$F$206,MAGV!$A$2:$A$206),"Không tìm thấy")</f>
        <v>M5QT</v>
      </c>
    </row>
    <row r="10" spans="1:5" ht="16">
      <c r="A10" s="63" t="s">
        <v>331</v>
      </c>
      <c r="B10" s="64" t="str" cm="1">
        <f t="array" ref="B10">_xlfn.LET(_xlpm.g,$A10,_xlpm.cl,_xlfn.VSTACK([2]DU_LIEU_HS_K10!$C$3:$C$2000,[2]!BangDuLieuHSK11[LỚP],[2]!BangDuLieuK12[LỚP]),_xlpm.gr,_xlfn.VSTACK([2]DU_LIEU_HS_K10!$J$3:$J$2000,[2]!BangDuLieuHSK11[Mã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10A10 (31) + 10A5 (17)</v>
      </c>
      <c r="C10" s="65">
        <f>COUNTIF([2]DU_LIEU_HS_K10!$J:$J,$A10)+COUNTIF([2]!BangDuLieuHSK11[Mã nhóm THQT],$A10)+COUNTIF([2]!BangDuLieuK12[THQT],$A10)</f>
        <v>48</v>
      </c>
      <c r="D10" s="66" t="str">
        <f>IFERROR(INDEX('[2]Ma nhom'!$D:$D,MATCH($A10,'[2]Ma nhom'!$B:$B,0)),"Chưa phân công")</f>
        <v>Nguyễn Phi Hùng</v>
      </c>
      <c r="E10" s="66" t="str" cm="1">
        <f t="array" ref="E10">IFERROR(_xlfn.XLOOKUP(TRIM(D10)&amp;"|"&amp;MID(TRIM(A10),FIND("-",TRIM(A10))+1,FIND("-",TRIM(A10),FIND("-",TRIM(A10))+1)-FIND("-",TRIM(A10))-1),TRIM(MAGV!$B$2:$B$206)&amp;"|"&amp;MAGV!$F$2:$F$206,MAGV!$A$2:$A$206),"Không tìm thấy")</f>
        <v>M4QT</v>
      </c>
    </row>
    <row r="11" spans="1:5" ht="16">
      <c r="A11" s="67" t="s">
        <v>332</v>
      </c>
      <c r="B11" s="64" t="str" cm="1">
        <f t="array" ref="B11">_xlfn.LET(_xlpm.g,$A11,_xlpm.cl,_xlfn.VSTACK([2]DU_LIEU_HS_K10!$C$3:$C$2000,[2]!BangDuLieuHSK11[LỚP],[2]!BangDuLieuK12[LỚP]),_xlpm.gr,_xlfn.VSTACK([2]DU_LIEU_HS_K10!$J$3:$J$2000,[2]!BangDuLieuHSK11[Mã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10A9 (30) + 10A6 (20)</v>
      </c>
      <c r="C11" s="65">
        <f>COUNTIF([2]DU_LIEU_HS_K10!$J:$J,$A11)+COUNTIF([2]!BangDuLieuHSK11[Mã nhóm THQT],$A11)+COUNTIF([2]!BangDuLieuK12[THQT],$A11)</f>
        <v>50</v>
      </c>
      <c r="D11" s="68" t="str">
        <f>IFERROR(INDEX('[2]Ma nhom'!$D:$D,MATCH($A11,'[2]Ma nhom'!$B:$B,0)),"Chưa phân công")</f>
        <v>Nguyễn Phi Hùng</v>
      </c>
      <c r="E11" s="68" t="str" cm="1">
        <f t="array" ref="E11">IFERROR(_xlfn.XLOOKUP(TRIM(D11)&amp;"|"&amp;MID(TRIM(A11),FIND("-",TRIM(A11))+1,FIND("-",TRIM(A11),FIND("-",TRIM(A11))+1)-FIND("-",TRIM(A11))-1),TRIM(MAGV!$B$2:$B$206)&amp;"|"&amp;MAGV!$F$2:$F$206,MAGV!$A$2:$A$206),"Không tìm thấy")</f>
        <v>M4QT</v>
      </c>
    </row>
    <row r="12" spans="1:5" ht="16">
      <c r="A12" s="63" t="s">
        <v>333</v>
      </c>
      <c r="B12" s="64" t="str" cm="1">
        <f t="array" ref="B12">_xlfn.LET(_xlpm.g,$A12,_xlpm.cl,_xlfn.VSTACK([2]DU_LIEU_HS_K10!$C$3:$C$2000,[2]!BangDuLieuHSK11[LỚP],[2]!BangDuLieuK12[LỚP]),_xlpm.gr,_xlfn.VSTACK([2]DU_LIEU_HS_K10!$J$3:$J$2000,[2]!BangDuLieuHSK11[Mã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10A17 (26) + 10A16 (24)</v>
      </c>
      <c r="C12" s="65">
        <f>COUNTIF([2]DU_LIEU_HS_K10!$J:$J,$A12)+COUNTIF([2]!BangDuLieuHSK11[Mã nhóm THQT],$A12)+COUNTIF([2]!BangDuLieuK12[THQT],$A12)</f>
        <v>50</v>
      </c>
      <c r="D12" s="66" t="str">
        <f>IFERROR(INDEX('[2]Ma nhom'!$D:$D,MATCH($A12,'[2]Ma nhom'!$B:$B,0)),"Chưa phân công")</f>
        <v>Nguyễn Phi Hùng</v>
      </c>
      <c r="E12" s="66" t="str" cm="1">
        <f t="array" ref="E12">IFERROR(_xlfn.XLOOKUP(TRIM(D12)&amp;"|"&amp;MID(TRIM(A12),FIND("-",TRIM(A12))+1,FIND("-",TRIM(A12),FIND("-",TRIM(A12))+1)-FIND("-",TRIM(A12))-1),TRIM(MAGV!$B$2:$B$206)&amp;"|"&amp;MAGV!$F$2:$F$206,MAGV!$A$2:$A$206),"Không tìm thấy")</f>
        <v>M4QT</v>
      </c>
    </row>
    <row r="13" spans="1:5" ht="16">
      <c r="A13" s="67" t="s">
        <v>334</v>
      </c>
      <c r="B13" s="64" t="str" cm="1">
        <f t="array" ref="B13">_xlfn.LET(_xlpm.g,$A13,_xlpm.cl,_xlfn.VSTACK([2]DU_LIEU_HS_K10!$C$3:$C$2000,[2]!BangDuLieuHSK11[LỚP],[2]!BangDuLieuK12[LỚP]),_xlpm.gr,_xlfn.VSTACK([2]DU_LIEU_HS_K10!$J$3:$J$2000,[2]!BangDuLieuHSK11[Mã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10A3 (27) + 10A12 (23)</v>
      </c>
      <c r="C13" s="65">
        <f>COUNTIF([2]DU_LIEU_HS_K10!$J:$J,$A13)+COUNTIF([2]!BangDuLieuHSK11[Mã nhóm THQT],$A13)+COUNTIF([2]!BangDuLieuK12[THQT],$A13)</f>
        <v>50</v>
      </c>
      <c r="D13" s="68" t="str">
        <f>IFERROR(INDEX('[2]Ma nhom'!$D:$D,MATCH($A13,'[2]Ma nhom'!$B:$B,0)),"Chưa phân công")</f>
        <v>Nguyễn Phi Hùng</v>
      </c>
      <c r="E13" s="68" t="str" cm="1">
        <f t="array" ref="E13">IFERROR(_xlfn.XLOOKUP(TRIM(D13)&amp;"|"&amp;MID(TRIM(A13),FIND("-",TRIM(A13))+1,FIND("-",TRIM(A13),FIND("-",TRIM(A13))+1)-FIND("-",TRIM(A13))-1),TRIM(MAGV!$B$2:$B$206)&amp;"|"&amp;MAGV!$F$2:$F$206,MAGV!$A$2:$A$206),"Không tìm thấy")</f>
        <v>M4QT</v>
      </c>
    </row>
    <row r="14" spans="1:5" ht="16">
      <c r="A14" s="63" t="s">
        <v>335</v>
      </c>
      <c r="B14" s="64" t="str" cm="1">
        <f t="array" ref="B14">_xlfn.LET(_xlpm.g,$A14,_xlpm.cl,_xlfn.VSTACK([2]DU_LIEU_HS_K10!$C$3:$C$2000,[2]!BangDuLieuHSK11[LỚP],[2]!BangDuLieuK12[LỚP]),_xlpm.gr,_xlfn.VSTACK([2]DU_LIEU_HS_K10!$J$3:$J$2000,[2]!BangDuLieuHSK11[Mã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10A7 (22) + 10A11 (19) + 10A1 (5) + 10A20 (3)</v>
      </c>
      <c r="C14" s="65">
        <f>COUNTIF([2]DU_LIEU_HS_K10!$J:$J,$A14)+COUNTIF([2]!BangDuLieuHSK11[Mã nhóm THQT],$A14)+COUNTIF([2]!BangDuLieuK12[THQT],$A14)</f>
        <v>49</v>
      </c>
      <c r="D14" s="66" t="str">
        <f>IFERROR(INDEX('[2]Ma nhom'!$D:$D,MATCH($A14,'[2]Ma nhom'!$B:$B,0)),"Chưa phân công")</f>
        <v>Kim Vĩnh Anh Khoa</v>
      </c>
      <c r="E14" s="66" t="str" cm="1">
        <f t="array" ref="E14">IFERROR(_xlfn.XLOOKUP(TRIM(D14)&amp;"|"&amp;MID(TRIM(A14),FIND("-",TRIM(A14))+1,FIND("-",TRIM(A14),FIND("-",TRIM(A14))+1)-FIND("-",TRIM(A14))-1),TRIM(MAGV!$B$2:$B$206)&amp;"|"&amp;MAGV!$F$2:$F$206,MAGV!$A$2:$A$206),"Không tìm thấy")</f>
        <v>M8QT</v>
      </c>
    </row>
    <row r="15" spans="1:5">
      <c r="A15" s="64"/>
      <c r="B15" s="64"/>
      <c r="C15" s="65"/>
    </row>
    <row r="16" spans="1:5">
      <c r="A16" s="69" t="s">
        <v>320</v>
      </c>
      <c r="B16" s="69" t="s">
        <v>321</v>
      </c>
      <c r="C16" s="70" t="s">
        <v>322</v>
      </c>
      <c r="E16" t="s">
        <v>956</v>
      </c>
    </row>
    <row r="17" spans="1:5">
      <c r="A17" t="s">
        <v>336</v>
      </c>
      <c r="B17" s="71" t="str" cm="1">
        <f t="array" ref="B17">_xlfn.LET(_xlpm.g,$A17,_xlpm.cl,_xlfn.VSTACK([2]DU_LIEU_HS_K10!$C$3:$C$2000,[2]!BangDuLieuHSK11[LỚP],[2]!BangDuLieuK12[LỚP]),_xlpm.gr,_xlfn.VSTACK([2]DU_LIEU_HS_K10!$J$3:$J$2000,[2]!BangDuLieuHSK11[Mã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11A14 (21) + 11A9 (19) + 11A5 (5) + 11A4 (2)</v>
      </c>
      <c r="C17" s="72">
        <f>COUNTIF([2]DU_LIEU_HS_K10!$J:$J,$A17)+COUNTIF([2]!BangDuLieuHSK11[Mã nhóm THQT],$A17)+COUNTIF([2]!BangDuLieuK12[THQT],$A17)</f>
        <v>47</v>
      </c>
      <c r="D17" s="73" t="str">
        <f>IFERROR(INDEX('[2]Ma nhom'!$D:$D,MATCH($A17,'[2]Ma nhom'!$B:$B,0)),"Chưa phân công")</f>
        <v>Trương Văn Phúc</v>
      </c>
      <c r="E17" s="73" t="str" cm="1">
        <f t="array" ref="E17">IFERROR(_xlfn.XLOOKUP(TRIM(D17)&amp;"|"&amp;MID(TRIM(A17),FIND("-",TRIM(A17))+1,FIND("-",TRIM(A17),FIND("-",TRIM(A17))+1)-FIND("-",TRIM(A17))-1),TRIM(MAGV!$B$2:$B$206)&amp;"|"&amp;MAGV!$F$2:$F$206,MAGV!$A$2:$A$206),"Không tìm thấy")</f>
        <v>M2QT</v>
      </c>
    </row>
    <row r="18" spans="1:5">
      <c r="A18" t="s">
        <v>337</v>
      </c>
      <c r="B18" s="71" t="str" cm="1">
        <f t="array" ref="B18">_xlfn.LET(_xlpm.g,$A18,_xlpm.cl,_xlfn.VSTACK([2]DU_LIEU_HS_K10!$C$3:$C$2000,[2]!BangDuLieuHSK11[LỚP],[2]!BangDuLieuK12[LỚP]),_xlpm.gr,_xlfn.VSTACK([2]DU_LIEU_HS_K10!$J$3:$J$2000,[2]!BangDuLieuHSK11[Mã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11A5 (25) + 11A1 (14) + 11A13 (8) + 11A3 (1)</v>
      </c>
      <c r="C18" s="72">
        <f>COUNTIF([2]DU_LIEU_HS_K10!$J:$J,$A18)+COUNTIF([2]!BangDuLieuHSK11[Mã nhóm THQT],$A18)+COUNTIF([2]!BangDuLieuK12[THQT],$A18)</f>
        <v>48</v>
      </c>
      <c r="D18" s="73" t="str">
        <f>IFERROR(INDEX('[2]Ma nhom'!$D:$D,MATCH($A18,'[2]Ma nhom'!$B:$B,0)),"Chưa phân công")</f>
        <v>Trương Văn Phúc</v>
      </c>
      <c r="E18" s="73" t="str" cm="1">
        <f t="array" ref="E18">IFERROR(_xlfn.XLOOKUP(TRIM(D18)&amp;"|"&amp;MID(TRIM(A18),FIND("-",TRIM(A18))+1,FIND("-",TRIM(A18),FIND("-",TRIM(A18))+1)-FIND("-",TRIM(A18))-1),TRIM(MAGV!$B$2:$B$206)&amp;"|"&amp;MAGV!$F$2:$F$206,MAGV!$A$2:$A$206),"Không tìm thấy")</f>
        <v>M2QT</v>
      </c>
    </row>
    <row r="19" spans="1:5">
      <c r="A19" t="s">
        <v>338</v>
      </c>
      <c r="B19" s="71" t="str" cm="1">
        <f t="array" ref="B19">_xlfn.LET(_xlpm.g,$A19,_xlpm.cl,_xlfn.VSTACK([2]DU_LIEU_HS_K10!$C$3:$C$2000,[2]!BangDuLieuHSK11[LỚP],[2]!BangDuLieuK12[LỚP]),_xlpm.gr,_xlfn.VSTACK([2]DU_LIEU_HS_K10!$J$3:$J$2000,[2]!BangDuLieuHSK11[Mã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11A7 (30) + 11A10 (12) + 11A8 (5) + 11A12 (3)</v>
      </c>
      <c r="C19" s="72">
        <f>COUNTIF([2]DU_LIEU_HS_K10!$J:$J,$A19)+COUNTIF([2]!BangDuLieuHSK11[Mã nhóm THQT],$A19)+COUNTIF([2]!BangDuLieuK12[THQT],$A19)</f>
        <v>50</v>
      </c>
      <c r="D19" s="73" t="str">
        <f>IFERROR(INDEX('[2]Ma nhom'!$D:$D,MATCH($A19,'[2]Ma nhom'!$B:$B,0)),"Chưa phân công")</f>
        <v>Kim Vĩnh Anh Khoa</v>
      </c>
      <c r="E19" s="73" t="str" cm="1">
        <f t="array" ref="E19">IFERROR(_xlfn.XLOOKUP(TRIM(D19)&amp;"|"&amp;MID(TRIM(A19),FIND("-",TRIM(A19))+1,FIND("-",TRIM(A19),FIND("-",TRIM(A19))+1)-FIND("-",TRIM(A19))-1),TRIM(MAGV!$B$2:$B$206)&amp;"|"&amp;MAGV!$F$2:$F$206,MAGV!$A$2:$A$206),"Không tìm thấy")</f>
        <v>M8QT</v>
      </c>
    </row>
    <row r="20" spans="1:5">
      <c r="A20" t="s">
        <v>339</v>
      </c>
      <c r="B20" s="71" t="str" cm="1">
        <f t="array" ref="B20">_xlfn.LET(_xlpm.g,$A20,_xlpm.cl,_xlfn.VSTACK([2]DU_LIEU_HS_K10!$C$3:$C$2000,[2]!BangDuLieuHSK11[LỚP],[2]!BangDuLieuK12[LỚP]),_xlpm.gr,_xlfn.VSTACK([2]DU_LIEU_HS_K10!$J$3:$J$2000,[2]!BangDuLieuHSK11[Mã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11A6 (25) + 11A12 (19)</v>
      </c>
      <c r="C20" s="72">
        <f>COUNTIF([2]DU_LIEU_HS_K10!$J:$J,$A20)+COUNTIF([2]!BangDuLieuHSK11[Mã nhóm THQT],$A20)+COUNTIF([2]!BangDuLieuK12[THQT],$A20)</f>
        <v>44</v>
      </c>
      <c r="D20" s="73" t="str">
        <f>IFERROR(INDEX('[2]Ma nhom'!$D:$D,MATCH($A20,'[2]Ma nhom'!$B:$B,0)),"Chưa phân công")</f>
        <v>Kim Vĩnh Anh Khoa</v>
      </c>
      <c r="E20" s="73" t="str" cm="1">
        <f t="array" ref="E20">IFERROR(_xlfn.XLOOKUP(TRIM(D20)&amp;"|"&amp;MID(TRIM(A20),FIND("-",TRIM(A20))+1,FIND("-",TRIM(A20),FIND("-",TRIM(A20))+1)-FIND("-",TRIM(A20))-1),TRIM(MAGV!$B$2:$B$206)&amp;"|"&amp;MAGV!$F$2:$F$206,MAGV!$A$2:$A$206),"Không tìm thấy")</f>
        <v>M8QT</v>
      </c>
    </row>
    <row r="21" spans="1:5">
      <c r="A21" t="s">
        <v>340</v>
      </c>
      <c r="B21" s="71" t="str" cm="1">
        <f t="array" ref="B21">_xlfn.LET(_xlpm.g,$A21,_xlpm.cl,_xlfn.VSTACK([2]DU_LIEU_HS_K10!$C$3:$C$2000,[2]!BangDuLieuHSK11[LỚP],[2]!BangDuLieuK12[LỚP]),_xlpm.gr,_xlfn.VSTACK([2]DU_LIEU_HS_K10!$J$3:$J$2000,[2]!BangDuLieuHSK11[Mã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11A2 (22) + 11A11 (21)</v>
      </c>
      <c r="C21" s="72">
        <f>COUNTIF([2]DU_LIEU_HS_K10!$J:$J,$A21)+COUNTIF([2]!BangDuLieuHSK11[Mã nhóm THQT],$A21)+COUNTIF([2]!BangDuLieuK12[THQT],$A21)</f>
        <v>43</v>
      </c>
      <c r="D21" t="str">
        <f>IFERROR(INDEX('[2]Ma nhom'!$D:$D,MATCH($A21,'[2]Ma nhom'!$B:$B,0)),"Chưa phân công")</f>
        <v>Kim Vĩnh Anh Khoa</v>
      </c>
      <c r="E21" t="str" cm="1">
        <f t="array" ref="E21">IFERROR(_xlfn.XLOOKUP(TRIM(D21)&amp;"|"&amp;MID(TRIM(A21),FIND("-",TRIM(A21))+1,FIND("-",TRIM(A21),FIND("-",TRIM(A21))+1)-FIND("-",TRIM(A21))-1),TRIM(MAGV!$B$2:$B$206)&amp;"|"&amp;MAGV!$F$2:$F$206,MAGV!$A$2:$A$206),"Không tìm thấy")</f>
        <v>M8QT</v>
      </c>
    </row>
    <row r="22" spans="1:5">
      <c r="A22" s="74"/>
      <c r="B22" s="75"/>
      <c r="C22" s="74"/>
    </row>
    <row r="23" spans="1:5">
      <c r="A23" s="69" t="s">
        <v>320</v>
      </c>
      <c r="B23" s="69" t="s">
        <v>321</v>
      </c>
      <c r="C23" s="70" t="s">
        <v>322</v>
      </c>
      <c r="E23" t="s">
        <v>956</v>
      </c>
    </row>
    <row r="24" spans="1:5" ht="28">
      <c r="A24" s="63" t="s">
        <v>341</v>
      </c>
      <c r="B24" s="71" t="str" cm="1">
        <f t="array" ref="B24">_xlfn.LET(_xlpm.g,$A24,_xlpm.cl,_xlfn.VSTACK([2]DU_LIEU_HS_K10!$C$3:$C$2000,[2]!BangDuLieuHSK11[LỚP],[2]!BangDuLieuK12[LỚP]),_xlpm.gr,_xlfn.VSTACK([2]DU_LIEU_HS_K10!$J$3:$J$2000,[2]!BangDuLieuHSK11[Mã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12A12 (17) + 12A3 (15) + 12A5 (6) + 12A6 (5) + 12A2 (3) + 12A10 (2) + 12A4 (1)</v>
      </c>
      <c r="C24" s="72">
        <f>COUNTIF([2]DU_LIEU_HS_K10!$J:$J,$A24)+COUNTIF([2]!BangDuLieuHSK11[Mã nhóm THQT],$A24)+COUNTIF([2]!BangDuLieuK12[THQT],$A24)</f>
        <v>49</v>
      </c>
      <c r="D24" s="66" t="str">
        <f>IFERROR(INDEX('[2]Ma nhom'!$D:$D,MATCH($A24,'[2]Ma nhom'!$B:$B,0)),"Chưa phân công")</f>
        <v>Huỳnh Chí Cường</v>
      </c>
      <c r="E24" s="66" t="str" cm="1">
        <f t="array" ref="E24">IFERROR(_xlfn.XLOOKUP(TRIM(D24)&amp;"|"&amp;MID(TRIM(A24),FIND("-",TRIM(A24))+1,FIND("-",TRIM(A24),FIND("-",TRIM(A24))+1)-FIND("-",TRIM(A24))-1),TRIM(MAGV!$B$2:$B$206)&amp;"|"&amp;MAGV!$F$2:$F$206,MAGV!$A$2:$A$206),"Không tìm thấy")</f>
        <v>M5QT</v>
      </c>
    </row>
    <row r="25" spans="1:5">
      <c r="A25" s="67" t="s">
        <v>342</v>
      </c>
      <c r="B25" s="71" t="str" cm="1">
        <f t="array" ref="B25">_xlfn.LET(_xlpm.g,$A25,_xlpm.cl,_xlfn.VSTACK([2]DU_LIEU_HS_K10!$C$3:$C$2000,[2]!BangDuLieuHSK11[LỚP],[2]!BangDuLieuK12[LỚP]),_xlpm.gr,_xlfn.VSTACK([2]DU_LIEU_HS_K10!$J$3:$J$2000,[2]!BangDuLieuHSK11[Mã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12A5 (11) + 12A6 (9) + 12A15 (5) + 12A3 (3)</v>
      </c>
      <c r="C25" s="72">
        <f>COUNTIF([2]DU_LIEU_HS_K10!$J:$J,$A25)+COUNTIF([2]!BangDuLieuHSK11[Mã nhóm THQT],$A25)+COUNTIF([2]!BangDuLieuK12[THQT],$A25)</f>
        <v>28</v>
      </c>
      <c r="D25" s="68" t="str">
        <f>IFERROR(INDEX('[2]Ma nhom'!$D:$D,MATCH($A25,'[2]Ma nhom'!$B:$B,0)),"Chưa phân công")</f>
        <v>Huỳnh Chí Cường</v>
      </c>
      <c r="E25" s="68" t="str" cm="1">
        <f t="array" ref="E25">IFERROR(_xlfn.XLOOKUP(TRIM(D25)&amp;"|"&amp;MID(TRIM(A25),FIND("-",TRIM(A25))+1,FIND("-",TRIM(A25),FIND("-",TRIM(A25))+1)-FIND("-",TRIM(A25))-1),TRIM(MAGV!$B$2:$B$206)&amp;"|"&amp;MAGV!$F$2:$F$206,MAGV!$A$2:$A$206),"Không tìm thấy")</f>
        <v>M5QT</v>
      </c>
    </row>
    <row r="26" spans="1:5">
      <c r="A26" s="63" t="s">
        <v>343</v>
      </c>
      <c r="B26" s="71" t="str" cm="1">
        <f t="array" ref="B26">_xlfn.LET(_xlpm.g,$A26,_xlpm.cl,_xlfn.VSTACK([2]DU_LIEU_HS_K10!$C$3:$C$2000,[2]!BangDuLieuHSK11[LỚP],[2]!BangDuLieuK12[LỚP]),_xlpm.gr,_xlfn.VSTACK([2]DU_LIEU_HS_K10!$J$3:$J$2000,[2]!BangDuLieuHSK11[Mã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12A8 (16) + 12A9 (14) + 12A15 (12) + 12A2 (3) + 12A14 (2)</v>
      </c>
      <c r="C26" s="72">
        <f>COUNTIF([2]DU_LIEU_HS_K10!$J:$J,$A26)+COUNTIF([2]!BangDuLieuHSK11[Mã nhóm THQT],$A26)+COUNTIF([2]!BangDuLieuK12[THQT],$A26)</f>
        <v>47</v>
      </c>
      <c r="D26" s="66" t="str">
        <f>IFERROR(INDEX('[2]Ma nhom'!$D:$D,MATCH($A26,'[2]Ma nhom'!$B:$B,0)),"Chưa phân công")</f>
        <v>Nguyễn Ngọc Bảo Trân</v>
      </c>
      <c r="E26" s="66" t="str" cm="1">
        <f t="array" ref="E26">IFERROR(_xlfn.XLOOKUP(TRIM(D26)&amp;"|"&amp;MID(TRIM(A26),FIND("-",TRIM(A26))+1,FIND("-",TRIM(A26),FIND("-",TRIM(A26))+1)-FIND("-",TRIM(A26))-1),TRIM(MAGV!$B$2:$B$206)&amp;"|"&amp;MAGV!$F$2:$F$206,MAGV!$A$2:$A$206),"Không tìm thấy")</f>
        <v>M6QT</v>
      </c>
    </row>
    <row r="27" spans="1:5">
      <c r="A27" s="67" t="s">
        <v>344</v>
      </c>
      <c r="B27" s="71" t="str" cm="1">
        <f t="array" ref="B27">_xlfn.LET(_xlpm.g,$A27,_xlpm.cl,_xlfn.VSTACK([2]DU_LIEU_HS_K10!$C$3:$C$2000,[2]!BangDuLieuHSK11[LỚP],[2]!BangDuLieuK12[LỚP]),_xlpm.gr,_xlfn.VSTACK([2]DU_LIEU_HS_K10!$J$3:$J$2000,[2]!BangDuLieuHSK11[Mã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12A7 (29) + 12A8 (18)</v>
      </c>
      <c r="C27" s="72">
        <f>COUNTIF([2]DU_LIEU_HS_K10!$J:$J,$A27)+COUNTIF([2]!BangDuLieuHSK11[Mã nhóm THQT],$A27)+COUNTIF([2]!BangDuLieuK12[THQT],$A27)</f>
        <v>47</v>
      </c>
      <c r="D27" s="68" t="str">
        <f>IFERROR(INDEX('[2]Ma nhom'!$D:$D,MATCH($A27,'[2]Ma nhom'!$B:$B,0)),"Chưa phân công")</f>
        <v>Nguyễn Ngọc Bảo Trân</v>
      </c>
      <c r="E27" s="68" t="str" cm="1">
        <f t="array" ref="E27">IFERROR(_xlfn.XLOOKUP(TRIM(D27)&amp;"|"&amp;MID(TRIM(A27),FIND("-",TRIM(A27))+1,FIND("-",TRIM(A27),FIND("-",TRIM(A27))+1)-FIND("-",TRIM(A27))-1),TRIM(MAGV!$B$2:$B$206)&amp;"|"&amp;MAGV!$F$2:$F$206,MAGV!$A$2:$A$206),"Không tìm thấy")</f>
        <v>M6QT</v>
      </c>
    </row>
    <row r="28" spans="1:5">
      <c r="A28" s="63" t="s">
        <v>345</v>
      </c>
      <c r="B28" s="71" t="str" cm="1">
        <f t="array" ref="B28">_xlfn.LET(_xlpm.g,$A28,_xlpm.cl,_xlfn.VSTACK([2]DU_LIEU_HS_K10!$C$3:$C$2000,[2]!BangDuLieuHSK11[LỚP],[2]!BangDuLieuK12[LỚP]),_xlpm.gr,_xlfn.VSTACK([2]DU_LIEU_HS_K10!$J$3:$J$2000,[2]!BangDuLieuHSK11[Mã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12A9 (10) + 12A10 (8) + 12A12 (3) + 12A7 (2)</v>
      </c>
      <c r="C28" s="72">
        <f>COUNTIF([2]DU_LIEU_HS_K10!$J:$J,$A28)+COUNTIF([2]!BangDuLieuHSK11[Mã nhóm THQT],$A28)+COUNTIF([2]!BangDuLieuK12[THQT],$A28)</f>
        <v>23</v>
      </c>
      <c r="D28" s="66" t="str">
        <f>IFERROR(INDEX('[2]Ma nhom'!$D:$D,MATCH($A28,'[2]Ma nhom'!$B:$B,0)),"Chưa phân công")</f>
        <v>Nguyễn Ngọc Bảo Trân</v>
      </c>
      <c r="E28" s="66" t="str" cm="1">
        <f t="array" ref="E28">IFERROR(_xlfn.XLOOKUP(TRIM(D28)&amp;"|"&amp;MID(TRIM(A28),FIND("-",TRIM(A28))+1,FIND("-",TRIM(A28),FIND("-",TRIM(A28))+1)-FIND("-",TRIM(A28))-1),TRIM(MAGV!$B$2:$B$206)&amp;"|"&amp;MAGV!$F$2:$F$206,MAGV!$A$2:$A$206),"Không tìm thấy")</f>
        <v>M6QT</v>
      </c>
    </row>
    <row r="29" spans="1:5">
      <c r="A29" s="67" t="s">
        <v>346</v>
      </c>
      <c r="B29" s="71" t="str" cm="1">
        <f t="array" ref="B29">_xlfn.LET(_xlpm.g,$A29,_xlpm.cl,_xlfn.VSTACK([2]DU_LIEU_HS_K10!$C$3:$C$2000,[2]!BangDuLieuHSK11[LỚP],[2]!BangDuLieuK12[LỚP]),_xlpm.gr,_xlfn.VSTACK([2]DU_LIEU_HS_K10!$J$3:$J$2000,[2]!BangDuLieuHSK11[Mã nhóm THQT],[2]!BangDuLieuK12[THQT]),_xlpm.sel,_xlfn._xlws.FILTER(_xlpm.cl,_xlpm.gr=_xlpm.g,""),_xlpm.u,_xlfn.UNIQUE(_xlpm.sel),_xlpm.n,MMULT(--(_xlpm.u=TRANSPOSE(_xlpm.sel)),_xlfn.SEQUENCE(ROWS(_xlpm.sel),1,1,0)),_xlfn.TEXTJOIN(" + ",TRUE,_xlfn.SORTBY(_xlpm.u,_xlpm.n,-1,_xlpm.u,1)&amp;" ("&amp;_xlfn.SORTBY(_xlpm.n,_xlpm.n,-1,_xlpm.u,1)&amp;")"))</f>
        <v>12A14 (17) + 12A9 (12) + 12A2 (5) + 12A6 (5) + 12A8 (4) + 12A3 (2)</v>
      </c>
      <c r="C29" s="72">
        <f>COUNTIF([2]DU_LIEU_HS_K10!$J:$J,$A29)+COUNTIF([2]!BangDuLieuHSK11[Mã nhóm THQT],$A29)+COUNTIF([2]!BangDuLieuK12[THQT],$A29)</f>
        <v>45</v>
      </c>
      <c r="D29" s="68" t="str">
        <f>IFERROR(INDEX('[2]Ma nhom'!$D:$D,MATCH($A29,'[2]Ma nhom'!$B:$B,0)),"Chưa phân công")</f>
        <v>Nguyễn Ngọc Bảo Trân</v>
      </c>
      <c r="E29" s="68" t="str" cm="1">
        <f t="array" ref="E29">IFERROR(_xlfn.XLOOKUP(TRIM(D29)&amp;"|"&amp;MID(TRIM(A29),FIND("-",TRIM(A29))+1,FIND("-",TRIM(A29),FIND("-",TRIM(A29))+1)-FIND("-",TRIM(A29))-1),TRIM(MAGV!$B$2:$B$206)&amp;"|"&amp;MAGV!$F$2:$F$206,MAGV!$A$2:$A$206),"Không tìm thấy")</f>
        <v>M6QT</v>
      </c>
    </row>
    <row r="32" spans="1:5">
      <c r="A32" s="60" t="s">
        <v>308</v>
      </c>
    </row>
    <row r="33" spans="1:5">
      <c r="A33" s="69" t="s">
        <v>320</v>
      </c>
      <c r="B33" s="69" t="s">
        <v>321</v>
      </c>
      <c r="C33" s="70" t="s">
        <v>347</v>
      </c>
      <c r="E33" t="s">
        <v>956</v>
      </c>
    </row>
    <row r="34" spans="1:5">
      <c r="A34" s="67" t="s">
        <v>348</v>
      </c>
      <c r="B34" s="71" t="s">
        <v>349</v>
      </c>
      <c r="C34" s="72">
        <v>48</v>
      </c>
      <c r="D34" s="68" t="s">
        <v>350</v>
      </c>
      <c r="E34" s="68" t="str" cm="1">
        <f t="array" ref="E34">IFERROR(_xlfn.XLOOKUP(TRIM(D34)&amp;"|"&amp;MID(TRIM(A34),FIND("-",TRIM(A34))+1,FIND("-",TRIM(A34),FIND("-",TRIM(A34))+1)-FIND("-",TRIM(A34))-1),TRIM(MAGV!$B$2:$B$206)&amp;"|"&amp;MAGV!$F$2:$F$206,MAGV!$A$2:$A$206),"Không tìm thấy")</f>
        <v>AV2</v>
      </c>
    </row>
    <row r="35" spans="1:5">
      <c r="A35" s="63" t="s">
        <v>351</v>
      </c>
      <c r="B35" s="71" t="s">
        <v>352</v>
      </c>
      <c r="C35" s="72">
        <v>43</v>
      </c>
      <c r="D35" s="66" t="s">
        <v>350</v>
      </c>
      <c r="E35" s="66" t="str" cm="1">
        <f t="array" ref="E35">IFERROR(_xlfn.XLOOKUP(TRIM(D35)&amp;"|"&amp;MID(TRIM(A35),FIND("-",TRIM(A35))+1,FIND("-",TRIM(A35),FIND("-",TRIM(A35))+1)-FIND("-",TRIM(A35))-1),TRIM(MAGV!$B$2:$B$206)&amp;"|"&amp;MAGV!$F$2:$F$206,MAGV!$A$2:$A$206),"Không tìm thấy")</f>
        <v>AV2</v>
      </c>
    </row>
    <row r="36" spans="1:5">
      <c r="A36" s="67" t="s">
        <v>353</v>
      </c>
      <c r="B36" s="221" t="s">
        <v>1033</v>
      </c>
      <c r="C36" s="72">
        <v>49</v>
      </c>
      <c r="D36" s="68" t="s">
        <v>350</v>
      </c>
      <c r="E36" s="68" t="str" cm="1">
        <f t="array" ref="E36">IFERROR(_xlfn.XLOOKUP(TRIM(D36)&amp;"|"&amp;MID(TRIM(A36),FIND("-",TRIM(A36))+1,FIND("-",TRIM(A36),FIND("-",TRIM(A36))+1)-FIND("-",TRIM(A36))-1),TRIM(MAGV!$B$2:$B$206)&amp;"|"&amp;MAGV!$F$2:$F$206,MAGV!$A$2:$A$206),"Không tìm thấy")</f>
        <v>AV2</v>
      </c>
    </row>
    <row r="37" spans="1:5">
      <c r="A37" s="63" t="s">
        <v>354</v>
      </c>
      <c r="B37" s="71" t="s">
        <v>355</v>
      </c>
      <c r="C37" s="72">
        <v>47</v>
      </c>
      <c r="D37" s="66" t="s">
        <v>350</v>
      </c>
      <c r="E37" s="66" t="str" cm="1">
        <f t="array" ref="E37">IFERROR(_xlfn.XLOOKUP(TRIM(D37)&amp;"|"&amp;MID(TRIM(A37),FIND("-",TRIM(A37))+1,FIND("-",TRIM(A37),FIND("-",TRIM(A37))+1)-FIND("-",TRIM(A37))-1),TRIM(MAGV!$B$2:$B$206)&amp;"|"&amp;MAGV!$F$2:$F$206,MAGV!$A$2:$A$206),"Không tìm thấy")</f>
        <v>AV2</v>
      </c>
    </row>
    <row r="38" spans="1:5">
      <c r="A38" s="67" t="s">
        <v>356</v>
      </c>
      <c r="B38" s="71" t="s">
        <v>357</v>
      </c>
      <c r="C38" s="72">
        <v>47</v>
      </c>
      <c r="D38" s="68" t="s">
        <v>350</v>
      </c>
      <c r="E38" s="68" t="str" cm="1">
        <f t="array" ref="E38">IFERROR(_xlfn.XLOOKUP(TRIM(D38)&amp;"|"&amp;MID(TRIM(A38),FIND("-",TRIM(A38))+1,FIND("-",TRIM(A38),FIND("-",TRIM(A38))+1)-FIND("-",TRIM(A38))-1),TRIM(MAGV!$B$2:$B$206)&amp;"|"&amp;MAGV!$F$2:$F$206,MAGV!$A$2:$A$206),"Không tìm thấy")</f>
        <v>AV2</v>
      </c>
    </row>
    <row r="39" spans="1:5">
      <c r="A39" s="63" t="s">
        <v>358</v>
      </c>
      <c r="B39" s="71" t="s">
        <v>359</v>
      </c>
      <c r="C39" s="72">
        <v>47</v>
      </c>
      <c r="D39" s="66" t="s">
        <v>350</v>
      </c>
      <c r="E39" s="66" t="str" cm="1">
        <f t="array" ref="E39">IFERROR(_xlfn.XLOOKUP(TRIM(D39)&amp;"|"&amp;MID(TRIM(A39),FIND("-",TRIM(A39))+1,FIND("-",TRIM(A39),FIND("-",TRIM(A39))+1)-FIND("-",TRIM(A39))-1),TRIM(MAGV!$B$2:$B$206)&amp;"|"&amp;MAGV!$F$2:$F$206,MAGV!$A$2:$A$206),"Không tìm thấy")</f>
        <v>AV2</v>
      </c>
    </row>
    <row r="40" spans="1:5">
      <c r="A40" s="67" t="s">
        <v>360</v>
      </c>
      <c r="B40" s="71" t="s">
        <v>361</v>
      </c>
      <c r="C40" s="72">
        <v>48</v>
      </c>
      <c r="D40" s="68" t="s">
        <v>350</v>
      </c>
      <c r="E40" s="68" t="str" cm="1">
        <f t="array" ref="E40">IFERROR(_xlfn.XLOOKUP(TRIM(D40)&amp;"|"&amp;MID(TRIM(A40),FIND("-",TRIM(A40))+1,FIND("-",TRIM(A40),FIND("-",TRIM(A40))+1)-FIND("-",TRIM(A40))-1),TRIM(MAGV!$B$2:$B$206)&amp;"|"&amp;MAGV!$F$2:$F$206,MAGV!$A$2:$A$206),"Không tìm thấy")</f>
        <v>AV2</v>
      </c>
    </row>
    <row r="41" spans="1:5">
      <c r="A41" s="63" t="s">
        <v>362</v>
      </c>
      <c r="B41" s="221" t="s">
        <v>1034</v>
      </c>
      <c r="C41" s="72">
        <v>41</v>
      </c>
      <c r="D41" s="66" t="s">
        <v>350</v>
      </c>
      <c r="E41" s="66" t="str" cm="1">
        <f t="array" ref="E41">IFERROR(_xlfn.XLOOKUP(TRIM(D41)&amp;"|"&amp;MID(TRIM(A41),FIND("-",TRIM(A41))+1,FIND("-",TRIM(A41),FIND("-",TRIM(A41))+1)-FIND("-",TRIM(A41))-1),TRIM(MAGV!$B$2:$B$206)&amp;"|"&amp;MAGV!$F$2:$F$206,MAGV!$A$2:$A$206),"Không tìm thấy")</f>
        <v>AV2</v>
      </c>
    </row>
    <row r="42" spans="1:5">
      <c r="A42" s="67" t="s">
        <v>363</v>
      </c>
      <c r="B42" s="71" t="s">
        <v>364</v>
      </c>
      <c r="C42" s="72">
        <v>45</v>
      </c>
      <c r="D42" s="68" t="s">
        <v>365</v>
      </c>
      <c r="E42" s="68" t="str" cm="1">
        <f t="array" ref="E42">IFERROR(_xlfn.XLOOKUP(TRIM(D42)&amp;"|"&amp;MID(TRIM(A42),FIND("-",TRIM(A42))+1,FIND("-",TRIM(A42),FIND("-",TRIM(A42))+1)-FIND("-",TRIM(A42))-1),TRIM(MAGV!$B$2:$B$206)&amp;"|"&amp;MAGV!$F$2:$F$206,MAGV!$A$2:$A$206),"Không tìm thấy")</f>
        <v>AV1</v>
      </c>
    </row>
    <row r="43" spans="1:5">
      <c r="A43" s="63" t="s">
        <v>366</v>
      </c>
      <c r="B43" s="71" t="s">
        <v>367</v>
      </c>
      <c r="C43" s="72">
        <v>44</v>
      </c>
      <c r="D43" s="68" t="s">
        <v>365</v>
      </c>
      <c r="E43" s="68" t="str" cm="1">
        <f t="array" ref="E43">IFERROR(_xlfn.XLOOKUP(TRIM(D43)&amp;"|"&amp;MID(TRIM(A43),FIND("-",TRIM(A43))+1,FIND("-",TRIM(A43),FIND("-",TRIM(A43))+1)-FIND("-",TRIM(A43))-1),TRIM(MAGV!$B$2:$B$206)&amp;"|"&amp;MAGV!$F$2:$F$206,MAGV!$A$2:$A$206),"Không tìm thấy")</f>
        <v>AV1</v>
      </c>
    </row>
    <row r="44" spans="1:5">
      <c r="A44" s="67" t="s">
        <v>368</v>
      </c>
      <c r="B44" s="71" t="s">
        <v>369</v>
      </c>
      <c r="C44" s="72">
        <v>45</v>
      </c>
      <c r="D44" s="68" t="s">
        <v>365</v>
      </c>
      <c r="E44" s="68" t="str" cm="1">
        <f t="array" ref="E44">IFERROR(_xlfn.XLOOKUP(TRIM(D44)&amp;"|"&amp;MID(TRIM(A44),FIND("-",TRIM(A44))+1,FIND("-",TRIM(A44),FIND("-",TRIM(A44))+1)-FIND("-",TRIM(A44))-1),TRIM(MAGV!$B$2:$B$206)&amp;"|"&amp;MAGV!$F$2:$F$206,MAGV!$A$2:$A$206),"Không tìm thấy")</f>
        <v>AV1</v>
      </c>
    </row>
    <row r="45" spans="1:5">
      <c r="A45" s="63" t="s">
        <v>370</v>
      </c>
      <c r="B45" s="71" t="s">
        <v>371</v>
      </c>
      <c r="C45" s="72">
        <v>47</v>
      </c>
      <c r="D45" s="68" t="s">
        <v>365</v>
      </c>
      <c r="E45" s="68" t="str" cm="1">
        <f t="array" ref="E45">IFERROR(_xlfn.XLOOKUP(TRIM(D45)&amp;"|"&amp;MID(TRIM(A45),FIND("-",TRIM(A45))+1,FIND("-",TRIM(A45),FIND("-",TRIM(A45))+1)-FIND("-",TRIM(A45))-1),TRIM(MAGV!$B$2:$B$206)&amp;"|"&amp;MAGV!$F$2:$F$206,MAGV!$A$2:$A$206),"Không tìm thấy")</f>
        <v>AV1</v>
      </c>
    </row>
    <row r="46" spans="1:5">
      <c r="A46" s="69" t="s">
        <v>320</v>
      </c>
      <c r="B46" s="69" t="s">
        <v>321</v>
      </c>
      <c r="C46" s="70" t="s">
        <v>347</v>
      </c>
      <c r="E46" t="s">
        <v>956</v>
      </c>
    </row>
    <row r="47" spans="1:5">
      <c r="A47" t="s">
        <v>372</v>
      </c>
      <c r="B47" s="76" t="s">
        <v>373</v>
      </c>
      <c r="C47" s="77">
        <v>39</v>
      </c>
      <c r="D47" s="73" t="s">
        <v>374</v>
      </c>
      <c r="E47" s="73" t="str" cm="1">
        <f t="array" ref="E47">IFERROR(_xlfn.XLOOKUP(TRIM(D47)&amp;"|"&amp;MID(TRIM(A47),FIND("-",TRIM(A47))+1,FIND("-",TRIM(A47),FIND("-",TRIM(A47))+1)-FIND("-",TRIM(A47))-1),TRIM(MAGV!$B$2:$B$206)&amp;"|"&amp;MAGV!$F$2:$F$206,MAGV!$A$2:$A$206),"Không tìm thấy")</f>
        <v>AV3</v>
      </c>
    </row>
    <row r="48" spans="1:5">
      <c r="A48" t="s">
        <v>375</v>
      </c>
      <c r="B48" s="76" t="s">
        <v>376</v>
      </c>
      <c r="C48" s="77">
        <v>40</v>
      </c>
      <c r="D48" s="73" t="s">
        <v>374</v>
      </c>
      <c r="E48" s="73" t="str" cm="1">
        <f t="array" ref="E48">IFERROR(_xlfn.XLOOKUP(TRIM(D48)&amp;"|"&amp;MID(TRIM(A48),FIND("-",TRIM(A48))+1,FIND("-",TRIM(A48),FIND("-",TRIM(A48))+1)-FIND("-",TRIM(A48))-1),TRIM(MAGV!$B$2:$B$206)&amp;"|"&amp;MAGV!$F$2:$F$206,MAGV!$A$2:$A$206),"Không tìm thấy")</f>
        <v>AV3</v>
      </c>
    </row>
    <row r="49" spans="1:5">
      <c r="A49" t="s">
        <v>377</v>
      </c>
      <c r="B49" s="76" t="s">
        <v>378</v>
      </c>
      <c r="C49" s="77">
        <v>37</v>
      </c>
      <c r="D49" s="73" t="s">
        <v>374</v>
      </c>
      <c r="E49" s="73" t="str" cm="1">
        <f t="array" ref="E49">IFERROR(_xlfn.XLOOKUP(TRIM(D49)&amp;"|"&amp;MID(TRIM(A49),FIND("-",TRIM(A49))+1,FIND("-",TRIM(A49),FIND("-",TRIM(A49))+1)-FIND("-",TRIM(A49))-1),TRIM(MAGV!$B$2:$B$206)&amp;"|"&amp;MAGV!$F$2:$F$206,MAGV!$A$2:$A$206),"Không tìm thấy")</f>
        <v>AV3</v>
      </c>
    </row>
    <row r="50" spans="1:5">
      <c r="A50" t="s">
        <v>379</v>
      </c>
      <c r="B50" s="76" t="s">
        <v>380</v>
      </c>
      <c r="C50" s="77">
        <v>40</v>
      </c>
      <c r="D50" s="73" t="s">
        <v>374</v>
      </c>
      <c r="E50" s="73" t="str" cm="1">
        <f t="array" ref="E50">IFERROR(_xlfn.XLOOKUP(TRIM(D50)&amp;"|"&amp;MID(TRIM(A50),FIND("-",TRIM(A50))+1,FIND("-",TRIM(A50),FIND("-",TRIM(A50))+1)-FIND("-",TRIM(A50))-1),TRIM(MAGV!$B$2:$B$206)&amp;"|"&amp;MAGV!$F$2:$F$206,MAGV!$A$2:$A$206),"Không tìm thấy")</f>
        <v>AV3</v>
      </c>
    </row>
    <row r="51" spans="1:5">
      <c r="A51" t="s">
        <v>381</v>
      </c>
      <c r="B51" s="76" t="s">
        <v>382</v>
      </c>
      <c r="C51" s="77">
        <v>42</v>
      </c>
      <c r="D51" s="73" t="s">
        <v>374</v>
      </c>
      <c r="E51" s="73" t="str" cm="1">
        <f t="array" ref="E51">IFERROR(_xlfn.XLOOKUP(TRIM(D51)&amp;"|"&amp;MID(TRIM(A51),FIND("-",TRIM(A51))+1,FIND("-",TRIM(A51),FIND("-",TRIM(A51))+1)-FIND("-",TRIM(A51))-1),TRIM(MAGV!$B$2:$B$206)&amp;"|"&amp;MAGV!$F$2:$F$206,MAGV!$A$2:$A$206),"Không tìm thấy")</f>
        <v>AV3</v>
      </c>
    </row>
    <row r="54" spans="1:5">
      <c r="A54" s="60" t="s">
        <v>383</v>
      </c>
    </row>
    <row r="55" spans="1:5">
      <c r="A55" s="62" t="s">
        <v>323</v>
      </c>
      <c r="B55" s="61" t="s">
        <v>321</v>
      </c>
      <c r="C55" s="61" t="s">
        <v>322</v>
      </c>
      <c r="D55" s="62" t="s">
        <v>384</v>
      </c>
      <c r="E55" s="62" t="s">
        <v>956</v>
      </c>
    </row>
    <row r="56" spans="1:5">
      <c r="A56" t="s">
        <v>386</v>
      </c>
      <c r="B56" s="71" t="s">
        <v>385</v>
      </c>
      <c r="C56" s="72">
        <v>41</v>
      </c>
      <c r="D56" s="66" t="s">
        <v>387</v>
      </c>
      <c r="E56" s="66" t="str" cm="1">
        <f t="array" ref="E56">IFERROR(_xlfn.XLOOKUP(TRIM(D56)&amp;"|"&amp;MID(TRIM(A56),FIND("-",TRIM(A56))+1,FIND("-",TRIM(A56),FIND("-",TRIM(A56))+1)-FIND("-",TRIM(A56))-1),TRIM(MAGV!$B$2:$B$206)&amp;"|"&amp;MAGV!$F$2:$F$206,MAGV!$A$2:$A$206),"Không tìm thấy")</f>
        <v>ST1</v>
      </c>
    </row>
    <row r="57" spans="1:5">
      <c r="A57" t="s">
        <v>389</v>
      </c>
      <c r="B57" s="71" t="s">
        <v>388</v>
      </c>
      <c r="C57" s="72">
        <v>41</v>
      </c>
      <c r="D57" s="66" t="s">
        <v>387</v>
      </c>
      <c r="E57" s="66" t="str" cm="1">
        <f t="array" ref="E57">IFERROR(_xlfn.XLOOKUP(TRIM(D57)&amp;"|"&amp;MID(TRIM(A57),FIND("-",TRIM(A57))+1,FIND("-",TRIM(A57),FIND("-",TRIM(A57))+1)-FIND("-",TRIM(A57))-1),TRIM(MAGV!$B$2:$B$206)&amp;"|"&amp;MAGV!$F$2:$F$206,MAGV!$A$2:$A$206),"Không tìm thấy")</f>
        <v>ST1</v>
      </c>
    </row>
    <row r="58" spans="1:5">
      <c r="A58" t="s">
        <v>391</v>
      </c>
      <c r="B58" s="71" t="s">
        <v>390</v>
      </c>
      <c r="C58" s="72">
        <v>41</v>
      </c>
      <c r="D58" s="66" t="s">
        <v>392</v>
      </c>
      <c r="E58" s="66" t="str" cm="1">
        <f t="array" ref="E58">IFERROR(_xlfn.XLOOKUP(TRIM(D58)&amp;"|"&amp;MID(TRIM(A58),FIND("-",TRIM(A58))+1,FIND("-",TRIM(A58),FIND("-",TRIM(A58))+1)-FIND("-",TRIM(A58))-1),TRIM(MAGV!$B$2:$B$206)&amp;"|"&amp;MAGV!$F$2:$F$206,MAGV!$A$2:$A$206),"Không tìm thấy")</f>
        <v>ST2</v>
      </c>
    </row>
    <row r="59" spans="1:5">
      <c r="A59" t="s">
        <v>394</v>
      </c>
      <c r="B59" s="71" t="s">
        <v>393</v>
      </c>
      <c r="C59" s="72">
        <v>41</v>
      </c>
      <c r="D59" s="66" t="s">
        <v>392</v>
      </c>
      <c r="E59" s="66" t="str" cm="1">
        <f t="array" ref="E59">IFERROR(_xlfn.XLOOKUP(TRIM(D59)&amp;"|"&amp;MID(TRIM(A59),FIND("-",TRIM(A59))+1,FIND("-",TRIM(A59),FIND("-",TRIM(A59))+1)-FIND("-",TRIM(A59))-1),TRIM(MAGV!$B$2:$B$206)&amp;"|"&amp;MAGV!$F$2:$F$206,MAGV!$A$2:$A$206),"Không tìm thấy")</f>
        <v>ST2</v>
      </c>
    </row>
    <row r="60" spans="1:5">
      <c r="A60" t="s">
        <v>396</v>
      </c>
      <c r="B60" s="71" t="s">
        <v>395</v>
      </c>
      <c r="C60" s="72">
        <v>41</v>
      </c>
      <c r="D60" s="66" t="s">
        <v>392</v>
      </c>
      <c r="E60" s="66" t="str" cm="1">
        <f t="array" ref="E60">IFERROR(_xlfn.XLOOKUP(TRIM(D60)&amp;"|"&amp;MID(TRIM(A60),FIND("-",TRIM(A60))+1,FIND("-",TRIM(A60),FIND("-",TRIM(A60))+1)-FIND("-",TRIM(A60))-1),TRIM(MAGV!$B$2:$B$206)&amp;"|"&amp;MAGV!$F$2:$F$206,MAGV!$A$2:$A$206),"Không tìm thấy")</f>
        <v>ST2</v>
      </c>
    </row>
    <row r="61" spans="1:5">
      <c r="A61" t="s">
        <v>398</v>
      </c>
      <c r="B61" s="71" t="s">
        <v>397</v>
      </c>
      <c r="C61" s="72">
        <v>42</v>
      </c>
      <c r="D61" s="66" t="s">
        <v>392</v>
      </c>
      <c r="E61" s="66" t="str" cm="1">
        <f t="array" ref="E61">IFERROR(_xlfn.XLOOKUP(TRIM(D61)&amp;"|"&amp;MID(TRIM(A61),FIND("-",TRIM(A61))+1,FIND("-",TRIM(A61),FIND("-",TRIM(A61))+1)-FIND("-",TRIM(A61))-1),TRIM(MAGV!$B$2:$B$206)&amp;"|"&amp;MAGV!$F$2:$F$206,MAGV!$A$2:$A$206),"Không tìm thấy")</f>
        <v>ST2</v>
      </c>
    </row>
    <row r="62" spans="1:5">
      <c r="B62" s="61" t="s">
        <v>321</v>
      </c>
      <c r="C62" s="61" t="s">
        <v>322</v>
      </c>
      <c r="E62" t="s">
        <v>956</v>
      </c>
    </row>
    <row r="63" spans="1:5">
      <c r="A63" t="s">
        <v>961</v>
      </c>
      <c r="B63" s="74" t="s">
        <v>399</v>
      </c>
      <c r="C63" s="72">
        <v>48</v>
      </c>
      <c r="D63" s="73" t="s">
        <v>387</v>
      </c>
      <c r="E63" s="73" t="str" cm="1">
        <f t="array" ref="E63">IFERROR(_xlfn.XLOOKUP(TRIM(D63)&amp;"|"&amp;MID(TRIM(A63),FIND("-",TRIM(A63))+1,FIND("-",TRIM(A63),FIND("-",TRIM(A63))+1)-FIND("-",TRIM(A63))-1),TRIM(MAGV!$B$2:$B$206)&amp;"|"&amp;MAGV!$F$2:$F$206,MAGV!$A$2:$A$206),"Không tìm thấy")</f>
        <v>ST1</v>
      </c>
    </row>
    <row r="64" spans="1:5">
      <c r="A64" t="s">
        <v>962</v>
      </c>
      <c r="B64" s="74" t="s">
        <v>400</v>
      </c>
      <c r="C64" s="72">
        <v>46</v>
      </c>
      <c r="D64" s="73" t="s">
        <v>387</v>
      </c>
      <c r="E64" s="73" t="str" cm="1">
        <f t="array" ref="E64">IFERROR(_xlfn.XLOOKUP(TRIM(D64)&amp;"|"&amp;MID(TRIM(A64),FIND("-",TRIM(A64))+1,FIND("-",TRIM(A64),FIND("-",TRIM(A64))+1)-FIND("-",TRIM(A64))-1),TRIM(MAGV!$B$2:$B$206)&amp;"|"&amp;MAGV!$F$2:$F$206,MAGV!$A$2:$A$206),"Không tìm thấy")</f>
        <v>ST1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90F0A-4901-964F-B349-BBB4D2001DE2}">
  <dimension ref="A1:BG69"/>
  <sheetViews>
    <sheetView topLeftCell="A26" workbookViewId="0">
      <selection activeCell="G57" sqref="G57"/>
    </sheetView>
  </sheetViews>
  <sheetFormatPr baseColWidth="10" defaultRowHeight="15"/>
  <sheetData>
    <row r="1" spans="1:59">
      <c r="A1" s="58" t="s">
        <v>316</v>
      </c>
      <c r="B1" s="58"/>
      <c r="C1" s="40" t="s">
        <v>184</v>
      </c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 t="s">
        <v>185</v>
      </c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 t="s">
        <v>186</v>
      </c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39"/>
      <c r="BF1" s="39"/>
      <c r="BG1" s="39"/>
    </row>
    <row r="2" spans="1:59" ht="16" thickBot="1">
      <c r="A2" s="41" t="s">
        <v>187</v>
      </c>
      <c r="B2" s="42" t="s">
        <v>188</v>
      </c>
      <c r="C2" s="43" t="s">
        <v>49</v>
      </c>
      <c r="D2" s="43" t="s">
        <v>110</v>
      </c>
      <c r="E2" s="43" t="s">
        <v>51</v>
      </c>
      <c r="F2" s="43" t="s">
        <v>54</v>
      </c>
      <c r="G2" s="43" t="s">
        <v>57</v>
      </c>
      <c r="H2" s="43" t="s">
        <v>58</v>
      </c>
      <c r="I2" s="43" t="s">
        <v>111</v>
      </c>
      <c r="J2" s="43" t="s">
        <v>59</v>
      </c>
      <c r="K2" s="43" t="s">
        <v>113</v>
      </c>
      <c r="L2" s="43" t="s">
        <v>106</v>
      </c>
      <c r="M2" s="43" t="s">
        <v>107</v>
      </c>
      <c r="N2" s="43" t="s">
        <v>108</v>
      </c>
      <c r="O2" s="43" t="s">
        <v>61</v>
      </c>
      <c r="P2" s="43" t="s">
        <v>109</v>
      </c>
      <c r="Q2" s="43" t="s">
        <v>62</v>
      </c>
      <c r="R2" s="43">
        <v>0</v>
      </c>
      <c r="S2" s="43">
        <v>0</v>
      </c>
      <c r="T2" s="43">
        <v>0</v>
      </c>
      <c r="U2" s="43">
        <v>0</v>
      </c>
      <c r="V2" s="43" t="s">
        <v>40</v>
      </c>
      <c r="W2" s="43" t="s">
        <v>101</v>
      </c>
      <c r="X2" s="43" t="s">
        <v>41</v>
      </c>
      <c r="Y2" s="43" t="s">
        <v>42</v>
      </c>
      <c r="Z2" s="43" t="s">
        <v>44</v>
      </c>
      <c r="AA2" s="43" t="s">
        <v>102</v>
      </c>
      <c r="AB2" s="43" t="s">
        <v>103</v>
      </c>
      <c r="AC2" s="43" t="s">
        <v>104</v>
      </c>
      <c r="AD2" s="43" t="s">
        <v>105</v>
      </c>
      <c r="AE2" s="43" t="s">
        <v>98</v>
      </c>
      <c r="AF2" s="43" t="s">
        <v>45</v>
      </c>
      <c r="AG2" s="43" t="s">
        <v>99</v>
      </c>
      <c r="AH2" s="43" t="s">
        <v>48</v>
      </c>
      <c r="AI2" s="43" t="s">
        <v>100</v>
      </c>
      <c r="AJ2" s="43" t="s">
        <v>202</v>
      </c>
      <c r="AK2" s="43" t="s">
        <v>203</v>
      </c>
      <c r="AL2" s="43" t="s">
        <v>204</v>
      </c>
      <c r="AM2" s="43" t="s">
        <v>3</v>
      </c>
      <c r="AN2" s="43" t="s">
        <v>6</v>
      </c>
      <c r="AO2" s="43" t="s">
        <v>94</v>
      </c>
      <c r="AP2" s="43" t="s">
        <v>9</v>
      </c>
      <c r="AQ2" s="43" t="s">
        <v>12</v>
      </c>
      <c r="AR2" s="43" t="s">
        <v>14</v>
      </c>
      <c r="AS2" s="43" t="s">
        <v>95</v>
      </c>
      <c r="AT2" s="43" t="s">
        <v>96</v>
      </c>
      <c r="AU2" s="43" t="s">
        <v>97</v>
      </c>
      <c r="AV2" s="43" t="s">
        <v>91</v>
      </c>
      <c r="AW2" s="43" t="s">
        <v>92</v>
      </c>
      <c r="AX2" s="43" t="s">
        <v>17</v>
      </c>
      <c r="AY2" s="43" t="s">
        <v>20</v>
      </c>
      <c r="AZ2" s="43" t="s">
        <v>23</v>
      </c>
      <c r="BA2" s="43" t="s">
        <v>26</v>
      </c>
      <c r="BB2" s="43" t="s">
        <v>93</v>
      </c>
      <c r="BC2" s="43" t="s">
        <v>28</v>
      </c>
      <c r="BD2" s="43" t="s">
        <v>30</v>
      </c>
      <c r="BE2" s="43" t="s">
        <v>33</v>
      </c>
      <c r="BF2" s="43" t="s">
        <v>36</v>
      </c>
      <c r="BG2" s="44" t="s">
        <v>37</v>
      </c>
    </row>
    <row r="3" spans="1:59">
      <c r="A3" s="45" t="s">
        <v>189</v>
      </c>
      <c r="B3" s="46">
        <v>1</v>
      </c>
      <c r="C3" s="47" t="s">
        <v>205</v>
      </c>
      <c r="D3" s="47" t="s">
        <v>205</v>
      </c>
      <c r="E3" s="47" t="s">
        <v>205</v>
      </c>
      <c r="F3" s="47" t="s">
        <v>205</v>
      </c>
      <c r="G3" s="47" t="s">
        <v>205</v>
      </c>
      <c r="H3" s="47" t="s">
        <v>205</v>
      </c>
      <c r="I3" s="47" t="s">
        <v>205</v>
      </c>
      <c r="J3" s="47" t="s">
        <v>205</v>
      </c>
      <c r="K3" s="47" t="s">
        <v>205</v>
      </c>
      <c r="L3" s="47" t="s">
        <v>205</v>
      </c>
      <c r="M3" s="47" t="s">
        <v>205</v>
      </c>
      <c r="N3" s="47" t="s">
        <v>205</v>
      </c>
      <c r="O3" s="47" t="s">
        <v>205</v>
      </c>
      <c r="P3" s="47" t="s">
        <v>205</v>
      </c>
      <c r="Q3" s="47" t="s">
        <v>205</v>
      </c>
      <c r="R3" s="47" t="s">
        <v>205</v>
      </c>
      <c r="S3" s="47" t="s">
        <v>205</v>
      </c>
      <c r="T3" s="47" t="s">
        <v>205</v>
      </c>
      <c r="U3" s="47" t="s">
        <v>205</v>
      </c>
      <c r="V3" s="47" t="s">
        <v>205</v>
      </c>
      <c r="W3" s="47" t="s">
        <v>205</v>
      </c>
      <c r="X3" s="47" t="s">
        <v>205</v>
      </c>
      <c r="Y3" s="47" t="s">
        <v>205</v>
      </c>
      <c r="Z3" s="47" t="s">
        <v>205</v>
      </c>
      <c r="AA3" s="47" t="s">
        <v>205</v>
      </c>
      <c r="AB3" s="47" t="s">
        <v>205</v>
      </c>
      <c r="AC3" s="47" t="s">
        <v>205</v>
      </c>
      <c r="AD3" s="47" t="s">
        <v>205</v>
      </c>
      <c r="AE3" s="47" t="s">
        <v>205</v>
      </c>
      <c r="AF3" s="47" t="s">
        <v>205</v>
      </c>
      <c r="AG3" s="47" t="s">
        <v>205</v>
      </c>
      <c r="AH3" s="47" t="s">
        <v>205</v>
      </c>
      <c r="AI3" s="47" t="s">
        <v>205</v>
      </c>
      <c r="AJ3" s="47" t="s">
        <v>205</v>
      </c>
      <c r="AK3" s="47" t="s">
        <v>205</v>
      </c>
      <c r="AL3" s="47" t="s">
        <v>205</v>
      </c>
      <c r="AM3" s="47" t="s">
        <v>205</v>
      </c>
      <c r="AN3" s="47" t="s">
        <v>205</v>
      </c>
      <c r="AO3" s="47" t="s">
        <v>205</v>
      </c>
      <c r="AP3" s="47" t="s">
        <v>205</v>
      </c>
      <c r="AQ3" s="47" t="s">
        <v>205</v>
      </c>
      <c r="AR3" s="47" t="s">
        <v>205</v>
      </c>
      <c r="AS3" s="47" t="s">
        <v>205</v>
      </c>
      <c r="AT3" s="47" t="s">
        <v>205</v>
      </c>
      <c r="AU3" s="47" t="s">
        <v>205</v>
      </c>
      <c r="AV3" s="47" t="s">
        <v>205</v>
      </c>
      <c r="AW3" s="47" t="s">
        <v>205</v>
      </c>
      <c r="AX3" s="47" t="s">
        <v>205</v>
      </c>
      <c r="AY3" s="47" t="s">
        <v>205</v>
      </c>
      <c r="AZ3" s="47" t="s">
        <v>205</v>
      </c>
      <c r="BA3" s="47" t="s">
        <v>205</v>
      </c>
      <c r="BB3" s="48" t="s">
        <v>206</v>
      </c>
      <c r="BC3" s="48" t="s">
        <v>207</v>
      </c>
      <c r="BD3" s="48" t="s">
        <v>208</v>
      </c>
      <c r="BE3" s="48" t="s">
        <v>209</v>
      </c>
      <c r="BF3" s="48" t="s">
        <v>210</v>
      </c>
      <c r="BG3" s="48" t="s">
        <v>211</v>
      </c>
    </row>
    <row r="4" spans="1:59">
      <c r="A4" s="45"/>
      <c r="B4" s="49">
        <v>2</v>
      </c>
      <c r="C4" s="48" t="s">
        <v>213</v>
      </c>
      <c r="D4" s="48" t="s">
        <v>214</v>
      </c>
      <c r="E4" s="48" t="s">
        <v>215</v>
      </c>
      <c r="F4" s="48" t="s">
        <v>216</v>
      </c>
      <c r="G4" s="48" t="s">
        <v>217</v>
      </c>
      <c r="H4" s="48" t="s">
        <v>218</v>
      </c>
      <c r="I4" s="48" t="s">
        <v>219</v>
      </c>
      <c r="J4" s="48" t="s">
        <v>220</v>
      </c>
      <c r="K4" s="48" t="s">
        <v>221</v>
      </c>
      <c r="L4" s="48" t="s">
        <v>209</v>
      </c>
      <c r="M4" s="48" t="s">
        <v>222</v>
      </c>
      <c r="N4" s="48" t="s">
        <v>223</v>
      </c>
      <c r="O4" s="48" t="s">
        <v>210</v>
      </c>
      <c r="P4" s="48" t="s">
        <v>224</v>
      </c>
      <c r="Q4" s="48" t="s">
        <v>225</v>
      </c>
      <c r="R4" s="48" t="s">
        <v>212</v>
      </c>
      <c r="S4" s="48" t="s">
        <v>212</v>
      </c>
      <c r="T4" s="48"/>
      <c r="U4" s="48"/>
      <c r="V4" s="48" t="s">
        <v>226</v>
      </c>
      <c r="W4" s="48" t="s">
        <v>227</v>
      </c>
      <c r="X4" s="48" t="s">
        <v>228</v>
      </c>
      <c r="Y4" s="48" t="s">
        <v>211</v>
      </c>
      <c r="Z4" s="48" t="s">
        <v>229</v>
      </c>
      <c r="AA4" s="48" t="s">
        <v>230</v>
      </c>
      <c r="AB4" s="48" t="s">
        <v>231</v>
      </c>
      <c r="AC4" s="48" t="s">
        <v>232</v>
      </c>
      <c r="AD4" s="48" t="s">
        <v>233</v>
      </c>
      <c r="AE4" s="48" t="s">
        <v>234</v>
      </c>
      <c r="AF4" s="48" t="s">
        <v>206</v>
      </c>
      <c r="AG4" s="48" t="s">
        <v>235</v>
      </c>
      <c r="AH4" s="48" t="s">
        <v>236</v>
      </c>
      <c r="AI4" s="48" t="s">
        <v>208</v>
      </c>
      <c r="AJ4" s="48" t="s">
        <v>212</v>
      </c>
      <c r="AK4" s="48" t="s">
        <v>212</v>
      </c>
      <c r="AL4" s="48" t="s">
        <v>212</v>
      </c>
      <c r="AM4" s="48" t="s">
        <v>237</v>
      </c>
      <c r="AN4" s="48" t="s">
        <v>238</v>
      </c>
      <c r="AO4" s="48" t="s">
        <v>239</v>
      </c>
      <c r="AP4" s="48" t="s">
        <v>240</v>
      </c>
      <c r="AQ4" s="48" t="s">
        <v>241</v>
      </c>
      <c r="AR4" s="48" t="s">
        <v>242</v>
      </c>
      <c r="AS4" s="48" t="s">
        <v>243</v>
      </c>
      <c r="AT4" s="48" t="s">
        <v>244</v>
      </c>
      <c r="AU4" s="48" t="s">
        <v>245</v>
      </c>
      <c r="AV4" s="48" t="s">
        <v>246</v>
      </c>
      <c r="AW4" s="48" t="s">
        <v>247</v>
      </c>
      <c r="AX4" s="48" t="s">
        <v>248</v>
      </c>
      <c r="AY4" s="48" t="s">
        <v>249</v>
      </c>
      <c r="AZ4" s="48" t="s">
        <v>250</v>
      </c>
      <c r="BA4" s="48" t="s">
        <v>251</v>
      </c>
      <c r="BB4" s="48" t="s">
        <v>257</v>
      </c>
      <c r="BC4" s="48" t="s">
        <v>260</v>
      </c>
      <c r="BD4" s="48" t="s">
        <v>287</v>
      </c>
      <c r="BE4" s="48" t="s">
        <v>261</v>
      </c>
      <c r="BF4" s="48" t="s">
        <v>264</v>
      </c>
      <c r="BG4" s="48" t="s">
        <v>259</v>
      </c>
    </row>
    <row r="5" spans="1:59">
      <c r="A5" s="45"/>
      <c r="B5" s="49">
        <v>3</v>
      </c>
      <c r="C5" s="48" t="s">
        <v>232</v>
      </c>
      <c r="D5" s="48" t="s">
        <v>220</v>
      </c>
      <c r="E5" s="48" t="s">
        <v>213</v>
      </c>
      <c r="F5" s="48" t="s">
        <v>252</v>
      </c>
      <c r="G5" s="48" t="s">
        <v>217</v>
      </c>
      <c r="H5" s="48" t="s">
        <v>253</v>
      </c>
      <c r="I5" s="48" t="s">
        <v>225</v>
      </c>
      <c r="J5" s="48" t="s">
        <v>245</v>
      </c>
      <c r="K5" s="48" t="s">
        <v>221</v>
      </c>
      <c r="L5" s="48" t="s">
        <v>254</v>
      </c>
      <c r="M5" s="48" t="s">
        <v>255</v>
      </c>
      <c r="N5" s="48" t="s">
        <v>223</v>
      </c>
      <c r="O5" s="48" t="s">
        <v>222</v>
      </c>
      <c r="P5" s="48" t="s">
        <v>224</v>
      </c>
      <c r="Q5" s="48" t="s">
        <v>209</v>
      </c>
      <c r="R5" s="48" t="s">
        <v>212</v>
      </c>
      <c r="S5" s="48" t="s">
        <v>212</v>
      </c>
      <c r="T5" s="48"/>
      <c r="U5" s="48"/>
      <c r="V5" s="48" t="s">
        <v>242</v>
      </c>
      <c r="W5" s="48" t="s">
        <v>229</v>
      </c>
      <c r="X5" s="48" t="s">
        <v>233</v>
      </c>
      <c r="Y5" s="48" t="s">
        <v>228</v>
      </c>
      <c r="Z5" s="48" t="s">
        <v>256</v>
      </c>
      <c r="AA5" s="48" t="s">
        <v>238</v>
      </c>
      <c r="AB5" s="48" t="s">
        <v>235</v>
      </c>
      <c r="AC5" s="48" t="s">
        <v>226</v>
      </c>
      <c r="AD5" s="48" t="s">
        <v>214</v>
      </c>
      <c r="AE5" s="48" t="s">
        <v>257</v>
      </c>
      <c r="AF5" s="48" t="s">
        <v>247</v>
      </c>
      <c r="AG5" s="48" t="s">
        <v>248</v>
      </c>
      <c r="AH5" s="48" t="s">
        <v>219</v>
      </c>
      <c r="AI5" s="48" t="s">
        <v>258</v>
      </c>
      <c r="AJ5" s="48" t="s">
        <v>212</v>
      </c>
      <c r="AK5" s="48" t="s">
        <v>212</v>
      </c>
      <c r="AL5" s="48" t="s">
        <v>212</v>
      </c>
      <c r="AM5" s="48" t="s">
        <v>243</v>
      </c>
      <c r="AN5" s="48" t="s">
        <v>251</v>
      </c>
      <c r="AO5" s="48" t="s">
        <v>218</v>
      </c>
      <c r="AP5" s="48" t="s">
        <v>250</v>
      </c>
      <c r="AQ5" s="48" t="s">
        <v>241</v>
      </c>
      <c r="AR5" s="48" t="s">
        <v>211</v>
      </c>
      <c r="AS5" s="48" t="s">
        <v>206</v>
      </c>
      <c r="AT5" s="48" t="s">
        <v>227</v>
      </c>
      <c r="AU5" s="48" t="s">
        <v>208</v>
      </c>
      <c r="AV5" s="48" t="s">
        <v>210</v>
      </c>
      <c r="AW5" s="48" t="s">
        <v>244</v>
      </c>
      <c r="AX5" s="48" t="s">
        <v>216</v>
      </c>
      <c r="AY5" s="48" t="s">
        <v>249</v>
      </c>
      <c r="AZ5" s="48" t="s">
        <v>237</v>
      </c>
      <c r="BA5" s="48" t="s">
        <v>246</v>
      </c>
      <c r="BB5" s="48" t="s">
        <v>263</v>
      </c>
      <c r="BC5" s="48" t="s">
        <v>260</v>
      </c>
      <c r="BD5" s="48" t="s">
        <v>239</v>
      </c>
      <c r="BE5" s="48" t="s">
        <v>234</v>
      </c>
      <c r="BF5" s="48" t="s">
        <v>261</v>
      </c>
      <c r="BG5" s="48" t="s">
        <v>262</v>
      </c>
    </row>
    <row r="6" spans="1:59">
      <c r="A6" s="45"/>
      <c r="B6" s="49">
        <v>4</v>
      </c>
      <c r="C6" s="48" t="s">
        <v>219</v>
      </c>
      <c r="D6" s="48" t="s">
        <v>259</v>
      </c>
      <c r="E6" s="48" t="s">
        <v>223</v>
      </c>
      <c r="F6" s="48" t="s">
        <v>225</v>
      </c>
      <c r="G6" s="48" t="s">
        <v>230</v>
      </c>
      <c r="H6" s="48" t="s">
        <v>253</v>
      </c>
      <c r="I6" s="48" t="s">
        <v>251</v>
      </c>
      <c r="J6" s="48" t="s">
        <v>245</v>
      </c>
      <c r="K6" s="48" t="s">
        <v>224</v>
      </c>
      <c r="L6" s="48" t="s">
        <v>254</v>
      </c>
      <c r="M6" s="48" t="s">
        <v>249</v>
      </c>
      <c r="N6" s="48" t="s">
        <v>228</v>
      </c>
      <c r="O6" s="48" t="s">
        <v>218</v>
      </c>
      <c r="P6" s="48" t="s">
        <v>236</v>
      </c>
      <c r="Q6" s="48" t="s">
        <v>209</v>
      </c>
      <c r="R6" s="48" t="s">
        <v>212</v>
      </c>
      <c r="S6" s="48" t="s">
        <v>212</v>
      </c>
      <c r="T6" s="48"/>
      <c r="U6" s="48"/>
      <c r="V6" s="48" t="s">
        <v>243</v>
      </c>
      <c r="W6" s="48" t="s">
        <v>229</v>
      </c>
      <c r="X6" s="48" t="s">
        <v>213</v>
      </c>
      <c r="Y6" s="48" t="s">
        <v>247</v>
      </c>
      <c r="Z6" s="48" t="s">
        <v>240</v>
      </c>
      <c r="AA6" s="48" t="s">
        <v>232</v>
      </c>
      <c r="AB6" s="48" t="s">
        <v>222</v>
      </c>
      <c r="AC6" s="48" t="s">
        <v>244</v>
      </c>
      <c r="AD6" s="48" t="s">
        <v>214</v>
      </c>
      <c r="AE6" s="48" t="s">
        <v>257</v>
      </c>
      <c r="AF6" s="48" t="s">
        <v>241</v>
      </c>
      <c r="AG6" s="48" t="s">
        <v>227</v>
      </c>
      <c r="AH6" s="48" t="s">
        <v>234</v>
      </c>
      <c r="AI6" s="48" t="s">
        <v>258</v>
      </c>
      <c r="AJ6" s="48" t="s">
        <v>212</v>
      </c>
      <c r="AK6" s="48" t="s">
        <v>212</v>
      </c>
      <c r="AL6" s="48" t="s">
        <v>212</v>
      </c>
      <c r="AM6" s="48" t="s">
        <v>260</v>
      </c>
      <c r="AN6" s="48" t="s">
        <v>231</v>
      </c>
      <c r="AO6" s="48" t="s">
        <v>221</v>
      </c>
      <c r="AP6" s="48" t="s">
        <v>217</v>
      </c>
      <c r="AQ6" s="48" t="s">
        <v>261</v>
      </c>
      <c r="AR6" s="48" t="s">
        <v>226</v>
      </c>
      <c r="AS6" s="48" t="s">
        <v>206</v>
      </c>
      <c r="AT6" s="48" t="s">
        <v>238</v>
      </c>
      <c r="AU6" s="48" t="s">
        <v>208</v>
      </c>
      <c r="AV6" s="48" t="s">
        <v>237</v>
      </c>
      <c r="AW6" s="48" t="s">
        <v>262</v>
      </c>
      <c r="AX6" s="48" t="s">
        <v>263</v>
      </c>
      <c r="AY6" s="48" t="s">
        <v>264</v>
      </c>
      <c r="AZ6" s="48" t="s">
        <v>220</v>
      </c>
      <c r="BA6" s="48" t="s">
        <v>246</v>
      </c>
      <c r="BB6" s="48" t="s">
        <v>233</v>
      </c>
      <c r="BC6" s="48" t="s">
        <v>255</v>
      </c>
      <c r="BD6" s="48" t="s">
        <v>239</v>
      </c>
      <c r="BE6" s="48" t="s">
        <v>287</v>
      </c>
      <c r="BF6" s="48" t="s">
        <v>210</v>
      </c>
      <c r="BG6" s="48" t="s">
        <v>211</v>
      </c>
    </row>
    <row r="7" spans="1:59" ht="16" thickBot="1">
      <c r="A7" s="50"/>
      <c r="B7" s="51">
        <v>5</v>
      </c>
      <c r="C7" s="52" t="s">
        <v>212</v>
      </c>
      <c r="D7" s="52" t="s">
        <v>212</v>
      </c>
      <c r="E7" s="52" t="s">
        <v>212</v>
      </c>
      <c r="F7" s="52" t="s">
        <v>212</v>
      </c>
      <c r="G7" s="52" t="s">
        <v>212</v>
      </c>
      <c r="H7" s="52" t="s">
        <v>212</v>
      </c>
      <c r="I7" s="52" t="s">
        <v>212</v>
      </c>
      <c r="J7" s="52" t="s">
        <v>212</v>
      </c>
      <c r="K7" s="52" t="s">
        <v>212</v>
      </c>
      <c r="L7" s="52" t="s">
        <v>212</v>
      </c>
      <c r="M7" s="52" t="s">
        <v>212</v>
      </c>
      <c r="N7" s="52" t="s">
        <v>212</v>
      </c>
      <c r="O7" s="52" t="s">
        <v>212</v>
      </c>
      <c r="P7" s="52" t="s">
        <v>212</v>
      </c>
      <c r="Q7" s="52" t="s">
        <v>212</v>
      </c>
      <c r="R7" s="52" t="s">
        <v>212</v>
      </c>
      <c r="S7" s="52" t="s">
        <v>212</v>
      </c>
      <c r="T7" s="52"/>
      <c r="U7" s="52"/>
      <c r="V7" s="52" t="s">
        <v>212</v>
      </c>
      <c r="W7" s="52" t="s">
        <v>212</v>
      </c>
      <c r="X7" s="52" t="s">
        <v>212</v>
      </c>
      <c r="Y7" s="52" t="s">
        <v>212</v>
      </c>
      <c r="Z7" s="52" t="s">
        <v>212</v>
      </c>
      <c r="AA7" s="52" t="s">
        <v>212</v>
      </c>
      <c r="AB7" s="52" t="s">
        <v>212</v>
      </c>
      <c r="AC7" s="52" t="s">
        <v>212</v>
      </c>
      <c r="AD7" s="52" t="s">
        <v>212</v>
      </c>
      <c r="AE7" s="52" t="s">
        <v>212</v>
      </c>
      <c r="AF7" s="52" t="s">
        <v>212</v>
      </c>
      <c r="AG7" s="52" t="s">
        <v>212</v>
      </c>
      <c r="AH7" s="52" t="s">
        <v>212</v>
      </c>
      <c r="AI7" s="52" t="s">
        <v>212</v>
      </c>
      <c r="AJ7" s="52" t="s">
        <v>212</v>
      </c>
      <c r="AK7" s="52" t="s">
        <v>212</v>
      </c>
      <c r="AL7" s="52" t="s">
        <v>212</v>
      </c>
      <c r="AM7" s="52" t="s">
        <v>212</v>
      </c>
      <c r="AN7" s="52" t="s">
        <v>212</v>
      </c>
      <c r="AO7" s="52" t="s">
        <v>212</v>
      </c>
      <c r="AP7" s="52" t="s">
        <v>212</v>
      </c>
      <c r="AQ7" s="52" t="s">
        <v>212</v>
      </c>
      <c r="AR7" s="52" t="s">
        <v>212</v>
      </c>
      <c r="AS7" s="52" t="s">
        <v>212</v>
      </c>
      <c r="AT7" s="52" t="s">
        <v>212</v>
      </c>
      <c r="AU7" s="52" t="s">
        <v>212</v>
      </c>
      <c r="AV7" s="52" t="s">
        <v>212</v>
      </c>
      <c r="AW7" s="52" t="s">
        <v>212</v>
      </c>
      <c r="AX7" s="52" t="s">
        <v>212</v>
      </c>
      <c r="AY7" s="52" t="s">
        <v>212</v>
      </c>
      <c r="AZ7" s="52" t="s">
        <v>212</v>
      </c>
      <c r="BA7" s="52" t="s">
        <v>212</v>
      </c>
      <c r="BB7" s="52" t="s">
        <v>212</v>
      </c>
      <c r="BC7" s="52" t="s">
        <v>212</v>
      </c>
      <c r="BD7" s="52" t="s">
        <v>212</v>
      </c>
      <c r="BE7" s="52" t="s">
        <v>212</v>
      </c>
      <c r="BF7" s="52" t="s">
        <v>212</v>
      </c>
      <c r="BG7" s="52" t="s">
        <v>212</v>
      </c>
    </row>
    <row r="8" spans="1:59">
      <c r="A8" s="53" t="s">
        <v>191</v>
      </c>
      <c r="B8" s="54">
        <v>1</v>
      </c>
      <c r="C8" s="55" t="s">
        <v>213</v>
      </c>
      <c r="D8" s="55" t="s">
        <v>228</v>
      </c>
      <c r="E8" s="55" t="s">
        <v>252</v>
      </c>
      <c r="F8" s="55" t="s">
        <v>265</v>
      </c>
      <c r="G8" s="55" t="s">
        <v>245</v>
      </c>
      <c r="H8" s="55" t="s">
        <v>266</v>
      </c>
      <c r="I8" s="55" t="s">
        <v>267</v>
      </c>
      <c r="J8" s="55" t="s">
        <v>268</v>
      </c>
      <c r="K8" s="55" t="s">
        <v>230</v>
      </c>
      <c r="L8" s="55" t="s">
        <v>269</v>
      </c>
      <c r="M8" s="55" t="s">
        <v>270</v>
      </c>
      <c r="N8" s="55" t="s">
        <v>271</v>
      </c>
      <c r="O8" s="55" t="s">
        <v>272</v>
      </c>
      <c r="P8" s="55" t="s">
        <v>224</v>
      </c>
      <c r="Q8" s="55" t="s">
        <v>215</v>
      </c>
      <c r="R8" s="55" t="s">
        <v>212</v>
      </c>
      <c r="S8" s="55" t="s">
        <v>212</v>
      </c>
      <c r="T8" s="55"/>
      <c r="U8" s="55"/>
      <c r="V8" s="55" t="s">
        <v>273</v>
      </c>
      <c r="W8" s="55" t="s">
        <v>274</v>
      </c>
      <c r="X8" s="55" t="s">
        <v>238</v>
      </c>
      <c r="Y8" s="55" t="s">
        <v>260</v>
      </c>
      <c r="Z8" s="55" t="s">
        <v>219</v>
      </c>
      <c r="AA8" s="55" t="s">
        <v>275</v>
      </c>
      <c r="AB8" s="55" t="s">
        <v>247</v>
      </c>
      <c r="AC8" s="55" t="s">
        <v>232</v>
      </c>
      <c r="AD8" s="55" t="s">
        <v>239</v>
      </c>
      <c r="AE8" s="55" t="s">
        <v>264</v>
      </c>
      <c r="AF8" s="55" t="s">
        <v>241</v>
      </c>
      <c r="AG8" s="55" t="s">
        <v>276</v>
      </c>
      <c r="AH8" s="55" t="s">
        <v>277</v>
      </c>
      <c r="AI8" s="55" t="s">
        <v>235</v>
      </c>
      <c r="AJ8" s="55" t="s">
        <v>212</v>
      </c>
      <c r="AK8" s="55" t="s">
        <v>212</v>
      </c>
      <c r="AL8" s="55" t="s">
        <v>212</v>
      </c>
      <c r="AM8" s="55" t="s">
        <v>218</v>
      </c>
      <c r="AN8" s="55" t="s">
        <v>231</v>
      </c>
      <c r="AO8" s="55" t="s">
        <v>278</v>
      </c>
      <c r="AP8" s="55" t="s">
        <v>217</v>
      </c>
      <c r="AQ8" s="55" t="s">
        <v>254</v>
      </c>
      <c r="AR8" s="55" t="s">
        <v>255</v>
      </c>
      <c r="AS8" s="55" t="s">
        <v>263</v>
      </c>
      <c r="AT8" s="55" t="s">
        <v>244</v>
      </c>
      <c r="AU8" s="55" t="s">
        <v>227</v>
      </c>
      <c r="AV8" s="55" t="s">
        <v>229</v>
      </c>
      <c r="AW8" s="55" t="s">
        <v>240</v>
      </c>
      <c r="AX8" s="55" t="s">
        <v>262</v>
      </c>
      <c r="AY8" s="55" t="s">
        <v>279</v>
      </c>
      <c r="AZ8" s="55" t="s">
        <v>216</v>
      </c>
      <c r="BA8" s="55" t="s">
        <v>242</v>
      </c>
      <c r="BB8" s="55" t="s">
        <v>283</v>
      </c>
      <c r="BC8" s="55" t="s">
        <v>258</v>
      </c>
      <c r="BD8" s="55" t="s">
        <v>282</v>
      </c>
      <c r="BE8" s="55" t="s">
        <v>259</v>
      </c>
      <c r="BF8" s="55" t="s">
        <v>261</v>
      </c>
      <c r="BG8" s="55" t="s">
        <v>299</v>
      </c>
    </row>
    <row r="9" spans="1:59">
      <c r="A9" s="45" t="s">
        <v>192</v>
      </c>
      <c r="B9" s="56">
        <v>2</v>
      </c>
      <c r="C9" s="48" t="s">
        <v>213</v>
      </c>
      <c r="D9" s="48" t="s">
        <v>280</v>
      </c>
      <c r="E9" s="48" t="s">
        <v>255</v>
      </c>
      <c r="F9" s="48" t="s">
        <v>252</v>
      </c>
      <c r="G9" s="48" t="s">
        <v>267</v>
      </c>
      <c r="H9" s="48" t="s">
        <v>266</v>
      </c>
      <c r="I9" s="48" t="s">
        <v>219</v>
      </c>
      <c r="J9" s="48" t="s">
        <v>272</v>
      </c>
      <c r="K9" s="48" t="s">
        <v>274</v>
      </c>
      <c r="L9" s="48" t="s">
        <v>271</v>
      </c>
      <c r="M9" s="48" t="s">
        <v>281</v>
      </c>
      <c r="N9" s="48" t="s">
        <v>259</v>
      </c>
      <c r="O9" s="48" t="s">
        <v>269</v>
      </c>
      <c r="P9" s="48" t="s">
        <v>224</v>
      </c>
      <c r="Q9" s="48" t="s">
        <v>215</v>
      </c>
      <c r="R9" s="48" t="s">
        <v>212</v>
      </c>
      <c r="S9" s="48" t="s">
        <v>212</v>
      </c>
      <c r="T9" s="48"/>
      <c r="U9" s="48"/>
      <c r="V9" s="48" t="s">
        <v>242</v>
      </c>
      <c r="W9" s="48" t="s">
        <v>273</v>
      </c>
      <c r="X9" s="48" t="s">
        <v>268</v>
      </c>
      <c r="Y9" s="48" t="s">
        <v>260</v>
      </c>
      <c r="Z9" s="48" t="s">
        <v>282</v>
      </c>
      <c r="AA9" s="48" t="s">
        <v>275</v>
      </c>
      <c r="AB9" s="48" t="s">
        <v>264</v>
      </c>
      <c r="AC9" s="48" t="s">
        <v>232</v>
      </c>
      <c r="AD9" s="48" t="s">
        <v>233</v>
      </c>
      <c r="AE9" s="48" t="s">
        <v>244</v>
      </c>
      <c r="AF9" s="48" t="s">
        <v>241</v>
      </c>
      <c r="AG9" s="48" t="s">
        <v>276</v>
      </c>
      <c r="AH9" s="48" t="s">
        <v>277</v>
      </c>
      <c r="AI9" s="48" t="s">
        <v>235</v>
      </c>
      <c r="AJ9" s="48" t="s">
        <v>212</v>
      </c>
      <c r="AK9" s="48" t="s">
        <v>212</v>
      </c>
      <c r="AL9" s="48" t="s">
        <v>212</v>
      </c>
      <c r="AM9" s="48" t="s">
        <v>218</v>
      </c>
      <c r="AN9" s="48" t="s">
        <v>238</v>
      </c>
      <c r="AO9" s="48" t="s">
        <v>278</v>
      </c>
      <c r="AP9" s="48" t="s">
        <v>240</v>
      </c>
      <c r="AQ9" s="48" t="s">
        <v>254</v>
      </c>
      <c r="AR9" s="48" t="s">
        <v>226</v>
      </c>
      <c r="AS9" s="48" t="s">
        <v>263</v>
      </c>
      <c r="AT9" s="48" t="s">
        <v>229</v>
      </c>
      <c r="AU9" s="48" t="s">
        <v>217</v>
      </c>
      <c r="AV9" s="48" t="s">
        <v>245</v>
      </c>
      <c r="AW9" s="48" t="s">
        <v>247</v>
      </c>
      <c r="AX9" s="48" t="s">
        <v>248</v>
      </c>
      <c r="AY9" s="48" t="s">
        <v>279</v>
      </c>
      <c r="AZ9" s="48" t="s">
        <v>216</v>
      </c>
      <c r="BA9" s="48" t="s">
        <v>270</v>
      </c>
      <c r="BB9" s="48" t="s">
        <v>283</v>
      </c>
      <c r="BC9" s="48" t="s">
        <v>258</v>
      </c>
      <c r="BD9" s="48" t="s">
        <v>265</v>
      </c>
      <c r="BE9" s="48" t="s">
        <v>287</v>
      </c>
      <c r="BF9" s="48" t="s">
        <v>262</v>
      </c>
      <c r="BG9" s="48" t="s">
        <v>299</v>
      </c>
    </row>
    <row r="10" spans="1:59">
      <c r="A10" s="45" t="s">
        <v>191</v>
      </c>
      <c r="B10" s="56">
        <v>3</v>
      </c>
      <c r="C10" s="48" t="s">
        <v>278</v>
      </c>
      <c r="D10" s="48" t="s">
        <v>283</v>
      </c>
      <c r="E10" s="48" t="s">
        <v>213</v>
      </c>
      <c r="F10" s="48" t="s">
        <v>252</v>
      </c>
      <c r="G10" s="48" t="s">
        <v>230</v>
      </c>
      <c r="H10" s="48" t="s">
        <v>216</v>
      </c>
      <c r="I10" s="48" t="s">
        <v>219</v>
      </c>
      <c r="J10" s="48" t="s">
        <v>263</v>
      </c>
      <c r="K10" s="48" t="s">
        <v>235</v>
      </c>
      <c r="L10" s="48" t="s">
        <v>271</v>
      </c>
      <c r="M10" s="48" t="s">
        <v>255</v>
      </c>
      <c r="N10" s="48" t="s">
        <v>228</v>
      </c>
      <c r="O10" s="48" t="s">
        <v>267</v>
      </c>
      <c r="P10" s="48" t="s">
        <v>232</v>
      </c>
      <c r="Q10" s="48" t="s">
        <v>277</v>
      </c>
      <c r="R10" s="48" t="s">
        <v>212</v>
      </c>
      <c r="S10" s="48" t="s">
        <v>212</v>
      </c>
      <c r="T10" s="48"/>
      <c r="U10" s="48"/>
      <c r="V10" s="48" t="s">
        <v>242</v>
      </c>
      <c r="W10" s="48" t="s">
        <v>284</v>
      </c>
      <c r="X10" s="48" t="s">
        <v>268</v>
      </c>
      <c r="Y10" s="48" t="s">
        <v>266</v>
      </c>
      <c r="Z10" s="48" t="s">
        <v>269</v>
      </c>
      <c r="AA10" s="48" t="s">
        <v>238</v>
      </c>
      <c r="AB10" s="48" t="s">
        <v>231</v>
      </c>
      <c r="AC10" s="48" t="s">
        <v>244</v>
      </c>
      <c r="AD10" s="48" t="s">
        <v>274</v>
      </c>
      <c r="AE10" s="48" t="s">
        <v>247</v>
      </c>
      <c r="AF10" s="48" t="s">
        <v>273</v>
      </c>
      <c r="AG10" s="48" t="s">
        <v>239</v>
      </c>
      <c r="AH10" s="48" t="s">
        <v>227</v>
      </c>
      <c r="AI10" s="48" t="s">
        <v>276</v>
      </c>
      <c r="AJ10" s="48" t="s">
        <v>212</v>
      </c>
      <c r="AK10" s="48" t="s">
        <v>212</v>
      </c>
      <c r="AL10" s="48" t="s">
        <v>212</v>
      </c>
      <c r="AM10" s="48" t="s">
        <v>260</v>
      </c>
      <c r="AN10" s="48" t="s">
        <v>215</v>
      </c>
      <c r="AO10" s="48" t="s">
        <v>210</v>
      </c>
      <c r="AP10" s="48" t="s">
        <v>240</v>
      </c>
      <c r="AQ10" s="48" t="s">
        <v>241</v>
      </c>
      <c r="AR10" s="48" t="s">
        <v>226</v>
      </c>
      <c r="AS10" s="48" t="s">
        <v>275</v>
      </c>
      <c r="AT10" s="48" t="s">
        <v>229</v>
      </c>
      <c r="AU10" s="48" t="s">
        <v>245</v>
      </c>
      <c r="AV10" s="48" t="s">
        <v>258</v>
      </c>
      <c r="AW10" s="48" t="s">
        <v>541</v>
      </c>
      <c r="AX10" s="48" t="s">
        <v>248</v>
      </c>
      <c r="AY10" s="48" t="s">
        <v>233</v>
      </c>
      <c r="AZ10" s="48" t="s">
        <v>218</v>
      </c>
      <c r="BA10" s="48" t="s">
        <v>251</v>
      </c>
      <c r="BB10" s="48" t="s">
        <v>257</v>
      </c>
      <c r="BC10" s="48" t="s">
        <v>270</v>
      </c>
      <c r="BD10" s="48" t="s">
        <v>287</v>
      </c>
      <c r="BE10" s="48" t="s">
        <v>262</v>
      </c>
      <c r="BF10" s="48" t="s">
        <v>281</v>
      </c>
      <c r="BG10" s="48" t="s">
        <v>259</v>
      </c>
    </row>
    <row r="11" spans="1:59">
      <c r="A11" s="45"/>
      <c r="B11" s="56">
        <v>4</v>
      </c>
      <c r="C11" s="48" t="s">
        <v>219</v>
      </c>
      <c r="D11" s="48" t="s">
        <v>259</v>
      </c>
      <c r="E11" s="48" t="s">
        <v>213</v>
      </c>
      <c r="F11" s="48" t="s">
        <v>251</v>
      </c>
      <c r="G11" s="48" t="s">
        <v>278</v>
      </c>
      <c r="H11" s="48" t="s">
        <v>216</v>
      </c>
      <c r="I11" s="48" t="s">
        <v>266</v>
      </c>
      <c r="J11" s="48" t="s">
        <v>217</v>
      </c>
      <c r="K11" s="48" t="s">
        <v>224</v>
      </c>
      <c r="L11" s="48" t="s">
        <v>235</v>
      </c>
      <c r="M11" s="48" t="s">
        <v>283</v>
      </c>
      <c r="N11" s="48" t="s">
        <v>228</v>
      </c>
      <c r="O11" s="48" t="s">
        <v>210</v>
      </c>
      <c r="P11" s="48" t="s">
        <v>232</v>
      </c>
      <c r="Q11" s="48" t="s">
        <v>277</v>
      </c>
      <c r="R11" s="48" t="s">
        <v>212</v>
      </c>
      <c r="S11" s="48" t="s">
        <v>212</v>
      </c>
      <c r="T11" s="48"/>
      <c r="U11" s="48"/>
      <c r="V11" s="48" t="s">
        <v>261</v>
      </c>
      <c r="W11" s="48" t="s">
        <v>267</v>
      </c>
      <c r="X11" s="48" t="s">
        <v>233</v>
      </c>
      <c r="Y11" s="48" t="s">
        <v>268</v>
      </c>
      <c r="Z11" s="48" t="s">
        <v>229</v>
      </c>
      <c r="AA11" s="48" t="s">
        <v>230</v>
      </c>
      <c r="AB11" s="48" t="s">
        <v>231</v>
      </c>
      <c r="AC11" s="48" t="s">
        <v>244</v>
      </c>
      <c r="AD11" s="48" t="s">
        <v>274</v>
      </c>
      <c r="AE11" s="48" t="s">
        <v>257</v>
      </c>
      <c r="AF11" s="48" t="s">
        <v>273</v>
      </c>
      <c r="AG11" s="48" t="s">
        <v>239</v>
      </c>
      <c r="AH11" s="48" t="s">
        <v>247</v>
      </c>
      <c r="AI11" s="48" t="s">
        <v>269</v>
      </c>
      <c r="AJ11" s="48" t="s">
        <v>212</v>
      </c>
      <c r="AK11" s="48" t="s">
        <v>212</v>
      </c>
      <c r="AL11" s="48" t="s">
        <v>212</v>
      </c>
      <c r="AM11" s="48" t="s">
        <v>271</v>
      </c>
      <c r="AN11" s="48" t="s">
        <v>215</v>
      </c>
      <c r="AO11" s="48" t="s">
        <v>226</v>
      </c>
      <c r="AP11" s="48" t="s">
        <v>242</v>
      </c>
      <c r="AQ11" s="48" t="s">
        <v>248</v>
      </c>
      <c r="AR11" s="48" t="s">
        <v>252</v>
      </c>
      <c r="AS11" s="48" t="s">
        <v>275</v>
      </c>
      <c r="AT11" s="48" t="s">
        <v>276</v>
      </c>
      <c r="AU11" s="48" t="s">
        <v>245</v>
      </c>
      <c r="AV11" s="48" t="s">
        <v>258</v>
      </c>
      <c r="AW11" s="48" t="s">
        <v>541</v>
      </c>
      <c r="AX11" s="48" t="s">
        <v>263</v>
      </c>
      <c r="AY11" s="48" t="s">
        <v>264</v>
      </c>
      <c r="AZ11" s="48" t="s">
        <v>218</v>
      </c>
      <c r="BA11" s="48" t="s">
        <v>238</v>
      </c>
      <c r="BB11" s="48" t="s">
        <v>265</v>
      </c>
      <c r="BC11" s="48" t="s">
        <v>260</v>
      </c>
      <c r="BD11" s="48" t="s">
        <v>227</v>
      </c>
      <c r="BE11" s="48" t="s">
        <v>240</v>
      </c>
      <c r="BF11" s="48" t="s">
        <v>241</v>
      </c>
      <c r="BG11" s="48" t="s">
        <v>281</v>
      </c>
    </row>
    <row r="12" spans="1:59" ht="16" thickBot="1">
      <c r="A12" s="50"/>
      <c r="B12" s="57">
        <v>5</v>
      </c>
      <c r="C12" s="52" t="s">
        <v>212</v>
      </c>
      <c r="D12" s="52" t="s">
        <v>212</v>
      </c>
      <c r="E12" s="52" t="s">
        <v>212</v>
      </c>
      <c r="F12" s="52" t="s">
        <v>212</v>
      </c>
      <c r="G12" s="52" t="s">
        <v>212</v>
      </c>
      <c r="H12" s="52" t="s">
        <v>212</v>
      </c>
      <c r="I12" s="52" t="s">
        <v>212</v>
      </c>
      <c r="J12" s="52" t="s">
        <v>212</v>
      </c>
      <c r="K12" s="52" t="s">
        <v>212</v>
      </c>
      <c r="L12" s="52" t="s">
        <v>212</v>
      </c>
      <c r="M12" s="52" t="s">
        <v>212</v>
      </c>
      <c r="N12" s="52" t="s">
        <v>212</v>
      </c>
      <c r="O12" s="52" t="s">
        <v>212</v>
      </c>
      <c r="P12" s="52" t="s">
        <v>212</v>
      </c>
      <c r="Q12" s="52" t="s">
        <v>212</v>
      </c>
      <c r="R12" s="52" t="s">
        <v>212</v>
      </c>
      <c r="S12" s="52" t="s">
        <v>212</v>
      </c>
      <c r="T12" s="52"/>
      <c r="U12" s="52"/>
      <c r="V12" s="52" t="s">
        <v>212</v>
      </c>
      <c r="W12" s="52" t="s">
        <v>212</v>
      </c>
      <c r="X12" s="52" t="s">
        <v>212</v>
      </c>
      <c r="Y12" s="52" t="s">
        <v>212</v>
      </c>
      <c r="Z12" s="52" t="s">
        <v>212</v>
      </c>
      <c r="AA12" s="52" t="s">
        <v>212</v>
      </c>
      <c r="AB12" s="52" t="s">
        <v>212</v>
      </c>
      <c r="AC12" s="52" t="s">
        <v>212</v>
      </c>
      <c r="AD12" s="52" t="s">
        <v>212</v>
      </c>
      <c r="AE12" s="52" t="s">
        <v>212</v>
      </c>
      <c r="AF12" s="52" t="s">
        <v>212</v>
      </c>
      <c r="AG12" s="52" t="s">
        <v>212</v>
      </c>
      <c r="AH12" s="52" t="s">
        <v>212</v>
      </c>
      <c r="AI12" s="52" t="s">
        <v>212</v>
      </c>
      <c r="AJ12" s="52" t="s">
        <v>212</v>
      </c>
      <c r="AK12" s="52" t="s">
        <v>212</v>
      </c>
      <c r="AL12" s="52" t="s">
        <v>212</v>
      </c>
      <c r="AM12" s="52" t="s">
        <v>212</v>
      </c>
      <c r="AN12" s="52" t="s">
        <v>212</v>
      </c>
      <c r="AO12" s="52" t="s">
        <v>212</v>
      </c>
      <c r="AP12" s="52" t="s">
        <v>212</v>
      </c>
      <c r="AQ12" s="52" t="s">
        <v>212</v>
      </c>
      <c r="AR12" s="52" t="s">
        <v>212</v>
      </c>
      <c r="AS12" s="52" t="s">
        <v>212</v>
      </c>
      <c r="AT12" s="52" t="s">
        <v>212</v>
      </c>
      <c r="AU12" s="52" t="s">
        <v>212</v>
      </c>
      <c r="AV12" s="52" t="s">
        <v>212</v>
      </c>
      <c r="AW12" s="52" t="s">
        <v>212</v>
      </c>
      <c r="AX12" s="52" t="s">
        <v>212</v>
      </c>
      <c r="AY12" s="52" t="s">
        <v>212</v>
      </c>
      <c r="AZ12" s="52" t="s">
        <v>212</v>
      </c>
      <c r="BA12" s="52" t="s">
        <v>212</v>
      </c>
      <c r="BB12" s="52" t="s">
        <v>212</v>
      </c>
      <c r="BC12" s="52" t="s">
        <v>212</v>
      </c>
      <c r="BD12" s="52" t="s">
        <v>212</v>
      </c>
      <c r="BE12" s="52" t="s">
        <v>212</v>
      </c>
      <c r="BF12" s="52" t="s">
        <v>212</v>
      </c>
      <c r="BG12" s="52" t="s">
        <v>212</v>
      </c>
    </row>
    <row r="13" spans="1:59">
      <c r="A13" s="53" t="s">
        <v>193</v>
      </c>
      <c r="B13" s="54">
        <v>1</v>
      </c>
      <c r="C13" s="55" t="s">
        <v>228</v>
      </c>
      <c r="D13" s="55" t="s">
        <v>214</v>
      </c>
      <c r="E13" s="55" t="s">
        <v>223</v>
      </c>
      <c r="F13" s="55" t="s">
        <v>268</v>
      </c>
      <c r="G13" s="55" t="s">
        <v>277</v>
      </c>
      <c r="H13" s="55" t="s">
        <v>285</v>
      </c>
      <c r="I13" s="55" t="s">
        <v>225</v>
      </c>
      <c r="J13" s="55" t="s">
        <v>286</v>
      </c>
      <c r="K13" s="55" t="s">
        <v>287</v>
      </c>
      <c r="L13" s="55" t="s">
        <v>209</v>
      </c>
      <c r="M13" s="55" t="s">
        <v>288</v>
      </c>
      <c r="N13" s="55" t="s">
        <v>270</v>
      </c>
      <c r="O13" s="55" t="s">
        <v>272</v>
      </c>
      <c r="P13" s="55" t="s">
        <v>236</v>
      </c>
      <c r="Q13" s="55" t="s">
        <v>210</v>
      </c>
      <c r="R13" s="55" t="s">
        <v>212</v>
      </c>
      <c r="S13" s="55" t="s">
        <v>212</v>
      </c>
      <c r="T13" s="55"/>
      <c r="U13" s="55"/>
      <c r="V13" s="55" t="s">
        <v>256</v>
      </c>
      <c r="W13" s="55" t="s">
        <v>227</v>
      </c>
      <c r="X13" s="55" t="s">
        <v>228</v>
      </c>
      <c r="Y13" s="55" t="s">
        <v>289</v>
      </c>
      <c r="Z13" s="55" t="s">
        <v>290</v>
      </c>
      <c r="AA13" s="55" t="s">
        <v>291</v>
      </c>
      <c r="AB13" s="55" t="s">
        <v>258</v>
      </c>
      <c r="AC13" s="55" t="s">
        <v>292</v>
      </c>
      <c r="AD13" s="55" t="s">
        <v>293</v>
      </c>
      <c r="AE13" s="55" t="s">
        <v>276</v>
      </c>
      <c r="AF13" s="55" t="s">
        <v>274</v>
      </c>
      <c r="AG13" s="55" t="s">
        <v>253</v>
      </c>
      <c r="AH13" s="55" t="s">
        <v>294</v>
      </c>
      <c r="AI13" s="55" t="s">
        <v>269</v>
      </c>
      <c r="AJ13" s="55" t="s">
        <v>212</v>
      </c>
      <c r="AK13" s="55" t="s">
        <v>212</v>
      </c>
      <c r="AL13" s="55" t="s">
        <v>212</v>
      </c>
      <c r="AM13" s="55" t="s">
        <v>265</v>
      </c>
      <c r="AN13" s="55" t="s">
        <v>275</v>
      </c>
      <c r="AO13" s="55" t="s">
        <v>221</v>
      </c>
      <c r="AP13" s="55" t="s">
        <v>284</v>
      </c>
      <c r="AQ13" s="55" t="s">
        <v>261</v>
      </c>
      <c r="AR13" s="55" t="s">
        <v>211</v>
      </c>
      <c r="AS13" s="55" t="s">
        <v>295</v>
      </c>
      <c r="AT13" s="55" t="s">
        <v>250</v>
      </c>
      <c r="AU13" s="55" t="s">
        <v>208</v>
      </c>
      <c r="AV13" s="55" t="s">
        <v>234</v>
      </c>
      <c r="AW13" s="55" t="s">
        <v>263</v>
      </c>
      <c r="AX13" s="55" t="s">
        <v>267</v>
      </c>
      <c r="AY13" s="55" t="s">
        <v>249</v>
      </c>
      <c r="AZ13" s="55" t="s">
        <v>237</v>
      </c>
      <c r="BA13" s="55" t="s">
        <v>246</v>
      </c>
      <c r="BB13" s="55" t="s">
        <v>206</v>
      </c>
      <c r="BC13" s="55" t="s">
        <v>255</v>
      </c>
      <c r="BD13" s="55" t="s">
        <v>217</v>
      </c>
      <c r="BE13" s="55" t="s">
        <v>279</v>
      </c>
      <c r="BF13" s="55" t="s">
        <v>297</v>
      </c>
      <c r="BG13" s="55" t="s">
        <v>262</v>
      </c>
    </row>
    <row r="14" spans="1:59">
      <c r="A14" s="45" t="s">
        <v>192</v>
      </c>
      <c r="B14" s="56">
        <v>2</v>
      </c>
      <c r="C14" s="48" t="s">
        <v>267</v>
      </c>
      <c r="D14" s="48" t="s">
        <v>265</v>
      </c>
      <c r="E14" s="48" t="s">
        <v>223</v>
      </c>
      <c r="F14" s="48" t="s">
        <v>236</v>
      </c>
      <c r="G14" s="48" t="s">
        <v>277</v>
      </c>
      <c r="H14" s="48" t="s">
        <v>285</v>
      </c>
      <c r="I14" s="48" t="s">
        <v>225</v>
      </c>
      <c r="J14" s="48" t="s">
        <v>286</v>
      </c>
      <c r="K14" s="48" t="s">
        <v>221</v>
      </c>
      <c r="L14" s="48" t="s">
        <v>209</v>
      </c>
      <c r="M14" s="48" t="s">
        <v>268</v>
      </c>
      <c r="N14" s="48" t="s">
        <v>251</v>
      </c>
      <c r="O14" s="48" t="s">
        <v>272</v>
      </c>
      <c r="P14" s="48" t="s">
        <v>288</v>
      </c>
      <c r="Q14" s="48" t="s">
        <v>262</v>
      </c>
      <c r="R14" s="48" t="s">
        <v>212</v>
      </c>
      <c r="S14" s="48" t="s">
        <v>212</v>
      </c>
      <c r="T14" s="48"/>
      <c r="U14" s="48"/>
      <c r="V14" s="48" t="s">
        <v>256</v>
      </c>
      <c r="W14" s="48" t="s">
        <v>229</v>
      </c>
      <c r="X14" s="48" t="s">
        <v>228</v>
      </c>
      <c r="Y14" s="48" t="s">
        <v>289</v>
      </c>
      <c r="Z14" s="48" t="s">
        <v>290</v>
      </c>
      <c r="AA14" s="48" t="s">
        <v>291</v>
      </c>
      <c r="AB14" s="48" t="s">
        <v>258</v>
      </c>
      <c r="AC14" s="48" t="s">
        <v>292</v>
      </c>
      <c r="AD14" s="48" t="s">
        <v>214</v>
      </c>
      <c r="AE14" s="48" t="s">
        <v>247</v>
      </c>
      <c r="AF14" s="48" t="s">
        <v>206</v>
      </c>
      <c r="AG14" s="48" t="s">
        <v>253</v>
      </c>
      <c r="AH14" s="48" t="s">
        <v>294</v>
      </c>
      <c r="AI14" s="48" t="s">
        <v>276</v>
      </c>
      <c r="AJ14" s="48" t="s">
        <v>212</v>
      </c>
      <c r="AK14" s="48" t="s">
        <v>212</v>
      </c>
      <c r="AL14" s="48" t="s">
        <v>212</v>
      </c>
      <c r="AM14" s="48" t="s">
        <v>237</v>
      </c>
      <c r="AN14" s="48" t="s">
        <v>275</v>
      </c>
      <c r="AO14" s="48" t="s">
        <v>218</v>
      </c>
      <c r="AP14" s="48" t="s">
        <v>263</v>
      </c>
      <c r="AQ14" s="48" t="s">
        <v>293</v>
      </c>
      <c r="AR14" s="48" t="s">
        <v>255</v>
      </c>
      <c r="AS14" s="48" t="s">
        <v>234</v>
      </c>
      <c r="AT14" s="48" t="s">
        <v>281</v>
      </c>
      <c r="AU14" s="48" t="s">
        <v>227</v>
      </c>
      <c r="AV14" s="48" t="s">
        <v>210</v>
      </c>
      <c r="AW14" s="48" t="s">
        <v>246</v>
      </c>
      <c r="AX14" s="48" t="s">
        <v>211</v>
      </c>
      <c r="AY14" s="48" t="s">
        <v>270</v>
      </c>
      <c r="AZ14" s="48" t="s">
        <v>250</v>
      </c>
      <c r="BA14" s="48" t="s">
        <v>233</v>
      </c>
      <c r="BB14" s="48" t="s">
        <v>541</v>
      </c>
      <c r="BC14" s="48" t="s">
        <v>257</v>
      </c>
      <c r="BD14" s="48" t="s">
        <v>287</v>
      </c>
      <c r="BE14" s="48" t="s">
        <v>261</v>
      </c>
      <c r="BF14" s="48" t="s">
        <v>297</v>
      </c>
      <c r="BG14" s="48" t="s">
        <v>279</v>
      </c>
    </row>
    <row r="15" spans="1:59">
      <c r="A15" s="45" t="s">
        <v>194</v>
      </c>
      <c r="B15" s="56">
        <v>3</v>
      </c>
      <c r="C15" s="48" t="s">
        <v>294</v>
      </c>
      <c r="D15" s="48" t="s">
        <v>228</v>
      </c>
      <c r="E15" s="48" t="s">
        <v>296</v>
      </c>
      <c r="F15" s="48" t="s">
        <v>291</v>
      </c>
      <c r="G15" s="48" t="s">
        <v>221</v>
      </c>
      <c r="H15" s="48" t="s">
        <v>253</v>
      </c>
      <c r="I15" s="48" t="s">
        <v>289</v>
      </c>
      <c r="J15" s="48" t="s">
        <v>217</v>
      </c>
      <c r="K15" s="48" t="s">
        <v>265</v>
      </c>
      <c r="L15" s="48" t="s">
        <v>287</v>
      </c>
      <c r="M15" s="48" t="s">
        <v>272</v>
      </c>
      <c r="N15" s="48" t="s">
        <v>274</v>
      </c>
      <c r="O15" s="48" t="s">
        <v>290</v>
      </c>
      <c r="P15" s="48" t="s">
        <v>286</v>
      </c>
      <c r="Q15" s="48" t="s">
        <v>262</v>
      </c>
      <c r="R15" s="48" t="s">
        <v>212</v>
      </c>
      <c r="S15" s="48" t="s">
        <v>212</v>
      </c>
      <c r="T15" s="48"/>
      <c r="U15" s="48"/>
      <c r="V15" s="48" t="s">
        <v>233</v>
      </c>
      <c r="W15" s="48" t="s">
        <v>277</v>
      </c>
      <c r="X15" s="48" t="s">
        <v>223</v>
      </c>
      <c r="Y15" s="48" t="s">
        <v>237</v>
      </c>
      <c r="Z15" s="48" t="s">
        <v>268</v>
      </c>
      <c r="AA15" s="48" t="s">
        <v>214</v>
      </c>
      <c r="AB15" s="48" t="s">
        <v>206</v>
      </c>
      <c r="AC15" s="48" t="s">
        <v>208</v>
      </c>
      <c r="AD15" s="48" t="s">
        <v>269</v>
      </c>
      <c r="AE15" s="48" t="s">
        <v>285</v>
      </c>
      <c r="AF15" s="48" t="s">
        <v>227</v>
      </c>
      <c r="AG15" s="48" t="s">
        <v>234</v>
      </c>
      <c r="AH15" s="48" t="s">
        <v>236</v>
      </c>
      <c r="AI15" s="48" t="s">
        <v>235</v>
      </c>
      <c r="AJ15" s="48" t="s">
        <v>212</v>
      </c>
      <c r="AK15" s="48" t="s">
        <v>212</v>
      </c>
      <c r="AL15" s="48" t="s">
        <v>212</v>
      </c>
      <c r="AM15" s="48" t="s">
        <v>297</v>
      </c>
      <c r="AN15" s="48" t="s">
        <v>251</v>
      </c>
      <c r="AO15" s="48" t="s">
        <v>218</v>
      </c>
      <c r="AP15" s="48" t="s">
        <v>263</v>
      </c>
      <c r="AQ15" s="48" t="s">
        <v>256</v>
      </c>
      <c r="AR15" s="48" t="s">
        <v>279</v>
      </c>
      <c r="AS15" s="48" t="s">
        <v>255</v>
      </c>
      <c r="AT15" s="48" t="s">
        <v>270</v>
      </c>
      <c r="AU15" s="48" t="s">
        <v>284</v>
      </c>
      <c r="AV15" s="48" t="s">
        <v>229</v>
      </c>
      <c r="AW15" s="48" t="s">
        <v>246</v>
      </c>
      <c r="AX15" s="48" t="s">
        <v>247</v>
      </c>
      <c r="AY15" s="48" t="s">
        <v>288</v>
      </c>
      <c r="AZ15" s="48" t="s">
        <v>250</v>
      </c>
      <c r="BA15" s="48" t="s">
        <v>258</v>
      </c>
      <c r="BB15" s="48" t="s">
        <v>541</v>
      </c>
      <c r="BC15" s="48" t="s">
        <v>281</v>
      </c>
      <c r="BD15" s="48" t="s">
        <v>261</v>
      </c>
      <c r="BE15" s="48" t="s">
        <v>275</v>
      </c>
      <c r="BF15" s="48" t="s">
        <v>225</v>
      </c>
      <c r="BG15" s="48" t="s">
        <v>211</v>
      </c>
    </row>
    <row r="16" spans="1:59">
      <c r="A16" s="45"/>
      <c r="B16" s="56">
        <v>4</v>
      </c>
      <c r="C16" s="48" t="s">
        <v>294</v>
      </c>
      <c r="D16" s="48" t="s">
        <v>251</v>
      </c>
      <c r="E16" s="48" t="s">
        <v>296</v>
      </c>
      <c r="F16" s="48" t="s">
        <v>291</v>
      </c>
      <c r="G16" s="48" t="s">
        <v>221</v>
      </c>
      <c r="H16" s="48" t="s">
        <v>272</v>
      </c>
      <c r="I16" s="48" t="s">
        <v>289</v>
      </c>
      <c r="J16" s="48" t="s">
        <v>217</v>
      </c>
      <c r="K16" s="48" t="s">
        <v>263</v>
      </c>
      <c r="L16" s="48" t="s">
        <v>287</v>
      </c>
      <c r="M16" s="48" t="s">
        <v>249</v>
      </c>
      <c r="N16" s="48" t="s">
        <v>265</v>
      </c>
      <c r="O16" s="48" t="s">
        <v>290</v>
      </c>
      <c r="P16" s="48" t="s">
        <v>286</v>
      </c>
      <c r="Q16" s="48" t="s">
        <v>209</v>
      </c>
      <c r="R16" s="48" t="s">
        <v>212</v>
      </c>
      <c r="S16" s="48" t="s">
        <v>212</v>
      </c>
      <c r="T16" s="48"/>
      <c r="U16" s="48"/>
      <c r="V16" s="48" t="s">
        <v>261</v>
      </c>
      <c r="W16" s="48" t="s">
        <v>277</v>
      </c>
      <c r="X16" s="48" t="s">
        <v>223</v>
      </c>
      <c r="Y16" s="48" t="s">
        <v>247</v>
      </c>
      <c r="Z16" s="48" t="s">
        <v>229</v>
      </c>
      <c r="AA16" s="48" t="s">
        <v>214</v>
      </c>
      <c r="AB16" s="48" t="s">
        <v>234</v>
      </c>
      <c r="AC16" s="48" t="s">
        <v>208</v>
      </c>
      <c r="AD16" s="48" t="s">
        <v>274</v>
      </c>
      <c r="AE16" s="48" t="s">
        <v>207</v>
      </c>
      <c r="AF16" s="48" t="s">
        <v>285</v>
      </c>
      <c r="AG16" s="48" t="s">
        <v>235</v>
      </c>
      <c r="AH16" s="48" t="s">
        <v>236</v>
      </c>
      <c r="AI16" s="48" t="s">
        <v>227</v>
      </c>
      <c r="AJ16" s="48" t="s">
        <v>212</v>
      </c>
      <c r="AK16" s="48" t="s">
        <v>212</v>
      </c>
      <c r="AL16" s="48" t="s">
        <v>212</v>
      </c>
      <c r="AM16" s="48" t="s">
        <v>297</v>
      </c>
      <c r="AN16" s="48" t="s">
        <v>225</v>
      </c>
      <c r="AO16" s="48" t="s">
        <v>282</v>
      </c>
      <c r="AP16" s="48" t="s">
        <v>250</v>
      </c>
      <c r="AQ16" s="48" t="s">
        <v>267</v>
      </c>
      <c r="AR16" s="48" t="s">
        <v>293</v>
      </c>
      <c r="AS16" s="48" t="s">
        <v>255</v>
      </c>
      <c r="AT16" s="48" t="s">
        <v>270</v>
      </c>
      <c r="AU16" s="48" t="s">
        <v>276</v>
      </c>
      <c r="AV16" s="48" t="s">
        <v>246</v>
      </c>
      <c r="AW16" s="48" t="s">
        <v>279</v>
      </c>
      <c r="AX16" s="48" t="s">
        <v>210</v>
      </c>
      <c r="AY16" s="48" t="s">
        <v>288</v>
      </c>
      <c r="AZ16" s="48" t="s">
        <v>218</v>
      </c>
      <c r="BA16" s="48" t="s">
        <v>258</v>
      </c>
      <c r="BB16" s="48" t="s">
        <v>233</v>
      </c>
      <c r="BC16" s="48" t="s">
        <v>256</v>
      </c>
      <c r="BD16" s="48" t="s">
        <v>281</v>
      </c>
      <c r="BE16" s="48" t="s">
        <v>275</v>
      </c>
      <c r="BF16" s="48" t="s">
        <v>262</v>
      </c>
      <c r="BG16" s="48" t="s">
        <v>211</v>
      </c>
    </row>
    <row r="17" spans="1:59" ht="16" thickBot="1">
      <c r="A17" s="50"/>
      <c r="B17" s="57">
        <v>5</v>
      </c>
      <c r="C17" s="52" t="s">
        <v>212</v>
      </c>
      <c r="D17" s="52" t="s">
        <v>212</v>
      </c>
      <c r="E17" s="52" t="s">
        <v>212</v>
      </c>
      <c r="F17" s="52" t="s">
        <v>212</v>
      </c>
      <c r="G17" s="52" t="s">
        <v>212</v>
      </c>
      <c r="H17" s="52" t="s">
        <v>212</v>
      </c>
      <c r="I17" s="52" t="s">
        <v>212</v>
      </c>
      <c r="J17" s="52" t="s">
        <v>212</v>
      </c>
      <c r="K17" s="52" t="s">
        <v>212</v>
      </c>
      <c r="L17" s="52" t="s">
        <v>212</v>
      </c>
      <c r="M17" s="52" t="s">
        <v>212</v>
      </c>
      <c r="N17" s="52" t="s">
        <v>212</v>
      </c>
      <c r="O17" s="52" t="s">
        <v>212</v>
      </c>
      <c r="P17" s="52" t="s">
        <v>212</v>
      </c>
      <c r="Q17" s="52" t="s">
        <v>212</v>
      </c>
      <c r="R17" s="52" t="s">
        <v>212</v>
      </c>
      <c r="S17" s="52" t="s">
        <v>212</v>
      </c>
      <c r="T17" s="52"/>
      <c r="U17" s="52"/>
      <c r="V17" s="52" t="s">
        <v>212</v>
      </c>
      <c r="W17" s="52" t="s">
        <v>212</v>
      </c>
      <c r="X17" s="52" t="s">
        <v>212</v>
      </c>
      <c r="Y17" s="52" t="s">
        <v>212</v>
      </c>
      <c r="Z17" s="52" t="s">
        <v>212</v>
      </c>
      <c r="AA17" s="52" t="s">
        <v>212</v>
      </c>
      <c r="AB17" s="52" t="s">
        <v>212</v>
      </c>
      <c r="AC17" s="52" t="s">
        <v>212</v>
      </c>
      <c r="AD17" s="52" t="s">
        <v>212</v>
      </c>
      <c r="AE17" s="52" t="s">
        <v>212</v>
      </c>
      <c r="AF17" s="52" t="s">
        <v>212</v>
      </c>
      <c r="AG17" s="52" t="s">
        <v>212</v>
      </c>
      <c r="AH17" s="52" t="s">
        <v>212</v>
      </c>
      <c r="AI17" s="52" t="s">
        <v>212</v>
      </c>
      <c r="AJ17" s="52" t="s">
        <v>212</v>
      </c>
      <c r="AK17" s="52" t="s">
        <v>212</v>
      </c>
      <c r="AL17" s="52" t="s">
        <v>212</v>
      </c>
      <c r="AM17" s="52" t="s">
        <v>212</v>
      </c>
      <c r="AN17" s="52" t="s">
        <v>212</v>
      </c>
      <c r="AO17" s="52" t="s">
        <v>212</v>
      </c>
      <c r="AP17" s="52" t="s">
        <v>212</v>
      </c>
      <c r="AQ17" s="52" t="s">
        <v>212</v>
      </c>
      <c r="AR17" s="52" t="s">
        <v>212</v>
      </c>
      <c r="AS17" s="52" t="s">
        <v>212</v>
      </c>
      <c r="AT17" s="52" t="s">
        <v>212</v>
      </c>
      <c r="AU17" s="52" t="s">
        <v>212</v>
      </c>
      <c r="AV17" s="52" t="s">
        <v>212</v>
      </c>
      <c r="AW17" s="52" t="s">
        <v>212</v>
      </c>
      <c r="AX17" s="52" t="s">
        <v>212</v>
      </c>
      <c r="AY17" s="52" t="s">
        <v>212</v>
      </c>
      <c r="AZ17" s="52" t="s">
        <v>212</v>
      </c>
      <c r="BA17" s="52" t="s">
        <v>212</v>
      </c>
      <c r="BB17" s="52" t="s">
        <v>212</v>
      </c>
      <c r="BC17" s="52" t="s">
        <v>212</v>
      </c>
      <c r="BD17" s="52" t="s">
        <v>212</v>
      </c>
      <c r="BE17" s="52" t="s">
        <v>212</v>
      </c>
      <c r="BF17" s="52" t="s">
        <v>212</v>
      </c>
      <c r="BG17" s="52" t="s">
        <v>212</v>
      </c>
    </row>
    <row r="18" spans="1:59">
      <c r="A18" s="53" t="s">
        <v>195</v>
      </c>
      <c r="B18" s="54">
        <v>1</v>
      </c>
      <c r="C18" s="55" t="s">
        <v>285</v>
      </c>
      <c r="D18" s="55" t="s">
        <v>280</v>
      </c>
      <c r="E18" s="55" t="s">
        <v>215</v>
      </c>
      <c r="F18" s="55" t="s">
        <v>236</v>
      </c>
      <c r="G18" s="55" t="s">
        <v>245</v>
      </c>
      <c r="H18" s="55" t="s">
        <v>253</v>
      </c>
      <c r="I18" s="55" t="s">
        <v>297</v>
      </c>
      <c r="J18" s="55" t="s">
        <v>220</v>
      </c>
      <c r="K18" s="55" t="s">
        <v>263</v>
      </c>
      <c r="L18" s="55" t="s">
        <v>265</v>
      </c>
      <c r="M18" s="55" t="s">
        <v>249</v>
      </c>
      <c r="N18" s="55" t="s">
        <v>271</v>
      </c>
      <c r="O18" s="55" t="s">
        <v>222</v>
      </c>
      <c r="P18" s="55" t="s">
        <v>270</v>
      </c>
      <c r="Q18" s="55" t="s">
        <v>225</v>
      </c>
      <c r="R18" s="55" t="s">
        <v>212</v>
      </c>
      <c r="S18" s="55" t="s">
        <v>212</v>
      </c>
      <c r="T18" s="55"/>
      <c r="U18" s="55"/>
      <c r="V18" s="55" t="s">
        <v>243</v>
      </c>
      <c r="W18" s="55" t="s">
        <v>214</v>
      </c>
      <c r="X18" s="55" t="s">
        <v>224</v>
      </c>
      <c r="Y18" s="55" t="s">
        <v>268</v>
      </c>
      <c r="Z18" s="55" t="s">
        <v>260</v>
      </c>
      <c r="AA18" s="55" t="s">
        <v>269</v>
      </c>
      <c r="AB18" s="55" t="s">
        <v>264</v>
      </c>
      <c r="AC18" s="55" t="s">
        <v>226</v>
      </c>
      <c r="AD18" s="55" t="s">
        <v>267</v>
      </c>
      <c r="AE18" s="55" t="s">
        <v>211</v>
      </c>
      <c r="AF18" s="55" t="s">
        <v>277</v>
      </c>
      <c r="AG18" s="55" t="s">
        <v>235</v>
      </c>
      <c r="AH18" s="55" t="s">
        <v>247</v>
      </c>
      <c r="AI18" s="55" t="s">
        <v>227</v>
      </c>
      <c r="AJ18" s="55" t="s">
        <v>212</v>
      </c>
      <c r="AK18" s="55" t="s">
        <v>212</v>
      </c>
      <c r="AL18" s="55" t="s">
        <v>212</v>
      </c>
      <c r="AM18" s="55" t="s">
        <v>237</v>
      </c>
      <c r="AN18" s="55" t="s">
        <v>208</v>
      </c>
      <c r="AO18" s="55" t="s">
        <v>284</v>
      </c>
      <c r="AP18" s="55" t="s">
        <v>275</v>
      </c>
      <c r="AQ18" s="55" t="s">
        <v>254</v>
      </c>
      <c r="AR18" s="55" t="s">
        <v>242</v>
      </c>
      <c r="AS18" s="55" t="s">
        <v>255</v>
      </c>
      <c r="AT18" s="55" t="s">
        <v>246</v>
      </c>
      <c r="AU18" s="55" t="s">
        <v>276</v>
      </c>
      <c r="AV18" s="55" t="s">
        <v>229</v>
      </c>
      <c r="AW18" s="55" t="s">
        <v>234</v>
      </c>
      <c r="AX18" s="55" t="s">
        <v>258</v>
      </c>
      <c r="AY18" s="55" t="s">
        <v>233</v>
      </c>
      <c r="AZ18" s="55" t="s">
        <v>273</v>
      </c>
      <c r="BA18" s="55" t="s">
        <v>298</v>
      </c>
      <c r="BB18" s="55" t="s">
        <v>216</v>
      </c>
      <c r="BC18" s="55" t="s">
        <v>256</v>
      </c>
      <c r="BD18" s="55" t="s">
        <v>299</v>
      </c>
      <c r="BE18" s="55" t="s">
        <v>287</v>
      </c>
      <c r="BF18" s="55" t="s">
        <v>241</v>
      </c>
      <c r="BG18" s="55" t="s">
        <v>239</v>
      </c>
    </row>
    <row r="19" spans="1:59">
      <c r="A19" s="45" t="s">
        <v>192</v>
      </c>
      <c r="B19" s="56">
        <v>2</v>
      </c>
      <c r="C19" s="48" t="s">
        <v>219</v>
      </c>
      <c r="D19" s="48" t="s">
        <v>280</v>
      </c>
      <c r="E19" s="48" t="s">
        <v>215</v>
      </c>
      <c r="F19" s="48" t="s">
        <v>225</v>
      </c>
      <c r="G19" s="48" t="s">
        <v>245</v>
      </c>
      <c r="H19" s="48" t="s">
        <v>253</v>
      </c>
      <c r="I19" s="48" t="s">
        <v>297</v>
      </c>
      <c r="J19" s="48" t="s">
        <v>220</v>
      </c>
      <c r="K19" s="48" t="s">
        <v>230</v>
      </c>
      <c r="L19" s="48" t="s">
        <v>287</v>
      </c>
      <c r="M19" s="48" t="s">
        <v>249</v>
      </c>
      <c r="N19" s="48" t="s">
        <v>271</v>
      </c>
      <c r="O19" s="48" t="s">
        <v>269</v>
      </c>
      <c r="P19" s="48" t="s">
        <v>268</v>
      </c>
      <c r="Q19" s="48" t="s">
        <v>281</v>
      </c>
      <c r="R19" s="48" t="s">
        <v>212</v>
      </c>
      <c r="S19" s="48" t="s">
        <v>212</v>
      </c>
      <c r="T19" s="48"/>
      <c r="U19" s="48"/>
      <c r="V19" s="48" t="s">
        <v>293</v>
      </c>
      <c r="W19" s="48" t="s">
        <v>285</v>
      </c>
      <c r="X19" s="48" t="s">
        <v>233</v>
      </c>
      <c r="Y19" s="48" t="s">
        <v>260</v>
      </c>
      <c r="Z19" s="48" t="s">
        <v>256</v>
      </c>
      <c r="AA19" s="48" t="s">
        <v>214</v>
      </c>
      <c r="AB19" s="48" t="s">
        <v>235</v>
      </c>
      <c r="AC19" s="48" t="s">
        <v>266</v>
      </c>
      <c r="AD19" s="48" t="s">
        <v>243</v>
      </c>
      <c r="AE19" s="48" t="s">
        <v>211</v>
      </c>
      <c r="AF19" s="48" t="s">
        <v>277</v>
      </c>
      <c r="AG19" s="48" t="s">
        <v>227</v>
      </c>
      <c r="AH19" s="48" t="s">
        <v>236</v>
      </c>
      <c r="AI19" s="48" t="s">
        <v>222</v>
      </c>
      <c r="AJ19" s="48" t="s">
        <v>212</v>
      </c>
      <c r="AK19" s="48" t="s">
        <v>212</v>
      </c>
      <c r="AL19" s="48" t="s">
        <v>212</v>
      </c>
      <c r="AM19" s="48" t="s">
        <v>237</v>
      </c>
      <c r="AN19" s="48" t="s">
        <v>208</v>
      </c>
      <c r="AO19" s="48" t="s">
        <v>226</v>
      </c>
      <c r="AP19" s="48" t="s">
        <v>275</v>
      </c>
      <c r="AQ19" s="48" t="s">
        <v>254</v>
      </c>
      <c r="AR19" s="48" t="s">
        <v>255</v>
      </c>
      <c r="AS19" s="48" t="s">
        <v>279</v>
      </c>
      <c r="AT19" s="48" t="s">
        <v>265</v>
      </c>
      <c r="AU19" s="48" t="s">
        <v>276</v>
      </c>
      <c r="AV19" s="48" t="s">
        <v>282</v>
      </c>
      <c r="AW19" s="48" t="s">
        <v>246</v>
      </c>
      <c r="AX19" s="48" t="s">
        <v>258</v>
      </c>
      <c r="AY19" s="48" t="s">
        <v>234</v>
      </c>
      <c r="AZ19" s="48" t="s">
        <v>273</v>
      </c>
      <c r="BA19" s="48" t="s">
        <v>298</v>
      </c>
      <c r="BB19" s="48" t="s">
        <v>216</v>
      </c>
      <c r="BC19" s="48" t="s">
        <v>241</v>
      </c>
      <c r="BD19" s="48" t="s">
        <v>299</v>
      </c>
      <c r="BE19" s="48" t="s">
        <v>259</v>
      </c>
      <c r="BF19" s="48" t="s">
        <v>272</v>
      </c>
      <c r="BG19" s="48" t="s">
        <v>239</v>
      </c>
    </row>
    <row r="20" spans="1:59">
      <c r="A20" s="45" t="s">
        <v>196</v>
      </c>
      <c r="B20" s="56">
        <v>3</v>
      </c>
      <c r="C20" s="48" t="s">
        <v>253</v>
      </c>
      <c r="D20" s="48" t="s">
        <v>220</v>
      </c>
      <c r="E20" s="48" t="s">
        <v>255</v>
      </c>
      <c r="F20" s="48" t="s">
        <v>216</v>
      </c>
      <c r="G20" s="48" t="s">
        <v>221</v>
      </c>
      <c r="H20" s="48" t="s">
        <v>277</v>
      </c>
      <c r="I20" s="48" t="s">
        <v>219</v>
      </c>
      <c r="J20" s="48" t="s">
        <v>273</v>
      </c>
      <c r="K20" s="48" t="s">
        <v>230</v>
      </c>
      <c r="L20" s="48" t="s">
        <v>269</v>
      </c>
      <c r="M20" s="48" t="s">
        <v>222</v>
      </c>
      <c r="N20" s="48" t="s">
        <v>299</v>
      </c>
      <c r="O20" s="48" t="s">
        <v>249</v>
      </c>
      <c r="P20" s="48" t="s">
        <v>236</v>
      </c>
      <c r="Q20" s="48" t="s">
        <v>215</v>
      </c>
      <c r="R20" s="48" t="s">
        <v>212</v>
      </c>
      <c r="S20" s="48" t="s">
        <v>212</v>
      </c>
      <c r="T20" s="48"/>
      <c r="U20" s="48"/>
      <c r="V20" s="48" t="s">
        <v>256</v>
      </c>
      <c r="W20" s="48" t="s">
        <v>224</v>
      </c>
      <c r="X20" s="48" t="s">
        <v>265</v>
      </c>
      <c r="Y20" s="48" t="s">
        <v>266</v>
      </c>
      <c r="Z20" s="48" t="s">
        <v>268</v>
      </c>
      <c r="AA20" s="48" t="s">
        <v>214</v>
      </c>
      <c r="AB20" s="48" t="s">
        <v>235</v>
      </c>
      <c r="AC20" s="48" t="s">
        <v>275</v>
      </c>
      <c r="AD20" s="48" t="s">
        <v>243</v>
      </c>
      <c r="AE20" s="48" t="s">
        <v>264</v>
      </c>
      <c r="AF20" s="48" t="s">
        <v>285</v>
      </c>
      <c r="AG20" s="48" t="s">
        <v>298</v>
      </c>
      <c r="AH20" s="48" t="s">
        <v>239</v>
      </c>
      <c r="AI20" s="48" t="s">
        <v>208</v>
      </c>
      <c r="AJ20" s="48" t="s">
        <v>212</v>
      </c>
      <c r="AK20" s="48" t="s">
        <v>212</v>
      </c>
      <c r="AL20" s="48" t="s">
        <v>212</v>
      </c>
      <c r="AM20" s="48" t="s">
        <v>297</v>
      </c>
      <c r="AN20" s="48" t="s">
        <v>225</v>
      </c>
      <c r="AO20" s="48" t="s">
        <v>226</v>
      </c>
      <c r="AP20" s="48" t="s">
        <v>242</v>
      </c>
      <c r="AQ20" s="48" t="s">
        <v>229</v>
      </c>
      <c r="AR20" s="48" t="s">
        <v>267</v>
      </c>
      <c r="AS20" s="48" t="s">
        <v>279</v>
      </c>
      <c r="AT20" s="48" t="s">
        <v>270</v>
      </c>
      <c r="AU20" s="48" t="s">
        <v>278</v>
      </c>
      <c r="AV20" s="48" t="s">
        <v>246</v>
      </c>
      <c r="AW20" s="48" t="s">
        <v>263</v>
      </c>
      <c r="AX20" s="48" t="s">
        <v>247</v>
      </c>
      <c r="AY20" s="48" t="s">
        <v>501</v>
      </c>
      <c r="AZ20" s="48" t="s">
        <v>237</v>
      </c>
      <c r="BA20" s="48" t="s">
        <v>281</v>
      </c>
      <c r="BB20" s="48" t="s">
        <v>258</v>
      </c>
      <c r="BC20" s="48" t="s">
        <v>241</v>
      </c>
      <c r="BD20" s="48" t="s">
        <v>276</v>
      </c>
      <c r="BE20" s="48" t="s">
        <v>259</v>
      </c>
      <c r="BF20" s="48" t="s">
        <v>272</v>
      </c>
      <c r="BG20" s="48" t="s">
        <v>293</v>
      </c>
    </row>
    <row r="21" spans="1:59">
      <c r="A21" s="45"/>
      <c r="B21" s="56">
        <v>4</v>
      </c>
      <c r="C21" s="48" t="s">
        <v>253</v>
      </c>
      <c r="D21" s="48" t="s">
        <v>220</v>
      </c>
      <c r="E21" s="48" t="s">
        <v>272</v>
      </c>
      <c r="F21" s="48" t="s">
        <v>216</v>
      </c>
      <c r="G21" s="48" t="s">
        <v>221</v>
      </c>
      <c r="H21" s="48" t="s">
        <v>277</v>
      </c>
      <c r="I21" s="48" t="s">
        <v>266</v>
      </c>
      <c r="J21" s="48" t="s">
        <v>245</v>
      </c>
      <c r="K21" s="48" t="s">
        <v>224</v>
      </c>
      <c r="L21" s="48" t="s">
        <v>254</v>
      </c>
      <c r="M21" s="48" t="s">
        <v>268</v>
      </c>
      <c r="N21" s="48" t="s">
        <v>299</v>
      </c>
      <c r="O21" s="48" t="s">
        <v>249</v>
      </c>
      <c r="P21" s="48" t="s">
        <v>236</v>
      </c>
      <c r="Q21" s="48" t="s">
        <v>215</v>
      </c>
      <c r="R21" s="48" t="s">
        <v>212</v>
      </c>
      <c r="S21" s="48" t="s">
        <v>212</v>
      </c>
      <c r="T21" s="48"/>
      <c r="U21" s="48"/>
      <c r="V21" s="48" t="s">
        <v>233</v>
      </c>
      <c r="W21" s="48" t="s">
        <v>273</v>
      </c>
      <c r="X21" s="48" t="s">
        <v>269</v>
      </c>
      <c r="Y21" s="48" t="s">
        <v>241</v>
      </c>
      <c r="Z21" s="48" t="s">
        <v>281</v>
      </c>
      <c r="AA21" s="48" t="s">
        <v>230</v>
      </c>
      <c r="AB21" s="48" t="s">
        <v>285</v>
      </c>
      <c r="AC21" s="48" t="s">
        <v>275</v>
      </c>
      <c r="AD21" s="48" t="s">
        <v>239</v>
      </c>
      <c r="AE21" s="48" t="s">
        <v>276</v>
      </c>
      <c r="AF21" s="48" t="s">
        <v>247</v>
      </c>
      <c r="AG21" s="48" t="s">
        <v>298</v>
      </c>
      <c r="AH21" s="48" t="s">
        <v>219</v>
      </c>
      <c r="AI21" s="48" t="s">
        <v>234</v>
      </c>
      <c r="AJ21" s="48" t="s">
        <v>212</v>
      </c>
      <c r="AK21" s="48" t="s">
        <v>212</v>
      </c>
      <c r="AL21" s="48" t="s">
        <v>212</v>
      </c>
      <c r="AM21" s="48" t="s">
        <v>260</v>
      </c>
      <c r="AN21" s="48" t="s">
        <v>225</v>
      </c>
      <c r="AO21" s="48" t="s">
        <v>265</v>
      </c>
      <c r="AP21" s="48" t="s">
        <v>242</v>
      </c>
      <c r="AQ21" s="48" t="s">
        <v>256</v>
      </c>
      <c r="AR21" s="48" t="s">
        <v>211</v>
      </c>
      <c r="AS21" s="48" t="s">
        <v>271</v>
      </c>
      <c r="AT21" s="48" t="s">
        <v>227</v>
      </c>
      <c r="AU21" s="48" t="s">
        <v>278</v>
      </c>
      <c r="AV21" s="48" t="s">
        <v>264</v>
      </c>
      <c r="AW21" s="48" t="s">
        <v>267</v>
      </c>
      <c r="AX21" s="48" t="s">
        <v>263</v>
      </c>
      <c r="AY21" s="48" t="s">
        <v>501</v>
      </c>
      <c r="AZ21" s="48" t="s">
        <v>237</v>
      </c>
      <c r="BA21" s="48" t="s">
        <v>246</v>
      </c>
      <c r="BB21" s="48" t="s">
        <v>258</v>
      </c>
      <c r="BC21" s="48" t="s">
        <v>255</v>
      </c>
      <c r="BD21" s="48" t="s">
        <v>208</v>
      </c>
      <c r="BE21" s="48" t="s">
        <v>243</v>
      </c>
      <c r="BF21" s="48" t="s">
        <v>297</v>
      </c>
      <c r="BG21" s="48" t="s">
        <v>259</v>
      </c>
    </row>
    <row r="22" spans="1:59" ht="16" thickBot="1">
      <c r="A22" s="50"/>
      <c r="B22" s="57">
        <v>5</v>
      </c>
      <c r="C22" s="52" t="s">
        <v>212</v>
      </c>
      <c r="D22" s="52" t="s">
        <v>212</v>
      </c>
      <c r="E22" s="52" t="s">
        <v>212</v>
      </c>
      <c r="F22" s="52" t="s">
        <v>212</v>
      </c>
      <c r="G22" s="52" t="s">
        <v>212</v>
      </c>
      <c r="H22" s="52" t="s">
        <v>212</v>
      </c>
      <c r="I22" s="52" t="s">
        <v>212</v>
      </c>
      <c r="J22" s="52" t="s">
        <v>212</v>
      </c>
      <c r="K22" s="52" t="s">
        <v>212</v>
      </c>
      <c r="L22" s="52" t="s">
        <v>212</v>
      </c>
      <c r="M22" s="52" t="s">
        <v>212</v>
      </c>
      <c r="N22" s="52" t="s">
        <v>212</v>
      </c>
      <c r="O22" s="52" t="s">
        <v>212</v>
      </c>
      <c r="P22" s="52" t="s">
        <v>212</v>
      </c>
      <c r="Q22" s="52" t="s">
        <v>212</v>
      </c>
      <c r="R22" s="52" t="s">
        <v>212</v>
      </c>
      <c r="S22" s="52" t="s">
        <v>212</v>
      </c>
      <c r="T22" s="52"/>
      <c r="U22" s="52"/>
      <c r="V22" s="52" t="s">
        <v>212</v>
      </c>
      <c r="W22" s="52" t="s">
        <v>212</v>
      </c>
      <c r="X22" s="52" t="s">
        <v>212</v>
      </c>
      <c r="Y22" s="52" t="s">
        <v>212</v>
      </c>
      <c r="Z22" s="52" t="s">
        <v>212</v>
      </c>
      <c r="AA22" s="52" t="s">
        <v>212</v>
      </c>
      <c r="AB22" s="52" t="s">
        <v>212</v>
      </c>
      <c r="AC22" s="52" t="s">
        <v>212</v>
      </c>
      <c r="AD22" s="52" t="s">
        <v>212</v>
      </c>
      <c r="AE22" s="52" t="s">
        <v>212</v>
      </c>
      <c r="AF22" s="52" t="s">
        <v>212</v>
      </c>
      <c r="AG22" s="52" t="s">
        <v>212</v>
      </c>
      <c r="AH22" s="52" t="s">
        <v>212</v>
      </c>
      <c r="AI22" s="52" t="s">
        <v>212</v>
      </c>
      <c r="AJ22" s="52" t="s">
        <v>212</v>
      </c>
      <c r="AK22" s="52" t="s">
        <v>212</v>
      </c>
      <c r="AL22" s="52" t="s">
        <v>212</v>
      </c>
      <c r="AM22" s="52" t="s">
        <v>212</v>
      </c>
      <c r="AN22" s="52" t="s">
        <v>212</v>
      </c>
      <c r="AO22" s="52" t="s">
        <v>212</v>
      </c>
      <c r="AP22" s="52" t="s">
        <v>212</v>
      </c>
      <c r="AQ22" s="52"/>
      <c r="AR22" s="52" t="s">
        <v>212</v>
      </c>
      <c r="AS22" s="52" t="s">
        <v>212</v>
      </c>
      <c r="AT22" s="52" t="s">
        <v>212</v>
      </c>
      <c r="AU22" s="52" t="s">
        <v>212</v>
      </c>
      <c r="AV22" s="52" t="s">
        <v>212</v>
      </c>
      <c r="AW22" s="52" t="s">
        <v>212</v>
      </c>
      <c r="AX22" s="52" t="s">
        <v>212</v>
      </c>
      <c r="AY22" s="52" t="s">
        <v>212</v>
      </c>
      <c r="AZ22" s="52" t="s">
        <v>212</v>
      </c>
      <c r="BA22" s="52" t="s">
        <v>212</v>
      </c>
      <c r="BB22" s="52" t="s">
        <v>212</v>
      </c>
      <c r="BC22" s="52" t="s">
        <v>212</v>
      </c>
      <c r="BD22" s="52" t="s">
        <v>212</v>
      </c>
      <c r="BE22" s="52" t="s">
        <v>212</v>
      </c>
      <c r="BF22" s="52" t="s">
        <v>212</v>
      </c>
      <c r="BG22" s="52" t="s">
        <v>212</v>
      </c>
    </row>
    <row r="23" spans="1:59">
      <c r="A23" s="53" t="s">
        <v>197</v>
      </c>
      <c r="B23" s="54">
        <v>1</v>
      </c>
      <c r="C23" s="55" t="s">
        <v>253</v>
      </c>
      <c r="D23" s="55" t="s">
        <v>214</v>
      </c>
      <c r="E23" s="55" t="s">
        <v>223</v>
      </c>
      <c r="F23" s="55" t="s">
        <v>252</v>
      </c>
      <c r="G23" s="55" t="s">
        <v>278</v>
      </c>
      <c r="H23" s="55" t="s">
        <v>267</v>
      </c>
      <c r="I23" s="55" t="s">
        <v>297</v>
      </c>
      <c r="J23" s="55" t="s">
        <v>245</v>
      </c>
      <c r="K23" s="55" t="s">
        <v>279</v>
      </c>
      <c r="L23" s="55" t="s">
        <v>230</v>
      </c>
      <c r="M23" s="55" t="s">
        <v>249</v>
      </c>
      <c r="N23" s="55" t="s">
        <v>274</v>
      </c>
      <c r="O23" s="55" t="s">
        <v>222</v>
      </c>
      <c r="P23" s="55" t="s">
        <v>273</v>
      </c>
      <c r="Q23" s="55" t="s">
        <v>209</v>
      </c>
      <c r="R23" s="55" t="s">
        <v>212</v>
      </c>
      <c r="S23" s="55" t="s">
        <v>212</v>
      </c>
      <c r="T23" s="55"/>
      <c r="U23" s="55"/>
      <c r="V23" s="55" t="s">
        <v>293</v>
      </c>
      <c r="W23" s="55" t="s">
        <v>224</v>
      </c>
      <c r="X23" s="55" t="s">
        <v>240</v>
      </c>
      <c r="Y23" s="55" t="s">
        <v>248</v>
      </c>
      <c r="Z23" s="55" t="s">
        <v>277</v>
      </c>
      <c r="AA23" s="55" t="s">
        <v>242</v>
      </c>
      <c r="AB23" s="55" t="s">
        <v>206</v>
      </c>
      <c r="AC23" s="55" t="s">
        <v>266</v>
      </c>
      <c r="AD23" s="55" t="s">
        <v>239</v>
      </c>
      <c r="AE23" s="55" t="s">
        <v>244</v>
      </c>
      <c r="AF23" s="55" t="s">
        <v>241</v>
      </c>
      <c r="AG23" s="55" t="s">
        <v>276</v>
      </c>
      <c r="AH23" s="55" t="s">
        <v>219</v>
      </c>
      <c r="AI23" s="55" t="s">
        <v>208</v>
      </c>
      <c r="AJ23" s="55" t="s">
        <v>212</v>
      </c>
      <c r="AK23" s="55" t="s">
        <v>212</v>
      </c>
      <c r="AL23" s="55" t="s">
        <v>212</v>
      </c>
      <c r="AM23" s="55" t="s">
        <v>271</v>
      </c>
      <c r="AN23" s="55" t="s">
        <v>231</v>
      </c>
      <c r="AO23" s="55" t="s">
        <v>221</v>
      </c>
      <c r="AP23" s="55" t="s">
        <v>283</v>
      </c>
      <c r="AQ23" s="55" t="s">
        <v>275</v>
      </c>
      <c r="AR23" s="55" t="s">
        <v>211</v>
      </c>
      <c r="AS23" s="55" t="s">
        <v>281</v>
      </c>
      <c r="AT23" s="55" t="s">
        <v>238</v>
      </c>
      <c r="AU23" s="55" t="s">
        <v>299</v>
      </c>
      <c r="AV23" s="55" t="s">
        <v>263</v>
      </c>
      <c r="AW23" s="55" t="s">
        <v>262</v>
      </c>
      <c r="AX23" s="55" t="s">
        <v>210</v>
      </c>
      <c r="AY23" s="55" t="s">
        <v>286</v>
      </c>
      <c r="AZ23" s="55" t="s">
        <v>250</v>
      </c>
      <c r="BA23" s="55" t="s">
        <v>265</v>
      </c>
      <c r="BB23" s="55" t="s">
        <v>216</v>
      </c>
      <c r="BC23" s="55" t="s">
        <v>298</v>
      </c>
      <c r="BD23" s="55" t="s">
        <v>261</v>
      </c>
      <c r="BE23" s="55" t="s">
        <v>312</v>
      </c>
      <c r="BF23" s="55" t="s">
        <v>234</v>
      </c>
      <c r="BG23" s="55" t="s">
        <v>270</v>
      </c>
    </row>
    <row r="24" spans="1:59">
      <c r="A24" s="45" t="s">
        <v>192</v>
      </c>
      <c r="B24" s="56">
        <v>2</v>
      </c>
      <c r="C24" s="48" t="s">
        <v>253</v>
      </c>
      <c r="D24" s="48" t="s">
        <v>214</v>
      </c>
      <c r="E24" s="48" t="s">
        <v>223</v>
      </c>
      <c r="F24" s="48" t="s">
        <v>252</v>
      </c>
      <c r="G24" s="48" t="s">
        <v>278</v>
      </c>
      <c r="H24" s="48" t="s">
        <v>216</v>
      </c>
      <c r="I24" s="48" t="s">
        <v>262</v>
      </c>
      <c r="J24" s="48" t="s">
        <v>245</v>
      </c>
      <c r="K24" s="48" t="s">
        <v>230</v>
      </c>
      <c r="L24" s="48" t="s">
        <v>209</v>
      </c>
      <c r="M24" s="48" t="s">
        <v>249</v>
      </c>
      <c r="N24" s="48" t="s">
        <v>270</v>
      </c>
      <c r="O24" s="48" t="s">
        <v>222</v>
      </c>
      <c r="P24" s="48" t="s">
        <v>288</v>
      </c>
      <c r="Q24" s="48" t="s">
        <v>273</v>
      </c>
      <c r="R24" s="48" t="s">
        <v>212</v>
      </c>
      <c r="S24" s="48" t="s">
        <v>212</v>
      </c>
      <c r="T24" s="48"/>
      <c r="U24" s="48"/>
      <c r="V24" s="48" t="s">
        <v>265</v>
      </c>
      <c r="W24" s="48" t="s">
        <v>267</v>
      </c>
      <c r="X24" s="48" t="s">
        <v>240</v>
      </c>
      <c r="Y24" s="48" t="s">
        <v>211</v>
      </c>
      <c r="Z24" s="48" t="s">
        <v>277</v>
      </c>
      <c r="AA24" s="48" t="s">
        <v>238</v>
      </c>
      <c r="AB24" s="48" t="s">
        <v>234</v>
      </c>
      <c r="AC24" s="48" t="s">
        <v>266</v>
      </c>
      <c r="AD24" s="48" t="s">
        <v>239</v>
      </c>
      <c r="AE24" s="48" t="s">
        <v>285</v>
      </c>
      <c r="AF24" s="48" t="s">
        <v>206</v>
      </c>
      <c r="AG24" s="48" t="s">
        <v>293</v>
      </c>
      <c r="AH24" s="48" t="s">
        <v>219</v>
      </c>
      <c r="AI24" s="48" t="s">
        <v>281</v>
      </c>
      <c r="AJ24" s="48" t="s">
        <v>212</v>
      </c>
      <c r="AK24" s="48" t="s">
        <v>212</v>
      </c>
      <c r="AL24" s="48" t="s">
        <v>212</v>
      </c>
      <c r="AM24" s="48" t="s">
        <v>271</v>
      </c>
      <c r="AN24" s="48" t="s">
        <v>215</v>
      </c>
      <c r="AO24" s="48" t="s">
        <v>221</v>
      </c>
      <c r="AP24" s="48" t="s">
        <v>210</v>
      </c>
      <c r="AQ24" s="48" t="s">
        <v>275</v>
      </c>
      <c r="AR24" s="48" t="s">
        <v>261</v>
      </c>
      <c r="AS24" s="48" t="s">
        <v>231</v>
      </c>
      <c r="AT24" s="48" t="s">
        <v>276</v>
      </c>
      <c r="AU24" s="48" t="s">
        <v>299</v>
      </c>
      <c r="AV24" s="48" t="s">
        <v>264</v>
      </c>
      <c r="AW24" s="48" t="s">
        <v>244</v>
      </c>
      <c r="AX24" s="48" t="s">
        <v>248</v>
      </c>
      <c r="AY24" s="48" t="s">
        <v>286</v>
      </c>
      <c r="AZ24" s="48" t="s">
        <v>250</v>
      </c>
      <c r="BA24" s="48" t="s">
        <v>242</v>
      </c>
      <c r="BB24" s="48" t="s">
        <v>283</v>
      </c>
      <c r="BC24" s="48" t="s">
        <v>298</v>
      </c>
      <c r="BD24" s="48" t="s">
        <v>208</v>
      </c>
      <c r="BE24" s="48" t="s">
        <v>312</v>
      </c>
      <c r="BF24" s="48" t="s">
        <v>297</v>
      </c>
      <c r="BG24" s="48" t="s">
        <v>279</v>
      </c>
    </row>
    <row r="25" spans="1:59">
      <c r="A25" s="45" t="s">
        <v>198</v>
      </c>
      <c r="B25" s="56">
        <v>3</v>
      </c>
      <c r="C25" s="48" t="s">
        <v>279</v>
      </c>
      <c r="D25" s="48" t="s">
        <v>283</v>
      </c>
      <c r="E25" s="48" t="s">
        <v>252</v>
      </c>
      <c r="F25" s="48" t="s">
        <v>254</v>
      </c>
      <c r="G25" s="48" t="s">
        <v>230</v>
      </c>
      <c r="H25" s="48" t="s">
        <v>266</v>
      </c>
      <c r="I25" s="48" t="s">
        <v>210</v>
      </c>
      <c r="J25" s="48" t="s">
        <v>297</v>
      </c>
      <c r="K25" s="48" t="s">
        <v>221</v>
      </c>
      <c r="L25" s="48" t="s">
        <v>286</v>
      </c>
      <c r="M25" s="48" t="s">
        <v>222</v>
      </c>
      <c r="N25" s="48" t="s">
        <v>271</v>
      </c>
      <c r="O25" s="48" t="s">
        <v>274</v>
      </c>
      <c r="P25" s="48" t="s">
        <v>270</v>
      </c>
      <c r="Q25" s="48" t="s">
        <v>273</v>
      </c>
      <c r="R25" s="48" t="s">
        <v>212</v>
      </c>
      <c r="S25" s="48" t="s">
        <v>212</v>
      </c>
      <c r="T25" s="48"/>
      <c r="U25" s="48"/>
      <c r="V25" s="48" t="s">
        <v>275</v>
      </c>
      <c r="W25" s="48" t="s">
        <v>214</v>
      </c>
      <c r="X25" s="48" t="s">
        <v>224</v>
      </c>
      <c r="Y25" s="48" t="s">
        <v>211</v>
      </c>
      <c r="Z25" s="48" t="s">
        <v>219</v>
      </c>
      <c r="AA25" s="48" t="s">
        <v>238</v>
      </c>
      <c r="AB25" s="48" t="s">
        <v>298</v>
      </c>
      <c r="AC25" s="48" t="s">
        <v>293</v>
      </c>
      <c r="AD25" s="48" t="s">
        <v>277</v>
      </c>
      <c r="AE25" s="48" t="s">
        <v>276</v>
      </c>
      <c r="AF25" s="48" t="s">
        <v>267</v>
      </c>
      <c r="AG25" s="48" t="s">
        <v>253</v>
      </c>
      <c r="AH25" s="48" t="s">
        <v>285</v>
      </c>
      <c r="AI25" s="48" t="s">
        <v>295</v>
      </c>
      <c r="AJ25" s="48" t="s">
        <v>212</v>
      </c>
      <c r="AK25" s="48" t="s">
        <v>212</v>
      </c>
      <c r="AL25" s="48" t="s">
        <v>212</v>
      </c>
      <c r="AM25" s="48" t="s">
        <v>243</v>
      </c>
      <c r="AN25" s="48" t="s">
        <v>208</v>
      </c>
      <c r="AO25" s="48" t="s">
        <v>278</v>
      </c>
      <c r="AP25" s="48" t="s">
        <v>250</v>
      </c>
      <c r="AQ25" s="48" t="s">
        <v>248</v>
      </c>
      <c r="AR25" s="48" t="s">
        <v>261</v>
      </c>
      <c r="AS25" s="48" t="s">
        <v>206</v>
      </c>
      <c r="AT25" s="48" t="s">
        <v>244</v>
      </c>
      <c r="AU25" s="48" t="s">
        <v>245</v>
      </c>
      <c r="AV25" s="48" t="s">
        <v>288</v>
      </c>
      <c r="AW25" s="48" t="s">
        <v>240</v>
      </c>
      <c r="AX25" s="48" t="s">
        <v>216</v>
      </c>
      <c r="AY25" s="48" t="s">
        <v>264</v>
      </c>
      <c r="AZ25" s="48" t="s">
        <v>299</v>
      </c>
      <c r="BA25" s="48" t="s">
        <v>242</v>
      </c>
      <c r="BB25" s="48" t="s">
        <v>263</v>
      </c>
      <c r="BC25" s="48" t="s">
        <v>234</v>
      </c>
      <c r="BD25" s="48" t="s">
        <v>239</v>
      </c>
      <c r="BE25" s="48" t="s">
        <v>209</v>
      </c>
      <c r="BF25" s="48" t="s">
        <v>241</v>
      </c>
      <c r="BG25" s="48" t="s">
        <v>231</v>
      </c>
    </row>
    <row r="26" spans="1:59">
      <c r="A26" s="45"/>
      <c r="B26" s="56">
        <v>4</v>
      </c>
      <c r="C26" s="48" t="s">
        <v>279</v>
      </c>
      <c r="D26" s="48" t="s">
        <v>283</v>
      </c>
      <c r="E26" s="48" t="s">
        <v>252</v>
      </c>
      <c r="F26" s="48" t="s">
        <v>254</v>
      </c>
      <c r="G26" s="48" t="s">
        <v>288</v>
      </c>
      <c r="H26" s="48" t="s">
        <v>253</v>
      </c>
      <c r="I26" s="48" t="s">
        <v>266</v>
      </c>
      <c r="J26" s="48" t="s">
        <v>297</v>
      </c>
      <c r="K26" s="48" t="s">
        <v>221</v>
      </c>
      <c r="L26" s="48" t="s">
        <v>286</v>
      </c>
      <c r="M26" s="48" t="s">
        <v>222</v>
      </c>
      <c r="N26" s="48" t="s">
        <v>223</v>
      </c>
      <c r="O26" s="48" t="s">
        <v>274</v>
      </c>
      <c r="P26" s="48" t="s">
        <v>265</v>
      </c>
      <c r="Q26" s="48" t="s">
        <v>262</v>
      </c>
      <c r="R26" s="48" t="s">
        <v>212</v>
      </c>
      <c r="S26" s="48" t="s">
        <v>212</v>
      </c>
      <c r="T26" s="48"/>
      <c r="U26" s="48"/>
      <c r="V26" s="48" t="s">
        <v>275</v>
      </c>
      <c r="W26" s="48" t="s">
        <v>214</v>
      </c>
      <c r="X26" s="48" t="s">
        <v>224</v>
      </c>
      <c r="Y26" s="48" t="s">
        <v>234</v>
      </c>
      <c r="Z26" s="48" t="s">
        <v>219</v>
      </c>
      <c r="AA26" s="48" t="s">
        <v>230</v>
      </c>
      <c r="AB26" s="48" t="s">
        <v>264</v>
      </c>
      <c r="AC26" s="48" t="s">
        <v>208</v>
      </c>
      <c r="AD26" s="48" t="s">
        <v>277</v>
      </c>
      <c r="AE26" s="48" t="s">
        <v>211</v>
      </c>
      <c r="AF26" s="48" t="s">
        <v>293</v>
      </c>
      <c r="AG26" s="48" t="s">
        <v>285</v>
      </c>
      <c r="AH26" s="48" t="s">
        <v>276</v>
      </c>
      <c r="AI26" s="48" t="s">
        <v>298</v>
      </c>
      <c r="AJ26" s="48" t="s">
        <v>212</v>
      </c>
      <c r="AK26" s="48" t="s">
        <v>212</v>
      </c>
      <c r="AL26" s="48" t="s">
        <v>212</v>
      </c>
      <c r="AM26" s="48" t="s">
        <v>243</v>
      </c>
      <c r="AN26" s="48" t="s">
        <v>267</v>
      </c>
      <c r="AO26" s="48" t="s">
        <v>210</v>
      </c>
      <c r="AP26" s="48" t="s">
        <v>250</v>
      </c>
      <c r="AQ26" s="48" t="s">
        <v>248</v>
      </c>
      <c r="AR26" s="48" t="s">
        <v>242</v>
      </c>
      <c r="AS26" s="48" t="s">
        <v>206</v>
      </c>
      <c r="AT26" s="48" t="s">
        <v>244</v>
      </c>
      <c r="AU26" s="48" t="s">
        <v>261</v>
      </c>
      <c r="AV26" s="48" t="s">
        <v>245</v>
      </c>
      <c r="AW26" s="48" t="s">
        <v>263</v>
      </c>
      <c r="AX26" s="48" t="s">
        <v>216</v>
      </c>
      <c r="AY26" s="48" t="s">
        <v>215</v>
      </c>
      <c r="AZ26" s="48" t="s">
        <v>299</v>
      </c>
      <c r="BA26" s="48" t="s">
        <v>238</v>
      </c>
      <c r="BB26" s="48" t="s">
        <v>273</v>
      </c>
      <c r="BC26" s="48" t="s">
        <v>270</v>
      </c>
      <c r="BD26" s="48" t="s">
        <v>239</v>
      </c>
      <c r="BE26" s="48" t="s">
        <v>209</v>
      </c>
      <c r="BF26" s="48" t="s">
        <v>241</v>
      </c>
      <c r="BG26" s="48" t="s">
        <v>231</v>
      </c>
    </row>
    <row r="27" spans="1:59" ht="16" thickBot="1">
      <c r="A27" s="50"/>
      <c r="B27" s="57">
        <v>5</v>
      </c>
      <c r="C27" s="52" t="s">
        <v>212</v>
      </c>
      <c r="D27" s="52" t="s">
        <v>212</v>
      </c>
      <c r="E27" s="52" t="s">
        <v>212</v>
      </c>
      <c r="F27" s="52" t="s">
        <v>212</v>
      </c>
      <c r="G27" s="52" t="s">
        <v>212</v>
      </c>
      <c r="H27" s="52" t="s">
        <v>212</v>
      </c>
      <c r="I27" s="52" t="s">
        <v>212</v>
      </c>
      <c r="J27" s="52" t="s">
        <v>212</v>
      </c>
      <c r="K27" s="52" t="s">
        <v>212</v>
      </c>
      <c r="L27" s="52" t="s">
        <v>212</v>
      </c>
      <c r="M27" s="52" t="s">
        <v>212</v>
      </c>
      <c r="N27" s="52" t="s">
        <v>212</v>
      </c>
      <c r="O27" s="52" t="s">
        <v>212</v>
      </c>
      <c r="P27" s="52" t="s">
        <v>212</v>
      </c>
      <c r="Q27" s="52" t="s">
        <v>212</v>
      </c>
      <c r="R27" s="52" t="s">
        <v>212</v>
      </c>
      <c r="S27" s="52" t="s">
        <v>212</v>
      </c>
      <c r="T27" s="52"/>
      <c r="U27" s="52"/>
      <c r="V27" s="52" t="s">
        <v>212</v>
      </c>
      <c r="W27" s="52" t="s">
        <v>212</v>
      </c>
      <c r="X27" s="52" t="s">
        <v>212</v>
      </c>
      <c r="Y27" s="52" t="s">
        <v>212</v>
      </c>
      <c r="Z27" s="52" t="s">
        <v>212</v>
      </c>
      <c r="AA27" s="52" t="s">
        <v>212</v>
      </c>
      <c r="AB27" s="52" t="s">
        <v>212</v>
      </c>
      <c r="AC27" s="52" t="s">
        <v>212</v>
      </c>
      <c r="AD27" s="52" t="s">
        <v>212</v>
      </c>
      <c r="AE27" s="52" t="s">
        <v>212</v>
      </c>
      <c r="AF27" s="52" t="s">
        <v>212</v>
      </c>
      <c r="AG27" s="52" t="s">
        <v>212</v>
      </c>
      <c r="AH27" s="52" t="s">
        <v>212</v>
      </c>
      <c r="AI27" s="52" t="s">
        <v>212</v>
      </c>
      <c r="AJ27" s="52" t="s">
        <v>212</v>
      </c>
      <c r="AK27" s="52" t="s">
        <v>212</v>
      </c>
      <c r="AL27" s="52" t="s">
        <v>212</v>
      </c>
      <c r="AM27" s="52" t="s">
        <v>212</v>
      </c>
      <c r="AN27" s="52" t="s">
        <v>212</v>
      </c>
      <c r="AO27" s="52" t="s">
        <v>212</v>
      </c>
      <c r="AP27" s="52" t="s">
        <v>212</v>
      </c>
      <c r="AQ27" s="52" t="s">
        <v>212</v>
      </c>
      <c r="AR27" s="52" t="s">
        <v>212</v>
      </c>
      <c r="AS27" s="52" t="s">
        <v>212</v>
      </c>
      <c r="AT27" s="52" t="s">
        <v>212</v>
      </c>
      <c r="AU27" s="52" t="s">
        <v>212</v>
      </c>
      <c r="AV27" s="52" t="s">
        <v>212</v>
      </c>
      <c r="AW27" s="52"/>
      <c r="AX27" s="52" t="s">
        <v>212</v>
      </c>
      <c r="AY27" s="52" t="s">
        <v>212</v>
      </c>
      <c r="AZ27" s="52" t="s">
        <v>212</v>
      </c>
      <c r="BA27" s="52" t="s">
        <v>212</v>
      </c>
      <c r="BB27" s="52" t="s">
        <v>212</v>
      </c>
      <c r="BC27" s="52" t="s">
        <v>212</v>
      </c>
      <c r="BD27" s="52" t="s">
        <v>212</v>
      </c>
      <c r="BE27" s="52" t="s">
        <v>212</v>
      </c>
      <c r="BF27" s="52" t="s">
        <v>212</v>
      </c>
      <c r="BG27" s="52" t="s">
        <v>212</v>
      </c>
    </row>
    <row r="28" spans="1:59">
      <c r="A28" s="53" t="s">
        <v>199</v>
      </c>
      <c r="B28" s="54">
        <v>1</v>
      </c>
      <c r="C28" s="55" t="s">
        <v>212</v>
      </c>
      <c r="D28" s="55" t="s">
        <v>212</v>
      </c>
      <c r="E28" s="55" t="s">
        <v>212</v>
      </c>
      <c r="F28" s="55" t="s">
        <v>212</v>
      </c>
      <c r="G28" s="55" t="s">
        <v>212</v>
      </c>
      <c r="H28" s="55" t="s">
        <v>212</v>
      </c>
      <c r="I28" s="55" t="s">
        <v>212</v>
      </c>
      <c r="J28" s="55" t="s">
        <v>212</v>
      </c>
      <c r="K28" s="55" t="s">
        <v>212</v>
      </c>
      <c r="L28" s="55" t="s">
        <v>212</v>
      </c>
      <c r="M28" s="55" t="s">
        <v>212</v>
      </c>
      <c r="N28" s="55" t="s">
        <v>212</v>
      </c>
      <c r="O28" s="55" t="s">
        <v>212</v>
      </c>
      <c r="P28" s="55" t="s">
        <v>212</v>
      </c>
      <c r="Q28" s="55"/>
      <c r="R28" s="55"/>
      <c r="S28" s="55"/>
      <c r="T28" s="55"/>
      <c r="U28" s="55"/>
      <c r="V28" s="55" t="s">
        <v>212</v>
      </c>
      <c r="W28" s="55" t="s">
        <v>212</v>
      </c>
      <c r="X28" s="55" t="s">
        <v>212</v>
      </c>
      <c r="Y28" s="55" t="s">
        <v>248</v>
      </c>
      <c r="Z28" s="55" t="s">
        <v>212</v>
      </c>
      <c r="AA28" s="55" t="s">
        <v>212</v>
      </c>
      <c r="AB28" s="55" t="s">
        <v>212</v>
      </c>
      <c r="AC28" s="55" t="s">
        <v>212</v>
      </c>
      <c r="AD28" s="55" t="s">
        <v>212</v>
      </c>
      <c r="AE28" s="55" t="s">
        <v>212</v>
      </c>
      <c r="AF28" s="55" t="s">
        <v>212</v>
      </c>
      <c r="AG28" s="55" t="s">
        <v>212</v>
      </c>
      <c r="AH28" s="55" t="s">
        <v>212</v>
      </c>
      <c r="AI28" s="55" t="s">
        <v>212</v>
      </c>
      <c r="AJ28" s="55" t="s">
        <v>212</v>
      </c>
      <c r="AK28" s="55" t="s">
        <v>212</v>
      </c>
      <c r="AL28" s="55" t="s">
        <v>212</v>
      </c>
      <c r="AM28" s="55" t="s">
        <v>212</v>
      </c>
      <c r="AN28" s="55" t="s">
        <v>251</v>
      </c>
      <c r="AO28" s="55" t="s">
        <v>212</v>
      </c>
      <c r="AP28" s="55" t="s">
        <v>212</v>
      </c>
      <c r="AQ28" s="55" t="s">
        <v>212</v>
      </c>
      <c r="AR28" s="55" t="s">
        <v>212</v>
      </c>
      <c r="AS28" s="55" t="s">
        <v>212</v>
      </c>
      <c r="AT28" s="55" t="s">
        <v>212</v>
      </c>
      <c r="AU28" s="55" t="s">
        <v>212</v>
      </c>
      <c r="AV28" s="55" t="s">
        <v>282</v>
      </c>
      <c r="AW28" s="55" t="s">
        <v>212</v>
      </c>
      <c r="AX28" s="55" t="s">
        <v>212</v>
      </c>
      <c r="AY28" s="55" t="s">
        <v>212</v>
      </c>
      <c r="AZ28" s="55" t="s">
        <v>212</v>
      </c>
      <c r="BA28" s="55" t="s">
        <v>212</v>
      </c>
      <c r="BB28" s="55" t="s">
        <v>212</v>
      </c>
      <c r="BC28" s="55" t="s">
        <v>212</v>
      </c>
      <c r="BD28" s="55" t="s">
        <v>212</v>
      </c>
      <c r="BE28" s="55" t="s">
        <v>212</v>
      </c>
      <c r="BF28" s="55" t="s">
        <v>212</v>
      </c>
      <c r="BG28" s="55" t="s">
        <v>293</v>
      </c>
    </row>
    <row r="29" spans="1:59">
      <c r="A29" s="45" t="s">
        <v>192</v>
      </c>
      <c r="B29" s="56">
        <v>2</v>
      </c>
      <c r="C29" s="48" t="s">
        <v>212</v>
      </c>
      <c r="D29" s="48" t="s">
        <v>212</v>
      </c>
      <c r="E29" s="48" t="s">
        <v>212</v>
      </c>
      <c r="F29" s="48" t="s">
        <v>212</v>
      </c>
      <c r="G29" s="48" t="s">
        <v>212</v>
      </c>
      <c r="H29" s="48" t="s">
        <v>212</v>
      </c>
      <c r="I29" s="48" t="s">
        <v>212</v>
      </c>
      <c r="J29" s="48" t="s">
        <v>212</v>
      </c>
      <c r="K29" s="48" t="s">
        <v>212</v>
      </c>
      <c r="L29" s="48" t="s">
        <v>212</v>
      </c>
      <c r="M29" s="48" t="s">
        <v>212</v>
      </c>
      <c r="N29" s="48" t="s">
        <v>212</v>
      </c>
      <c r="O29" s="48" t="s">
        <v>212</v>
      </c>
      <c r="P29" s="48" t="s">
        <v>212</v>
      </c>
      <c r="Q29" s="48"/>
      <c r="R29" s="48"/>
      <c r="S29" s="48"/>
      <c r="T29" s="48"/>
      <c r="U29" s="48"/>
      <c r="V29" s="48" t="s">
        <v>212</v>
      </c>
      <c r="W29" s="48" t="s">
        <v>212</v>
      </c>
      <c r="X29" s="48" t="s">
        <v>212</v>
      </c>
      <c r="Y29" s="48" t="s">
        <v>212</v>
      </c>
      <c r="Z29" s="48" t="s">
        <v>282</v>
      </c>
      <c r="AA29" s="48" t="s">
        <v>212</v>
      </c>
      <c r="AB29" s="48" t="s">
        <v>212</v>
      </c>
      <c r="AC29" s="48" t="s">
        <v>212</v>
      </c>
      <c r="AD29" s="48" t="s">
        <v>212</v>
      </c>
      <c r="AE29" s="48" t="s">
        <v>207</v>
      </c>
      <c r="AF29" s="48" t="s">
        <v>293</v>
      </c>
      <c r="AG29" s="48" t="s">
        <v>248</v>
      </c>
      <c r="AH29" s="48" t="s">
        <v>212</v>
      </c>
      <c r="AI29" s="48" t="s">
        <v>295</v>
      </c>
      <c r="AJ29" s="48" t="s">
        <v>212</v>
      </c>
      <c r="AK29" s="48" t="s">
        <v>212</v>
      </c>
      <c r="AL29" s="48" t="s">
        <v>212</v>
      </c>
      <c r="AM29" s="48" t="s">
        <v>212</v>
      </c>
      <c r="AN29" s="48" t="s">
        <v>212</v>
      </c>
      <c r="AO29" s="48" t="s">
        <v>212</v>
      </c>
      <c r="AP29" s="48" t="s">
        <v>212</v>
      </c>
      <c r="AQ29" s="48" t="s">
        <v>212</v>
      </c>
      <c r="AR29" s="48" t="s">
        <v>212</v>
      </c>
      <c r="AS29" s="48" t="s">
        <v>212</v>
      </c>
      <c r="AT29" s="48" t="s">
        <v>212</v>
      </c>
      <c r="AU29" s="48" t="s">
        <v>212</v>
      </c>
      <c r="AV29" s="48" t="s">
        <v>212</v>
      </c>
      <c r="AW29" s="48" t="s">
        <v>212</v>
      </c>
      <c r="AX29" s="48" t="s">
        <v>212</v>
      </c>
      <c r="AY29" s="48" t="s">
        <v>212</v>
      </c>
      <c r="AZ29" s="48" t="s">
        <v>250</v>
      </c>
      <c r="BA29" s="48" t="s">
        <v>251</v>
      </c>
      <c r="BB29" s="48" t="s">
        <v>212</v>
      </c>
      <c r="BC29" s="48" t="s">
        <v>212</v>
      </c>
      <c r="BD29" s="48" t="s">
        <v>212</v>
      </c>
      <c r="BE29" s="48" t="s">
        <v>243</v>
      </c>
      <c r="BF29" s="48" t="s">
        <v>212</v>
      </c>
      <c r="BG29" s="48" t="s">
        <v>212</v>
      </c>
    </row>
    <row r="30" spans="1:59">
      <c r="A30" s="45" t="s">
        <v>200</v>
      </c>
      <c r="B30" s="56">
        <v>3</v>
      </c>
      <c r="C30" s="48" t="s">
        <v>212</v>
      </c>
      <c r="D30" s="48" t="s">
        <v>212</v>
      </c>
      <c r="E30" s="48" t="s">
        <v>212</v>
      </c>
      <c r="F30" s="48" t="s">
        <v>212</v>
      </c>
      <c r="G30" s="48" t="s">
        <v>212</v>
      </c>
      <c r="H30" s="48" t="s">
        <v>212</v>
      </c>
      <c r="I30" s="48" t="s">
        <v>212</v>
      </c>
      <c r="J30" s="48" t="s">
        <v>212</v>
      </c>
      <c r="K30" s="48" t="s">
        <v>212</v>
      </c>
      <c r="L30" s="48" t="s">
        <v>212</v>
      </c>
      <c r="M30" s="48" t="s">
        <v>212</v>
      </c>
      <c r="N30" s="48" t="s">
        <v>212</v>
      </c>
      <c r="O30" s="48" t="s">
        <v>212</v>
      </c>
      <c r="P30" s="48" t="s">
        <v>212</v>
      </c>
      <c r="Q30" s="48"/>
      <c r="R30" s="48"/>
      <c r="S30" s="48"/>
      <c r="T30" s="48"/>
      <c r="U30" s="48"/>
      <c r="V30" s="48" t="s">
        <v>212</v>
      </c>
      <c r="W30" s="48" t="s">
        <v>267</v>
      </c>
      <c r="X30" s="48" t="s">
        <v>228</v>
      </c>
      <c r="Y30" s="48" t="s">
        <v>212</v>
      </c>
      <c r="Z30" s="48" t="s">
        <v>212</v>
      </c>
      <c r="AA30" s="48" t="s">
        <v>230</v>
      </c>
      <c r="AB30" s="48" t="s">
        <v>247</v>
      </c>
      <c r="AC30" s="48" t="s">
        <v>226</v>
      </c>
      <c r="AD30" s="48" t="s">
        <v>243</v>
      </c>
      <c r="AE30" s="48" t="s">
        <v>212</v>
      </c>
      <c r="AF30" s="48" t="s">
        <v>212</v>
      </c>
      <c r="AG30" s="48" t="s">
        <v>212</v>
      </c>
      <c r="AH30" s="48" t="s">
        <v>239</v>
      </c>
      <c r="AI30" s="48" t="s">
        <v>212</v>
      </c>
      <c r="AJ30" s="48" t="s">
        <v>212</v>
      </c>
      <c r="AK30" s="48" t="s">
        <v>212</v>
      </c>
      <c r="AL30" s="48" t="s">
        <v>212</v>
      </c>
      <c r="AM30" s="48" t="s">
        <v>237</v>
      </c>
      <c r="AN30" s="48" t="s">
        <v>212</v>
      </c>
      <c r="AO30" s="48" t="s">
        <v>212</v>
      </c>
      <c r="AP30" s="48" t="s">
        <v>240</v>
      </c>
      <c r="AQ30" s="48" t="s">
        <v>254</v>
      </c>
      <c r="AR30" s="48" t="s">
        <v>293</v>
      </c>
      <c r="AS30" s="48" t="s">
        <v>295</v>
      </c>
      <c r="AT30" s="48" t="s">
        <v>250</v>
      </c>
      <c r="AU30" s="48" t="s">
        <v>278</v>
      </c>
      <c r="AV30" s="48" t="s">
        <v>212</v>
      </c>
      <c r="AW30" s="48" t="s">
        <v>212</v>
      </c>
      <c r="AX30" s="48" t="s">
        <v>248</v>
      </c>
      <c r="AY30" s="48" t="s">
        <v>212</v>
      </c>
      <c r="AZ30" s="48" t="s">
        <v>212</v>
      </c>
      <c r="BA30" s="48" t="s">
        <v>212</v>
      </c>
      <c r="BB30" s="48" t="s">
        <v>212</v>
      </c>
      <c r="BC30" s="48" t="s">
        <v>207</v>
      </c>
      <c r="BD30" s="48" t="s">
        <v>282</v>
      </c>
      <c r="BE30" s="48" t="s">
        <v>212</v>
      </c>
      <c r="BF30" s="48" t="s">
        <v>264</v>
      </c>
      <c r="BG30" s="48" t="s">
        <v>212</v>
      </c>
    </row>
    <row r="31" spans="1:59">
      <c r="A31" s="45"/>
      <c r="B31" s="56">
        <v>4</v>
      </c>
      <c r="C31" s="48" t="s">
        <v>212</v>
      </c>
      <c r="D31" s="48" t="s">
        <v>212</v>
      </c>
      <c r="E31" s="48" t="s">
        <v>212</v>
      </c>
      <c r="F31" s="48" t="s">
        <v>212</v>
      </c>
      <c r="G31" s="48" t="s">
        <v>212</v>
      </c>
      <c r="H31" s="48" t="s">
        <v>212</v>
      </c>
      <c r="I31" s="48" t="s">
        <v>212</v>
      </c>
      <c r="J31" s="48" t="s">
        <v>212</v>
      </c>
      <c r="K31" s="48" t="s">
        <v>212</v>
      </c>
      <c r="L31" s="48" t="s">
        <v>212</v>
      </c>
      <c r="M31" s="48" t="s">
        <v>212</v>
      </c>
      <c r="N31" s="48" t="s">
        <v>212</v>
      </c>
      <c r="O31" s="48" t="s">
        <v>212</v>
      </c>
      <c r="P31" s="48" t="s">
        <v>212</v>
      </c>
      <c r="Q31" s="48"/>
      <c r="R31" s="48"/>
      <c r="S31" s="48"/>
      <c r="T31" s="48"/>
      <c r="U31" s="48"/>
      <c r="V31" s="48" t="s">
        <v>293</v>
      </c>
      <c r="W31" s="48" t="s">
        <v>212</v>
      </c>
      <c r="X31" s="48" t="s">
        <v>212</v>
      </c>
      <c r="Y31" s="48" t="s">
        <v>212</v>
      </c>
      <c r="Z31" s="48" t="s">
        <v>212</v>
      </c>
      <c r="AA31" s="48" t="s">
        <v>212</v>
      </c>
      <c r="AB31" s="48" t="s">
        <v>212</v>
      </c>
      <c r="AC31" s="48" t="s">
        <v>212</v>
      </c>
      <c r="AD31" s="48" t="s">
        <v>212</v>
      </c>
      <c r="AE31" s="48" t="s">
        <v>212</v>
      </c>
      <c r="AF31" s="48" t="s">
        <v>212</v>
      </c>
      <c r="AG31" s="48" t="s">
        <v>212</v>
      </c>
      <c r="AH31" s="48" t="s">
        <v>212</v>
      </c>
      <c r="AI31" s="48" t="s">
        <v>212</v>
      </c>
      <c r="AJ31" s="48" t="s">
        <v>212</v>
      </c>
      <c r="AK31" s="48" t="s">
        <v>212</v>
      </c>
      <c r="AL31" s="48" t="s">
        <v>212</v>
      </c>
      <c r="AM31" s="48" t="s">
        <v>212</v>
      </c>
      <c r="AN31" s="48" t="s">
        <v>212</v>
      </c>
      <c r="AO31" s="48" t="s">
        <v>282</v>
      </c>
      <c r="AP31" s="48" t="s">
        <v>212</v>
      </c>
      <c r="AQ31" s="48" t="s">
        <v>212</v>
      </c>
      <c r="AR31" s="48" t="s">
        <v>212</v>
      </c>
      <c r="AS31" s="48" t="s">
        <v>212</v>
      </c>
      <c r="AT31" s="48" t="s">
        <v>212</v>
      </c>
      <c r="AU31" s="48" t="s">
        <v>212</v>
      </c>
      <c r="AV31" s="48" t="s">
        <v>212</v>
      </c>
      <c r="AW31" s="48" t="s">
        <v>212</v>
      </c>
      <c r="AX31" s="48" t="s">
        <v>212</v>
      </c>
      <c r="AY31" s="48" t="s">
        <v>212</v>
      </c>
      <c r="AZ31" s="48" t="s">
        <v>212</v>
      </c>
      <c r="BA31" s="48" t="s">
        <v>212</v>
      </c>
      <c r="BB31" s="48" t="s">
        <v>212</v>
      </c>
      <c r="BC31" s="48" t="s">
        <v>212</v>
      </c>
      <c r="BD31" s="48" t="s">
        <v>212</v>
      </c>
      <c r="BE31" s="48" t="s">
        <v>212</v>
      </c>
      <c r="BF31" s="48" t="s">
        <v>212</v>
      </c>
      <c r="BG31" s="48" t="s">
        <v>212</v>
      </c>
    </row>
    <row r="32" spans="1:59" ht="16" thickBot="1">
      <c r="A32" s="50"/>
      <c r="B32" s="57">
        <v>5</v>
      </c>
      <c r="C32" s="52" t="s">
        <v>212</v>
      </c>
      <c r="D32" s="52" t="s">
        <v>212</v>
      </c>
      <c r="E32" s="52" t="s">
        <v>212</v>
      </c>
      <c r="F32" s="52" t="s">
        <v>212</v>
      </c>
      <c r="G32" s="52" t="s">
        <v>212</v>
      </c>
      <c r="H32" s="52" t="s">
        <v>212</v>
      </c>
      <c r="I32" s="52" t="s">
        <v>212</v>
      </c>
      <c r="J32" s="52" t="s">
        <v>212</v>
      </c>
      <c r="K32" s="52" t="s">
        <v>212</v>
      </c>
      <c r="L32" s="52" t="s">
        <v>212</v>
      </c>
      <c r="M32" s="52" t="s">
        <v>212</v>
      </c>
      <c r="N32" s="52" t="s">
        <v>212</v>
      </c>
      <c r="O32" s="52" t="s">
        <v>212</v>
      </c>
      <c r="P32" s="52" t="s">
        <v>212</v>
      </c>
      <c r="Q32" s="52"/>
      <c r="R32" s="52"/>
      <c r="S32" s="52"/>
      <c r="T32" s="52"/>
      <c r="U32" s="52"/>
      <c r="V32" s="52" t="s">
        <v>212</v>
      </c>
      <c r="W32" s="52" t="s">
        <v>212</v>
      </c>
      <c r="X32" s="52" t="s">
        <v>212</v>
      </c>
      <c r="Y32" s="52" t="s">
        <v>212</v>
      </c>
      <c r="Z32" s="52" t="s">
        <v>212</v>
      </c>
      <c r="AA32" s="52" t="s">
        <v>212</v>
      </c>
      <c r="AB32" s="52" t="s">
        <v>212</v>
      </c>
      <c r="AC32" s="52" t="s">
        <v>212</v>
      </c>
      <c r="AD32" s="52" t="s">
        <v>212</v>
      </c>
      <c r="AE32" s="52" t="s">
        <v>212</v>
      </c>
      <c r="AF32" s="52" t="s">
        <v>212</v>
      </c>
      <c r="AG32" s="52" t="s">
        <v>212</v>
      </c>
      <c r="AH32" s="52" t="s">
        <v>212</v>
      </c>
      <c r="AI32" s="52" t="s">
        <v>212</v>
      </c>
      <c r="AJ32" s="52" t="s">
        <v>212</v>
      </c>
      <c r="AK32" s="52" t="s">
        <v>212</v>
      </c>
      <c r="AL32" s="52" t="s">
        <v>212</v>
      </c>
      <c r="AM32" s="52" t="s">
        <v>212</v>
      </c>
      <c r="AN32" s="52" t="s">
        <v>212</v>
      </c>
      <c r="AO32" s="52" t="s">
        <v>212</v>
      </c>
      <c r="AP32" s="52" t="s">
        <v>212</v>
      </c>
      <c r="AQ32" s="52" t="s">
        <v>212</v>
      </c>
      <c r="AR32" s="52" t="s">
        <v>212</v>
      </c>
      <c r="AS32" s="52" t="s">
        <v>212</v>
      </c>
      <c r="AT32" s="52" t="s">
        <v>212</v>
      </c>
      <c r="AU32" s="52" t="s">
        <v>212</v>
      </c>
      <c r="AV32" s="52" t="s">
        <v>212</v>
      </c>
      <c r="AW32" s="52" t="s">
        <v>212</v>
      </c>
      <c r="AX32" s="52" t="s">
        <v>212</v>
      </c>
      <c r="AY32" s="52" t="s">
        <v>212</v>
      </c>
      <c r="AZ32" s="52" t="s">
        <v>212</v>
      </c>
      <c r="BA32" s="52" t="s">
        <v>212</v>
      </c>
      <c r="BB32" s="52" t="s">
        <v>212</v>
      </c>
      <c r="BC32" s="52" t="s">
        <v>212</v>
      </c>
      <c r="BD32" s="52" t="s">
        <v>212</v>
      </c>
      <c r="BE32" s="52" t="s">
        <v>212</v>
      </c>
      <c r="BF32" s="52" t="s">
        <v>212</v>
      </c>
      <c r="BG32" s="52" t="s">
        <v>212</v>
      </c>
    </row>
    <row r="38" spans="1:57">
      <c r="A38" s="58" t="s">
        <v>317</v>
      </c>
      <c r="B38" s="58"/>
      <c r="C38" t="s">
        <v>186</v>
      </c>
      <c r="Y38" t="s">
        <v>184</v>
      </c>
      <c r="AP38" t="s">
        <v>300</v>
      </c>
      <c r="AQ38" t="s">
        <v>301</v>
      </c>
      <c r="AR38" t="s">
        <v>185</v>
      </c>
    </row>
    <row r="39" spans="1:57" ht="16" thickBot="1">
      <c r="A39" s="41" t="s">
        <v>187</v>
      </c>
      <c r="B39" s="42" t="s">
        <v>188</v>
      </c>
      <c r="C39" t="s">
        <v>3</v>
      </c>
      <c r="D39" t="s">
        <v>6</v>
      </c>
      <c r="E39" t="s">
        <v>94</v>
      </c>
      <c r="F39" t="s">
        <v>9</v>
      </c>
      <c r="G39" t="s">
        <v>12</v>
      </c>
      <c r="H39" t="s">
        <v>14</v>
      </c>
      <c r="I39" t="s">
        <v>95</v>
      </c>
      <c r="J39" t="s">
        <v>96</v>
      </c>
      <c r="K39" t="s">
        <v>97</v>
      </c>
      <c r="L39" t="s">
        <v>91</v>
      </c>
      <c r="M39" t="s">
        <v>92</v>
      </c>
      <c r="N39" t="s">
        <v>17</v>
      </c>
      <c r="O39" t="s">
        <v>20</v>
      </c>
      <c r="P39" t="s">
        <v>23</v>
      </c>
      <c r="Q39" t="s">
        <v>26</v>
      </c>
      <c r="R39" t="s">
        <v>93</v>
      </c>
      <c r="S39" t="s">
        <v>28</v>
      </c>
      <c r="T39" t="s">
        <v>30</v>
      </c>
      <c r="U39" t="s">
        <v>33</v>
      </c>
      <c r="V39" t="s">
        <v>36</v>
      </c>
      <c r="W39" t="s">
        <v>37</v>
      </c>
      <c r="X39" t="s">
        <v>303</v>
      </c>
      <c r="Y39" t="s">
        <v>49</v>
      </c>
      <c r="Z39" t="s">
        <v>110</v>
      </c>
      <c r="AA39" t="s">
        <v>51</v>
      </c>
      <c r="AB39" t="s">
        <v>54</v>
      </c>
      <c r="AC39" t="s">
        <v>57</v>
      </c>
      <c r="AD39" t="s">
        <v>58</v>
      </c>
      <c r="AE39" t="s">
        <v>111</v>
      </c>
      <c r="AF39" t="s">
        <v>59</v>
      </c>
      <c r="AG39" t="s">
        <v>113</v>
      </c>
      <c r="AH39" t="s">
        <v>106</v>
      </c>
      <c r="AI39" t="s">
        <v>107</v>
      </c>
      <c r="AJ39" t="s">
        <v>108</v>
      </c>
      <c r="AK39" t="s">
        <v>61</v>
      </c>
      <c r="AL39" t="s">
        <v>109</v>
      </c>
      <c r="AM39" t="s">
        <v>62</v>
      </c>
      <c r="AN39" t="s">
        <v>304</v>
      </c>
      <c r="AO39" t="s">
        <v>305</v>
      </c>
      <c r="AP39" t="s">
        <v>306</v>
      </c>
      <c r="AQ39" t="s">
        <v>307</v>
      </c>
      <c r="AR39" t="s">
        <v>40</v>
      </c>
      <c r="AS39" t="s">
        <v>101</v>
      </c>
      <c r="AT39" t="s">
        <v>41</v>
      </c>
      <c r="AU39" t="s">
        <v>42</v>
      </c>
      <c r="AV39" t="s">
        <v>44</v>
      </c>
      <c r="AW39" t="s">
        <v>102</v>
      </c>
      <c r="AX39" t="s">
        <v>103</v>
      </c>
      <c r="AY39" t="s">
        <v>104</v>
      </c>
      <c r="AZ39" t="s">
        <v>105</v>
      </c>
      <c r="BA39" t="s">
        <v>98</v>
      </c>
      <c r="BB39" t="s">
        <v>45</v>
      </c>
      <c r="BC39" t="s">
        <v>99</v>
      </c>
      <c r="BD39" t="s">
        <v>48</v>
      </c>
      <c r="BE39" t="s">
        <v>100</v>
      </c>
    </row>
    <row r="40" spans="1:57">
      <c r="A40" s="45" t="s">
        <v>189</v>
      </c>
      <c r="B40" s="46">
        <v>1</v>
      </c>
      <c r="C40" s="219" t="s">
        <v>370</v>
      </c>
      <c r="D40" s="219" t="s">
        <v>1021</v>
      </c>
      <c r="E40" t="s">
        <v>212</v>
      </c>
      <c r="F40" t="s">
        <v>283</v>
      </c>
      <c r="G40" t="s">
        <v>256</v>
      </c>
      <c r="H40" t="s">
        <v>212</v>
      </c>
      <c r="I40" s="219" t="s">
        <v>396</v>
      </c>
      <c r="J40" t="s">
        <v>246</v>
      </c>
      <c r="K40" t="s">
        <v>217</v>
      </c>
      <c r="L40" t="s">
        <v>245</v>
      </c>
      <c r="M40" s="219" t="s">
        <v>396</v>
      </c>
      <c r="N40" s="219" t="s">
        <v>396</v>
      </c>
      <c r="O40" t="s">
        <v>233</v>
      </c>
      <c r="P40" t="s">
        <v>212</v>
      </c>
      <c r="Q40" t="s">
        <v>251</v>
      </c>
      <c r="R40" s="219" t="s">
        <v>370</v>
      </c>
      <c r="S40" t="s">
        <v>241</v>
      </c>
      <c r="T40" s="58" t="e">
        <v>#N/A</v>
      </c>
      <c r="U40" t="s">
        <v>209</v>
      </c>
      <c r="V40" s="219" t="s">
        <v>396</v>
      </c>
      <c r="W40" t="s">
        <v>262</v>
      </c>
      <c r="X40" t="s">
        <v>212</v>
      </c>
      <c r="Y40" t="s">
        <v>213</v>
      </c>
      <c r="Z40" t="s">
        <v>259</v>
      </c>
      <c r="AA40" t="s">
        <v>223</v>
      </c>
      <c r="AB40" t="s">
        <v>236</v>
      </c>
      <c r="AC40" t="s">
        <v>221</v>
      </c>
      <c r="AD40" t="s">
        <v>253</v>
      </c>
      <c r="AE40" t="s">
        <v>266</v>
      </c>
      <c r="AF40" t="s">
        <v>297</v>
      </c>
      <c r="AG40" t="s">
        <v>235</v>
      </c>
      <c r="AH40" t="s">
        <v>271</v>
      </c>
      <c r="AI40" t="s">
        <v>255</v>
      </c>
      <c r="AJ40" t="s">
        <v>274</v>
      </c>
      <c r="AK40" t="s">
        <v>273</v>
      </c>
      <c r="AL40" t="s">
        <v>270</v>
      </c>
      <c r="AM40" t="s">
        <v>215</v>
      </c>
      <c r="AN40" t="s">
        <v>212</v>
      </c>
      <c r="AO40" t="s">
        <v>212</v>
      </c>
      <c r="AP40" t="s">
        <v>212</v>
      </c>
      <c r="AQ40" t="s">
        <v>212</v>
      </c>
      <c r="AR40" t="s">
        <v>226</v>
      </c>
      <c r="AS40" s="219" t="s">
        <v>340</v>
      </c>
      <c r="AT40" t="s">
        <v>228</v>
      </c>
      <c r="AU40" s="219" t="s">
        <v>381</v>
      </c>
      <c r="AV40" t="s">
        <v>260</v>
      </c>
      <c r="AW40" t="s">
        <v>232</v>
      </c>
      <c r="AX40" t="s">
        <v>212</v>
      </c>
      <c r="AY40" s="219" t="s">
        <v>381</v>
      </c>
      <c r="AZ40" s="219" t="s">
        <v>381</v>
      </c>
      <c r="BA40" t="s">
        <v>244</v>
      </c>
      <c r="BB40" s="219" t="s">
        <v>340</v>
      </c>
      <c r="BC40" t="s">
        <v>258</v>
      </c>
      <c r="BD40" t="s">
        <v>298</v>
      </c>
      <c r="BE40" s="219" t="s">
        <v>381</v>
      </c>
    </row>
    <row r="41" spans="1:57">
      <c r="A41" s="45"/>
      <c r="B41" s="49">
        <v>2</v>
      </c>
      <c r="C41" s="219" t="s">
        <v>370</v>
      </c>
      <c r="D41" s="219" t="s">
        <v>1021</v>
      </c>
      <c r="E41" t="s">
        <v>212</v>
      </c>
      <c r="F41" t="s">
        <v>283</v>
      </c>
      <c r="G41" t="s">
        <v>256</v>
      </c>
      <c r="H41" t="s">
        <v>212</v>
      </c>
      <c r="I41" s="219" t="s">
        <v>396</v>
      </c>
      <c r="J41" t="s">
        <v>246</v>
      </c>
      <c r="K41" t="s">
        <v>217</v>
      </c>
      <c r="L41" t="s">
        <v>245</v>
      </c>
      <c r="M41" s="219" t="s">
        <v>396</v>
      </c>
      <c r="N41" s="219" t="s">
        <v>396</v>
      </c>
      <c r="O41" t="s">
        <v>270</v>
      </c>
      <c r="P41" t="s">
        <v>216</v>
      </c>
      <c r="Q41" t="s">
        <v>233</v>
      </c>
      <c r="R41" s="219" t="s">
        <v>370</v>
      </c>
      <c r="S41" t="s">
        <v>241</v>
      </c>
      <c r="T41" s="58" t="e">
        <v>#N/A</v>
      </c>
      <c r="U41" t="s">
        <v>262</v>
      </c>
      <c r="V41" s="219" t="s">
        <v>396</v>
      </c>
      <c r="W41" t="s">
        <v>265</v>
      </c>
      <c r="X41" t="s">
        <v>212</v>
      </c>
      <c r="Y41" t="s">
        <v>213</v>
      </c>
      <c r="Z41" t="s">
        <v>214</v>
      </c>
      <c r="AA41" t="s">
        <v>215</v>
      </c>
      <c r="AB41" t="s">
        <v>236</v>
      </c>
      <c r="AC41" t="s">
        <v>221</v>
      </c>
      <c r="AD41" t="s">
        <v>253</v>
      </c>
      <c r="AE41" t="s">
        <v>266</v>
      </c>
      <c r="AF41" t="s">
        <v>297</v>
      </c>
      <c r="AG41" t="s">
        <v>235</v>
      </c>
      <c r="AH41" t="s">
        <v>271</v>
      </c>
      <c r="AI41" t="s">
        <v>222</v>
      </c>
      <c r="AJ41" t="s">
        <v>228</v>
      </c>
      <c r="AK41" t="s">
        <v>274</v>
      </c>
      <c r="AL41" t="s">
        <v>273</v>
      </c>
      <c r="AM41" t="s">
        <v>209</v>
      </c>
      <c r="AN41" t="s">
        <v>212</v>
      </c>
      <c r="AO41" t="s">
        <v>212</v>
      </c>
      <c r="AP41" t="s">
        <v>212</v>
      </c>
      <c r="AQ41" t="s">
        <v>212</v>
      </c>
      <c r="AR41" t="s">
        <v>226</v>
      </c>
      <c r="AS41" s="219" t="s">
        <v>340</v>
      </c>
      <c r="AT41" t="s">
        <v>223</v>
      </c>
      <c r="AU41" s="219" t="s">
        <v>381</v>
      </c>
      <c r="AV41" t="s">
        <v>260</v>
      </c>
      <c r="AW41" t="s">
        <v>232</v>
      </c>
      <c r="AX41" t="s">
        <v>212</v>
      </c>
      <c r="AY41" s="219" t="s">
        <v>381</v>
      </c>
      <c r="AZ41" s="219" t="s">
        <v>381</v>
      </c>
      <c r="BA41" t="s">
        <v>244</v>
      </c>
      <c r="BB41" s="219" t="s">
        <v>340</v>
      </c>
      <c r="BC41" t="s">
        <v>258</v>
      </c>
      <c r="BD41" t="s">
        <v>298</v>
      </c>
      <c r="BE41" s="219" t="s">
        <v>381</v>
      </c>
    </row>
    <row r="42" spans="1:57">
      <c r="A42" s="45"/>
      <c r="B42" s="49">
        <v>3</v>
      </c>
      <c r="C42" s="219" t="s">
        <v>391</v>
      </c>
      <c r="D42" t="s">
        <v>251</v>
      </c>
      <c r="E42" t="s">
        <v>212</v>
      </c>
      <c r="F42" t="s">
        <v>217</v>
      </c>
      <c r="G42" s="219" t="s">
        <v>957</v>
      </c>
      <c r="H42" t="s">
        <v>212</v>
      </c>
      <c r="I42" t="s">
        <v>271</v>
      </c>
      <c r="J42" s="219" t="s">
        <v>368</v>
      </c>
      <c r="K42" s="219" t="s">
        <v>391</v>
      </c>
      <c r="L42" t="s">
        <v>212</v>
      </c>
      <c r="M42" t="s">
        <v>262</v>
      </c>
      <c r="N42" t="s">
        <v>212</v>
      </c>
      <c r="O42" t="s">
        <v>215</v>
      </c>
      <c r="P42" t="s">
        <v>265</v>
      </c>
      <c r="Q42" t="s">
        <v>233</v>
      </c>
      <c r="R42" t="s">
        <v>212</v>
      </c>
      <c r="S42" s="219" t="s">
        <v>351</v>
      </c>
      <c r="T42" t="s">
        <v>212</v>
      </c>
      <c r="U42" s="219" t="s">
        <v>391</v>
      </c>
      <c r="V42" t="s">
        <v>286</v>
      </c>
      <c r="W42" t="s">
        <v>270</v>
      </c>
      <c r="X42" t="s">
        <v>212</v>
      </c>
      <c r="Y42" t="s">
        <v>253</v>
      </c>
      <c r="Z42" t="s">
        <v>214</v>
      </c>
      <c r="AA42" t="s">
        <v>255</v>
      </c>
      <c r="AB42" t="s">
        <v>299</v>
      </c>
      <c r="AC42" t="s">
        <v>245</v>
      </c>
      <c r="AD42" t="s">
        <v>216</v>
      </c>
      <c r="AE42" t="s">
        <v>297</v>
      </c>
      <c r="AF42" t="s">
        <v>273</v>
      </c>
      <c r="AG42" t="s">
        <v>274</v>
      </c>
      <c r="AH42" t="s">
        <v>235</v>
      </c>
      <c r="AI42" t="s">
        <v>283</v>
      </c>
      <c r="AJ42" t="s">
        <v>259</v>
      </c>
      <c r="AK42" t="s">
        <v>222</v>
      </c>
      <c r="AL42" t="s">
        <v>236</v>
      </c>
      <c r="AM42" t="s">
        <v>209</v>
      </c>
      <c r="AN42" t="s">
        <v>212</v>
      </c>
      <c r="AO42" t="s">
        <v>212</v>
      </c>
      <c r="AP42" t="s">
        <v>212</v>
      </c>
      <c r="AQ42" t="s">
        <v>212</v>
      </c>
      <c r="AR42" t="s">
        <v>212</v>
      </c>
      <c r="AS42" t="s">
        <v>212</v>
      </c>
      <c r="AT42" t="s">
        <v>223</v>
      </c>
      <c r="AU42" t="s">
        <v>212</v>
      </c>
      <c r="AV42" s="219" t="s">
        <v>375</v>
      </c>
      <c r="AW42" t="s">
        <v>212</v>
      </c>
      <c r="AX42" s="219" t="s">
        <v>375</v>
      </c>
      <c r="AY42" t="s">
        <v>298</v>
      </c>
      <c r="AZ42" t="s">
        <v>212</v>
      </c>
      <c r="BA42" t="s">
        <v>212</v>
      </c>
      <c r="BB42" t="s">
        <v>212</v>
      </c>
      <c r="BC42" t="s">
        <v>212</v>
      </c>
      <c r="BD42" t="s">
        <v>212</v>
      </c>
      <c r="BE42" t="s">
        <v>212</v>
      </c>
    </row>
    <row r="43" spans="1:57">
      <c r="A43" s="45"/>
      <c r="B43" s="49">
        <v>4</v>
      </c>
      <c r="C43" s="219" t="s">
        <v>391</v>
      </c>
      <c r="D43" t="s">
        <v>251</v>
      </c>
      <c r="E43" t="s">
        <v>212</v>
      </c>
      <c r="F43" t="s">
        <v>212</v>
      </c>
      <c r="G43" s="219" t="s">
        <v>957</v>
      </c>
      <c r="H43" t="s">
        <v>212</v>
      </c>
      <c r="I43" t="s">
        <v>271</v>
      </c>
      <c r="J43" s="219" t="s">
        <v>368</v>
      </c>
      <c r="K43" s="219" t="s">
        <v>391</v>
      </c>
      <c r="L43" t="s">
        <v>212</v>
      </c>
      <c r="M43" t="s">
        <v>212</v>
      </c>
      <c r="N43" t="s">
        <v>212</v>
      </c>
      <c r="O43" t="s">
        <v>212</v>
      </c>
      <c r="P43" t="s">
        <v>212</v>
      </c>
      <c r="Q43" t="s">
        <v>270</v>
      </c>
      <c r="R43" t="s">
        <v>212</v>
      </c>
      <c r="S43" s="219" t="s">
        <v>351</v>
      </c>
      <c r="T43" t="s">
        <v>212</v>
      </c>
      <c r="U43" s="219" t="s">
        <v>391</v>
      </c>
      <c r="V43" t="s">
        <v>286</v>
      </c>
      <c r="W43" t="s">
        <v>212</v>
      </c>
      <c r="X43" t="s">
        <v>212</v>
      </c>
      <c r="Y43" t="s">
        <v>253</v>
      </c>
      <c r="Z43" t="s">
        <v>212</v>
      </c>
      <c r="AA43" t="s">
        <v>273</v>
      </c>
      <c r="AB43" t="s">
        <v>299</v>
      </c>
      <c r="AC43" t="s">
        <v>245</v>
      </c>
      <c r="AD43" t="s">
        <v>216</v>
      </c>
      <c r="AE43" t="s">
        <v>262</v>
      </c>
      <c r="AF43" t="s">
        <v>265</v>
      </c>
      <c r="AG43" t="s">
        <v>274</v>
      </c>
      <c r="AH43" t="s">
        <v>235</v>
      </c>
      <c r="AI43" t="s">
        <v>283</v>
      </c>
      <c r="AJ43" t="s">
        <v>259</v>
      </c>
      <c r="AK43" t="s">
        <v>222</v>
      </c>
      <c r="AL43" t="s">
        <v>228</v>
      </c>
      <c r="AM43" t="s">
        <v>212</v>
      </c>
      <c r="AN43" t="s">
        <v>212</v>
      </c>
      <c r="AO43" t="s">
        <v>212</v>
      </c>
      <c r="AP43" t="s">
        <v>212</v>
      </c>
      <c r="AQ43" t="s">
        <v>212</v>
      </c>
      <c r="AR43" t="s">
        <v>212</v>
      </c>
      <c r="AS43" t="s">
        <v>212</v>
      </c>
      <c r="AT43" t="s">
        <v>212</v>
      </c>
      <c r="AU43" t="s">
        <v>212</v>
      </c>
      <c r="AV43" s="219" t="s">
        <v>375</v>
      </c>
      <c r="AW43" t="s">
        <v>212</v>
      </c>
      <c r="AX43" s="219" t="s">
        <v>375</v>
      </c>
      <c r="AY43" t="s">
        <v>298</v>
      </c>
      <c r="AZ43" t="s">
        <v>212</v>
      </c>
      <c r="BA43" t="s">
        <v>212</v>
      </c>
      <c r="BB43" t="s">
        <v>212</v>
      </c>
      <c r="BC43" t="s">
        <v>212</v>
      </c>
      <c r="BD43" t="s">
        <v>212</v>
      </c>
      <c r="BE43" t="s">
        <v>212</v>
      </c>
    </row>
    <row r="44" spans="1:57" ht="16" thickBot="1">
      <c r="A44" s="50"/>
      <c r="B44" s="51">
        <v>5</v>
      </c>
      <c r="C44" t="s">
        <v>212</v>
      </c>
      <c r="D44" t="s">
        <v>212</v>
      </c>
      <c r="E44" t="s">
        <v>212</v>
      </c>
      <c r="F44" t="s">
        <v>212</v>
      </c>
      <c r="G44" t="s">
        <v>212</v>
      </c>
      <c r="H44" t="s">
        <v>212</v>
      </c>
      <c r="I44" t="s">
        <v>212</v>
      </c>
      <c r="J44" t="s">
        <v>212</v>
      </c>
      <c r="K44" t="s">
        <v>212</v>
      </c>
      <c r="L44" t="s">
        <v>212</v>
      </c>
      <c r="M44" t="s">
        <v>212</v>
      </c>
      <c r="N44" t="s">
        <v>212</v>
      </c>
      <c r="O44" t="s">
        <v>212</v>
      </c>
      <c r="P44" t="s">
        <v>212</v>
      </c>
      <c r="Q44" t="s">
        <v>212</v>
      </c>
      <c r="R44" t="s">
        <v>212</v>
      </c>
      <c r="S44" t="s">
        <v>212</v>
      </c>
      <c r="T44" t="s">
        <v>212</v>
      </c>
      <c r="U44" t="s">
        <v>212</v>
      </c>
      <c r="V44" t="s">
        <v>212</v>
      </c>
      <c r="W44" t="s">
        <v>212</v>
      </c>
      <c r="X44" t="s">
        <v>212</v>
      </c>
      <c r="Y44" t="s">
        <v>212</v>
      </c>
      <c r="Z44" t="s">
        <v>212</v>
      </c>
      <c r="AA44" t="s">
        <v>212</v>
      </c>
      <c r="AB44" t="s">
        <v>212</v>
      </c>
      <c r="AC44" t="s">
        <v>212</v>
      </c>
      <c r="AD44" t="s">
        <v>212</v>
      </c>
      <c r="AE44" t="s">
        <v>212</v>
      </c>
      <c r="AF44" t="s">
        <v>212</v>
      </c>
      <c r="AG44" t="s">
        <v>212</v>
      </c>
      <c r="AH44" t="s">
        <v>212</v>
      </c>
      <c r="AI44" t="s">
        <v>212</v>
      </c>
      <c r="AJ44" t="s">
        <v>212</v>
      </c>
      <c r="AK44" t="s">
        <v>212</v>
      </c>
      <c r="AL44" t="s">
        <v>212</v>
      </c>
      <c r="AM44" t="s">
        <v>212</v>
      </c>
      <c r="AN44" t="s">
        <v>212</v>
      </c>
      <c r="AO44" t="s">
        <v>212</v>
      </c>
      <c r="AP44" t="s">
        <v>212</v>
      </c>
      <c r="AQ44" t="s">
        <v>212</v>
      </c>
      <c r="AR44" t="s">
        <v>212</v>
      </c>
      <c r="AS44" t="s">
        <v>212</v>
      </c>
      <c r="AT44" t="s">
        <v>212</v>
      </c>
      <c r="AU44" t="s">
        <v>212</v>
      </c>
      <c r="AV44" t="s">
        <v>212</v>
      </c>
      <c r="AW44" t="s">
        <v>212</v>
      </c>
      <c r="AX44" t="s">
        <v>212</v>
      </c>
      <c r="AY44" t="s">
        <v>212</v>
      </c>
      <c r="AZ44" t="s">
        <v>212</v>
      </c>
      <c r="BA44" t="s">
        <v>212</v>
      </c>
      <c r="BB44" t="s">
        <v>212</v>
      </c>
      <c r="BC44" t="s">
        <v>212</v>
      </c>
      <c r="BD44" t="s">
        <v>212</v>
      </c>
      <c r="BE44" t="s">
        <v>212</v>
      </c>
    </row>
    <row r="45" spans="1:57">
      <c r="A45" s="53" t="s">
        <v>191</v>
      </c>
      <c r="B45" s="54">
        <v>1</v>
      </c>
      <c r="C45" t="s">
        <v>261</v>
      </c>
      <c r="D45" t="s">
        <v>212</v>
      </c>
      <c r="E45" t="s">
        <v>239</v>
      </c>
      <c r="F45" s="219" t="s">
        <v>386</v>
      </c>
      <c r="G45" s="58" t="e">
        <v>#N/A</v>
      </c>
      <c r="H45" t="s">
        <v>286</v>
      </c>
      <c r="I45" t="s">
        <v>212</v>
      </c>
      <c r="J45" t="s">
        <v>212</v>
      </c>
      <c r="K45" t="s">
        <v>278</v>
      </c>
      <c r="L45" t="s">
        <v>263</v>
      </c>
      <c r="M45" t="s">
        <v>244</v>
      </c>
      <c r="N45" s="219" t="s">
        <v>366</v>
      </c>
      <c r="O45" s="219" t="s">
        <v>366</v>
      </c>
      <c r="P45" t="s">
        <v>220</v>
      </c>
      <c r="Q45" s="219" t="s">
        <v>386</v>
      </c>
      <c r="R45" t="s">
        <v>257</v>
      </c>
      <c r="S45" s="219" t="s">
        <v>333</v>
      </c>
      <c r="T45" t="s">
        <v>276</v>
      </c>
      <c r="U45" t="s">
        <v>312</v>
      </c>
      <c r="V45" t="s">
        <v>212</v>
      </c>
      <c r="W45" t="s">
        <v>212</v>
      </c>
      <c r="X45" t="s">
        <v>212</v>
      </c>
      <c r="Y45" t="s">
        <v>285</v>
      </c>
      <c r="Z45" t="s">
        <v>280</v>
      </c>
      <c r="AA45" t="s">
        <v>215</v>
      </c>
      <c r="AB45" t="s">
        <v>254</v>
      </c>
      <c r="AC45" t="s">
        <v>291</v>
      </c>
      <c r="AD45" t="s">
        <v>288</v>
      </c>
      <c r="AE45" t="s">
        <v>277</v>
      </c>
      <c r="AF45" t="s">
        <v>294</v>
      </c>
      <c r="AG45" t="s">
        <v>294</v>
      </c>
      <c r="AH45" t="s">
        <v>292</v>
      </c>
      <c r="AI45" t="s">
        <v>212</v>
      </c>
      <c r="AJ45" t="s">
        <v>290</v>
      </c>
      <c r="AK45" t="s">
        <v>269</v>
      </c>
      <c r="AL45" t="s">
        <v>268</v>
      </c>
      <c r="AM45" t="s">
        <v>225</v>
      </c>
      <c r="AN45" t="s">
        <v>212</v>
      </c>
      <c r="AO45" t="s">
        <v>212</v>
      </c>
      <c r="AP45" t="s">
        <v>212</v>
      </c>
      <c r="AQ45" t="s">
        <v>212</v>
      </c>
      <c r="AR45" s="58" t="e">
        <v>#N/A</v>
      </c>
      <c r="AS45" t="s">
        <v>224</v>
      </c>
      <c r="AT45" t="s">
        <v>212</v>
      </c>
      <c r="AU45" t="s">
        <v>228</v>
      </c>
      <c r="AV45" t="s">
        <v>212</v>
      </c>
      <c r="AW45" t="s">
        <v>234</v>
      </c>
      <c r="AX45" t="s">
        <v>212</v>
      </c>
      <c r="AY45" t="s">
        <v>208</v>
      </c>
      <c r="AZ45" t="s">
        <v>212</v>
      </c>
      <c r="BA45" s="58" t="e">
        <v>#N/A</v>
      </c>
      <c r="BB45" t="s">
        <v>212</v>
      </c>
      <c r="BC45" s="219" t="s">
        <v>1022</v>
      </c>
      <c r="BD45" t="s">
        <v>212</v>
      </c>
      <c r="BE45" t="s">
        <v>212</v>
      </c>
    </row>
    <row r="46" spans="1:57">
      <c r="A46" s="45" t="s">
        <v>192</v>
      </c>
      <c r="B46" s="56">
        <v>2</v>
      </c>
      <c r="C46" t="s">
        <v>261</v>
      </c>
      <c r="D46" t="s">
        <v>270</v>
      </c>
      <c r="E46" t="s">
        <v>239</v>
      </c>
      <c r="F46" s="219" t="s">
        <v>386</v>
      </c>
      <c r="G46" s="58" t="e">
        <v>#N/A</v>
      </c>
      <c r="H46" t="s">
        <v>286</v>
      </c>
      <c r="I46" t="s">
        <v>212</v>
      </c>
      <c r="J46" t="s">
        <v>212</v>
      </c>
      <c r="K46" t="s">
        <v>234</v>
      </c>
      <c r="L46" t="s">
        <v>263</v>
      </c>
      <c r="M46" t="s">
        <v>244</v>
      </c>
      <c r="N46" s="219" t="s">
        <v>366</v>
      </c>
      <c r="O46" s="219" t="s">
        <v>366</v>
      </c>
      <c r="P46" t="s">
        <v>220</v>
      </c>
      <c r="Q46" s="219" t="s">
        <v>386</v>
      </c>
      <c r="R46" s="219" t="s">
        <v>333</v>
      </c>
      <c r="S46" s="219" t="s">
        <v>333</v>
      </c>
      <c r="T46" t="s">
        <v>276</v>
      </c>
      <c r="U46" t="s">
        <v>312</v>
      </c>
      <c r="V46" t="s">
        <v>225</v>
      </c>
      <c r="W46" t="s">
        <v>231</v>
      </c>
      <c r="X46" t="s">
        <v>212</v>
      </c>
      <c r="Y46" t="s">
        <v>278</v>
      </c>
      <c r="Z46" t="s">
        <v>280</v>
      </c>
      <c r="AA46" t="s">
        <v>215</v>
      </c>
      <c r="AB46" t="s">
        <v>268</v>
      </c>
      <c r="AC46" t="s">
        <v>291</v>
      </c>
      <c r="AD46" t="s">
        <v>210</v>
      </c>
      <c r="AE46" t="s">
        <v>277</v>
      </c>
      <c r="AF46" t="s">
        <v>294</v>
      </c>
      <c r="AG46" t="s">
        <v>294</v>
      </c>
      <c r="AH46" t="s">
        <v>292</v>
      </c>
      <c r="AI46" t="s">
        <v>212</v>
      </c>
      <c r="AJ46" t="s">
        <v>290</v>
      </c>
      <c r="AK46" t="s">
        <v>218</v>
      </c>
      <c r="AL46" t="s">
        <v>288</v>
      </c>
      <c r="AM46" t="s">
        <v>285</v>
      </c>
      <c r="AN46" t="s">
        <v>212</v>
      </c>
      <c r="AO46" t="s">
        <v>212</v>
      </c>
      <c r="AP46" t="s">
        <v>212</v>
      </c>
      <c r="AQ46" t="s">
        <v>212</v>
      </c>
      <c r="AR46" s="58" t="e">
        <v>#N/A</v>
      </c>
      <c r="AS46" t="s">
        <v>224</v>
      </c>
      <c r="AT46" t="s">
        <v>212</v>
      </c>
      <c r="AU46" t="s">
        <v>228</v>
      </c>
      <c r="AV46" t="s">
        <v>212</v>
      </c>
      <c r="AW46" t="s">
        <v>227</v>
      </c>
      <c r="AX46" t="s">
        <v>212</v>
      </c>
      <c r="AY46" t="s">
        <v>269</v>
      </c>
      <c r="AZ46" t="s">
        <v>212</v>
      </c>
      <c r="BA46" s="58" t="e">
        <v>#N/A</v>
      </c>
      <c r="BB46" t="s">
        <v>212</v>
      </c>
      <c r="BC46" s="219" t="s">
        <v>1022</v>
      </c>
      <c r="BD46" t="s">
        <v>212</v>
      </c>
      <c r="BE46" t="s">
        <v>212</v>
      </c>
    </row>
    <row r="47" spans="1:57">
      <c r="A47" s="45" t="s">
        <v>191</v>
      </c>
      <c r="B47" s="56">
        <v>3</v>
      </c>
      <c r="C47" t="s">
        <v>299</v>
      </c>
      <c r="D47" t="s">
        <v>208</v>
      </c>
      <c r="E47" s="219" t="s">
        <v>334</v>
      </c>
      <c r="F47" t="s">
        <v>212</v>
      </c>
      <c r="G47" t="s">
        <v>212</v>
      </c>
      <c r="H47" s="219" t="s">
        <v>332</v>
      </c>
      <c r="I47" t="s">
        <v>231</v>
      </c>
      <c r="J47" t="s">
        <v>212</v>
      </c>
      <c r="K47" s="219" t="s">
        <v>358</v>
      </c>
      <c r="L47" t="s">
        <v>288</v>
      </c>
      <c r="M47" s="219" t="s">
        <v>958</v>
      </c>
      <c r="N47" t="s">
        <v>212</v>
      </c>
      <c r="O47" s="58" t="e">
        <v>#N/A</v>
      </c>
      <c r="P47" t="s">
        <v>263</v>
      </c>
      <c r="Q47" s="219" t="s">
        <v>363</v>
      </c>
      <c r="R47" s="219" t="s">
        <v>333</v>
      </c>
      <c r="S47" t="s">
        <v>257</v>
      </c>
      <c r="T47" t="s">
        <v>227</v>
      </c>
      <c r="U47" t="s">
        <v>212</v>
      </c>
      <c r="V47" t="s">
        <v>225</v>
      </c>
      <c r="W47" t="s">
        <v>239</v>
      </c>
      <c r="X47" t="s">
        <v>212</v>
      </c>
      <c r="Y47" t="s">
        <v>278</v>
      </c>
      <c r="Z47" t="s">
        <v>292</v>
      </c>
      <c r="AA47" t="s">
        <v>277</v>
      </c>
      <c r="AB47" t="s">
        <v>270</v>
      </c>
      <c r="AC47" t="s">
        <v>269</v>
      </c>
      <c r="AD47" t="s">
        <v>289</v>
      </c>
      <c r="AE47" t="s">
        <v>210</v>
      </c>
      <c r="AF47" t="s">
        <v>220</v>
      </c>
      <c r="AG47" t="s">
        <v>224</v>
      </c>
      <c r="AH47" t="s">
        <v>254</v>
      </c>
      <c r="AI47" t="s">
        <v>292</v>
      </c>
      <c r="AJ47" t="s">
        <v>268</v>
      </c>
      <c r="AK47" t="s">
        <v>218</v>
      </c>
      <c r="AL47" t="s">
        <v>291</v>
      </c>
      <c r="AM47" t="s">
        <v>291</v>
      </c>
      <c r="AN47" t="s">
        <v>212</v>
      </c>
      <c r="AO47" t="s">
        <v>212</v>
      </c>
      <c r="AP47" t="s">
        <v>212</v>
      </c>
      <c r="AQ47" t="s">
        <v>212</v>
      </c>
      <c r="AR47" s="219" t="s">
        <v>962</v>
      </c>
      <c r="AS47" t="s">
        <v>285</v>
      </c>
      <c r="AT47" s="219" t="s">
        <v>962</v>
      </c>
      <c r="AU47" t="s">
        <v>212</v>
      </c>
      <c r="AV47" s="219" t="s">
        <v>962</v>
      </c>
      <c r="AW47" s="219" t="s">
        <v>962</v>
      </c>
      <c r="AX47" s="219" t="s">
        <v>962</v>
      </c>
      <c r="AY47" t="s">
        <v>234</v>
      </c>
      <c r="AZ47" s="219" t="s">
        <v>962</v>
      </c>
      <c r="BA47" s="219" t="s">
        <v>962</v>
      </c>
      <c r="BB47" s="219" t="s">
        <v>962</v>
      </c>
      <c r="BC47" t="s">
        <v>212</v>
      </c>
      <c r="BD47" s="219" t="s">
        <v>962</v>
      </c>
      <c r="BE47" s="219" t="s">
        <v>962</v>
      </c>
    </row>
    <row r="48" spans="1:57">
      <c r="A48" s="45"/>
      <c r="B48" s="56">
        <v>4</v>
      </c>
      <c r="C48" t="s">
        <v>299</v>
      </c>
      <c r="D48" t="s">
        <v>212</v>
      </c>
      <c r="E48" s="219" t="s">
        <v>334</v>
      </c>
      <c r="F48" t="s">
        <v>212</v>
      </c>
      <c r="G48" t="s">
        <v>212</v>
      </c>
      <c r="H48" s="219" t="s">
        <v>332</v>
      </c>
      <c r="I48" t="s">
        <v>231</v>
      </c>
      <c r="J48" t="s">
        <v>212</v>
      </c>
      <c r="K48" s="219" t="s">
        <v>358</v>
      </c>
      <c r="L48" t="s">
        <v>288</v>
      </c>
      <c r="M48" s="219" t="s">
        <v>958</v>
      </c>
      <c r="N48" t="s">
        <v>212</v>
      </c>
      <c r="O48" s="58" t="e">
        <v>#N/A</v>
      </c>
      <c r="P48" t="s">
        <v>263</v>
      </c>
      <c r="Q48" s="219" t="s">
        <v>363</v>
      </c>
      <c r="R48" s="219" t="s">
        <v>333</v>
      </c>
      <c r="S48" t="s">
        <v>207</v>
      </c>
      <c r="T48" t="s">
        <v>208</v>
      </c>
      <c r="U48" t="s">
        <v>212</v>
      </c>
      <c r="V48" t="s">
        <v>212</v>
      </c>
      <c r="W48" t="s">
        <v>239</v>
      </c>
      <c r="X48" t="s">
        <v>212</v>
      </c>
      <c r="Y48" t="s">
        <v>212</v>
      </c>
      <c r="Z48" t="s">
        <v>292</v>
      </c>
      <c r="AA48" t="s">
        <v>277</v>
      </c>
      <c r="AB48" t="s">
        <v>225</v>
      </c>
      <c r="AC48" t="s">
        <v>269</v>
      </c>
      <c r="AD48" t="s">
        <v>289</v>
      </c>
      <c r="AE48" t="s">
        <v>285</v>
      </c>
      <c r="AF48" t="s">
        <v>220</v>
      </c>
      <c r="AG48" t="s">
        <v>224</v>
      </c>
      <c r="AH48" t="s">
        <v>254</v>
      </c>
      <c r="AI48" t="s">
        <v>292</v>
      </c>
      <c r="AJ48" t="s">
        <v>270</v>
      </c>
      <c r="AK48" t="s">
        <v>212</v>
      </c>
      <c r="AL48" t="s">
        <v>291</v>
      </c>
      <c r="AM48" t="s">
        <v>291</v>
      </c>
      <c r="AN48" t="s">
        <v>212</v>
      </c>
      <c r="AO48" t="s">
        <v>212</v>
      </c>
      <c r="AP48" t="s">
        <v>212</v>
      </c>
      <c r="AQ48" t="s">
        <v>212</v>
      </c>
      <c r="AR48" s="219" t="s">
        <v>962</v>
      </c>
      <c r="AS48" t="s">
        <v>212</v>
      </c>
      <c r="AT48" s="219" t="s">
        <v>962</v>
      </c>
      <c r="AU48" t="s">
        <v>212</v>
      </c>
      <c r="AV48" s="219" t="s">
        <v>962</v>
      </c>
      <c r="AW48" s="219" t="s">
        <v>962</v>
      </c>
      <c r="AX48" s="219" t="s">
        <v>962</v>
      </c>
      <c r="AY48" t="s">
        <v>212</v>
      </c>
      <c r="AZ48" s="219" t="s">
        <v>962</v>
      </c>
      <c r="BA48" s="219" t="s">
        <v>962</v>
      </c>
      <c r="BB48" s="219" t="s">
        <v>962</v>
      </c>
      <c r="BC48" t="s">
        <v>212</v>
      </c>
      <c r="BD48" s="219" t="s">
        <v>962</v>
      </c>
      <c r="BE48" s="219" t="s">
        <v>962</v>
      </c>
    </row>
    <row r="49" spans="1:57" ht="16" thickBot="1">
      <c r="A49" s="50"/>
      <c r="B49" s="57">
        <v>5</v>
      </c>
      <c r="C49" t="s">
        <v>212</v>
      </c>
      <c r="D49" t="s">
        <v>212</v>
      </c>
      <c r="E49" t="s">
        <v>212</v>
      </c>
      <c r="F49" t="s">
        <v>212</v>
      </c>
      <c r="G49" t="s">
        <v>212</v>
      </c>
      <c r="H49" t="s">
        <v>212</v>
      </c>
      <c r="I49" t="s">
        <v>212</v>
      </c>
      <c r="J49" t="s">
        <v>212</v>
      </c>
      <c r="K49" t="s">
        <v>212</v>
      </c>
      <c r="L49" t="s">
        <v>212</v>
      </c>
      <c r="M49" t="s">
        <v>212</v>
      </c>
      <c r="N49" t="s">
        <v>212</v>
      </c>
      <c r="O49" t="s">
        <v>212</v>
      </c>
      <c r="P49" t="s">
        <v>212</v>
      </c>
      <c r="Q49" t="s">
        <v>212</v>
      </c>
      <c r="R49" t="s">
        <v>212</v>
      </c>
      <c r="S49" t="s">
        <v>212</v>
      </c>
      <c r="T49" t="s">
        <v>212</v>
      </c>
      <c r="U49" t="s">
        <v>212</v>
      </c>
      <c r="V49" t="s">
        <v>212</v>
      </c>
      <c r="W49" t="s">
        <v>212</v>
      </c>
      <c r="X49" t="s">
        <v>212</v>
      </c>
      <c r="Y49" t="s">
        <v>212</v>
      </c>
      <c r="Z49" t="s">
        <v>212</v>
      </c>
      <c r="AA49" t="s">
        <v>212</v>
      </c>
      <c r="AB49" t="s">
        <v>212</v>
      </c>
      <c r="AC49" t="s">
        <v>212</v>
      </c>
      <c r="AD49" t="s">
        <v>212</v>
      </c>
      <c r="AE49" t="s">
        <v>212</v>
      </c>
      <c r="AF49" t="s">
        <v>212</v>
      </c>
      <c r="AG49" t="s">
        <v>212</v>
      </c>
      <c r="AH49" t="s">
        <v>212</v>
      </c>
      <c r="AI49" t="s">
        <v>212</v>
      </c>
      <c r="AJ49" t="s">
        <v>212</v>
      </c>
      <c r="AK49" t="s">
        <v>212</v>
      </c>
      <c r="AL49" t="s">
        <v>212</v>
      </c>
      <c r="AM49" t="s">
        <v>212</v>
      </c>
      <c r="AN49" t="s">
        <v>212</v>
      </c>
      <c r="AO49" t="s">
        <v>212</v>
      </c>
      <c r="AP49" t="s">
        <v>212</v>
      </c>
      <c r="AQ49" t="s">
        <v>212</v>
      </c>
      <c r="AR49" t="s">
        <v>212</v>
      </c>
      <c r="AS49" t="s">
        <v>212</v>
      </c>
      <c r="AT49" t="s">
        <v>212</v>
      </c>
      <c r="AU49" t="s">
        <v>212</v>
      </c>
      <c r="AV49" t="s">
        <v>212</v>
      </c>
      <c r="AW49" t="s">
        <v>212</v>
      </c>
      <c r="AX49" t="s">
        <v>212</v>
      </c>
      <c r="AY49" t="s">
        <v>212</v>
      </c>
      <c r="AZ49" t="s">
        <v>212</v>
      </c>
      <c r="BA49" t="s">
        <v>212</v>
      </c>
      <c r="BB49" t="s">
        <v>212</v>
      </c>
      <c r="BC49" t="s">
        <v>212</v>
      </c>
      <c r="BD49" t="s">
        <v>212</v>
      </c>
      <c r="BE49" t="s">
        <v>212</v>
      </c>
    </row>
    <row r="50" spans="1:57">
      <c r="A50" s="53" t="s">
        <v>193</v>
      </c>
      <c r="B50" s="54">
        <v>1</v>
      </c>
      <c r="C50" s="219" t="s">
        <v>1023</v>
      </c>
      <c r="D50" t="s">
        <v>212</v>
      </c>
      <c r="E50" s="219" t="s">
        <v>959</v>
      </c>
      <c r="F50" s="219" t="s">
        <v>362</v>
      </c>
      <c r="G50" s="219" t="s">
        <v>960</v>
      </c>
      <c r="H50" s="219" t="s">
        <v>332</v>
      </c>
      <c r="I50" s="219" t="s">
        <v>348</v>
      </c>
      <c r="J50" t="s">
        <v>276</v>
      </c>
      <c r="K50" s="219" t="s">
        <v>332</v>
      </c>
      <c r="L50" s="219" t="s">
        <v>331</v>
      </c>
      <c r="M50" t="s">
        <v>279</v>
      </c>
      <c r="N50" t="s">
        <v>247</v>
      </c>
      <c r="O50" t="s">
        <v>288</v>
      </c>
      <c r="P50" s="219" t="s">
        <v>329</v>
      </c>
      <c r="Q50" t="s">
        <v>270</v>
      </c>
      <c r="R50" t="s">
        <v>206</v>
      </c>
      <c r="S50" s="58" t="e">
        <v>#N/A</v>
      </c>
      <c r="T50" s="220" t="e">
        <v>#N/A</v>
      </c>
      <c r="U50" s="219" t="s">
        <v>348</v>
      </c>
      <c r="V50" s="219" t="s">
        <v>354</v>
      </c>
      <c r="W50" s="219" t="s">
        <v>353</v>
      </c>
      <c r="X50" t="s">
        <v>212</v>
      </c>
      <c r="Y50" t="s">
        <v>232</v>
      </c>
      <c r="Z50" t="s">
        <v>214</v>
      </c>
      <c r="AA50" t="s">
        <v>269</v>
      </c>
      <c r="AB50" t="s">
        <v>212</v>
      </c>
      <c r="AC50" t="s">
        <v>217</v>
      </c>
      <c r="AD50" t="s">
        <v>218</v>
      </c>
      <c r="AE50" t="s">
        <v>297</v>
      </c>
      <c r="AF50" t="s">
        <v>268</v>
      </c>
      <c r="AG50" s="219" t="s">
        <v>1024</v>
      </c>
      <c r="AH50" s="58" t="e">
        <v>#N/A</v>
      </c>
      <c r="AI50" t="s">
        <v>272</v>
      </c>
      <c r="AJ50" t="s">
        <v>271</v>
      </c>
      <c r="AK50" t="s">
        <v>249</v>
      </c>
      <c r="AL50" t="s">
        <v>236</v>
      </c>
      <c r="AM50" t="s">
        <v>285</v>
      </c>
      <c r="AN50" t="s">
        <v>212</v>
      </c>
      <c r="AO50" t="s">
        <v>212</v>
      </c>
      <c r="AP50" t="s">
        <v>212</v>
      </c>
      <c r="AQ50" t="s">
        <v>212</v>
      </c>
      <c r="AR50" t="s">
        <v>212</v>
      </c>
      <c r="AS50" t="s">
        <v>212</v>
      </c>
      <c r="AT50" t="s">
        <v>212</v>
      </c>
      <c r="AU50" t="s">
        <v>212</v>
      </c>
      <c r="AV50" t="s">
        <v>212</v>
      </c>
      <c r="AW50" t="s">
        <v>212</v>
      </c>
      <c r="AX50" t="s">
        <v>212</v>
      </c>
      <c r="AY50" t="s">
        <v>212</v>
      </c>
      <c r="AZ50" t="s">
        <v>296</v>
      </c>
      <c r="BA50" t="s">
        <v>289</v>
      </c>
      <c r="BB50" t="s">
        <v>290</v>
      </c>
      <c r="BC50" t="s">
        <v>291</v>
      </c>
      <c r="BD50" t="s">
        <v>281</v>
      </c>
      <c r="BE50" t="s">
        <v>212</v>
      </c>
    </row>
    <row r="51" spans="1:57">
      <c r="A51" s="45" t="s">
        <v>192</v>
      </c>
      <c r="B51" s="56">
        <v>2</v>
      </c>
      <c r="C51" s="219" t="s">
        <v>1023</v>
      </c>
      <c r="D51" t="s">
        <v>212</v>
      </c>
      <c r="E51" s="219" t="s">
        <v>959</v>
      </c>
      <c r="F51" s="219" t="s">
        <v>362</v>
      </c>
      <c r="G51" s="219" t="s">
        <v>960</v>
      </c>
      <c r="H51" s="219" t="s">
        <v>332</v>
      </c>
      <c r="I51" s="219" t="s">
        <v>348</v>
      </c>
      <c r="J51" t="s">
        <v>229</v>
      </c>
      <c r="K51" s="219" t="s">
        <v>332</v>
      </c>
      <c r="L51" s="219" t="s">
        <v>331</v>
      </c>
      <c r="M51" t="s">
        <v>247</v>
      </c>
      <c r="N51" t="s">
        <v>293</v>
      </c>
      <c r="O51" t="s">
        <v>281</v>
      </c>
      <c r="P51" s="219" t="s">
        <v>329</v>
      </c>
      <c r="Q51" t="s">
        <v>251</v>
      </c>
      <c r="R51" t="s">
        <v>206</v>
      </c>
      <c r="S51" s="58" t="e">
        <v>#N/A</v>
      </c>
      <c r="T51" s="220" t="e">
        <v>#N/A</v>
      </c>
      <c r="U51" s="219" t="s">
        <v>348</v>
      </c>
      <c r="V51" s="219" t="s">
        <v>354</v>
      </c>
      <c r="W51" s="219" t="s">
        <v>353</v>
      </c>
      <c r="X51" t="s">
        <v>212</v>
      </c>
      <c r="Y51" t="s">
        <v>232</v>
      </c>
      <c r="Z51" t="s">
        <v>214</v>
      </c>
      <c r="AA51" t="s">
        <v>269</v>
      </c>
      <c r="AB51" t="s">
        <v>270</v>
      </c>
      <c r="AC51" t="s">
        <v>288</v>
      </c>
      <c r="AD51" t="s">
        <v>218</v>
      </c>
      <c r="AE51" t="s">
        <v>297</v>
      </c>
      <c r="AF51" t="s">
        <v>268</v>
      </c>
      <c r="AG51" s="219" t="s">
        <v>1024</v>
      </c>
      <c r="AH51" s="58" t="e">
        <v>#N/A</v>
      </c>
      <c r="AI51" t="s">
        <v>272</v>
      </c>
      <c r="AJ51" t="s">
        <v>271</v>
      </c>
      <c r="AK51" t="s">
        <v>249</v>
      </c>
      <c r="AL51" t="s">
        <v>236</v>
      </c>
      <c r="AM51" t="s">
        <v>285</v>
      </c>
      <c r="AN51" t="s">
        <v>212</v>
      </c>
      <c r="AO51" t="s">
        <v>212</v>
      </c>
      <c r="AP51" t="s">
        <v>212</v>
      </c>
      <c r="AQ51" t="s">
        <v>212</v>
      </c>
      <c r="AR51" t="s">
        <v>212</v>
      </c>
      <c r="AS51" t="s">
        <v>212</v>
      </c>
      <c r="AT51" t="s">
        <v>212</v>
      </c>
      <c r="AU51" t="s">
        <v>212</v>
      </c>
      <c r="AV51" t="s">
        <v>212</v>
      </c>
      <c r="AW51" t="s">
        <v>212</v>
      </c>
      <c r="AX51" t="s">
        <v>212</v>
      </c>
      <c r="AY51" t="s">
        <v>212</v>
      </c>
      <c r="AZ51" t="s">
        <v>296</v>
      </c>
      <c r="BA51" t="s">
        <v>289</v>
      </c>
      <c r="BB51" t="s">
        <v>290</v>
      </c>
      <c r="BC51" t="s">
        <v>291</v>
      </c>
      <c r="BD51" t="s">
        <v>276</v>
      </c>
      <c r="BE51" t="s">
        <v>212</v>
      </c>
    </row>
    <row r="52" spans="1:57">
      <c r="A52" s="45" t="s">
        <v>194</v>
      </c>
      <c r="B52" s="56">
        <v>3</v>
      </c>
      <c r="C52" t="s">
        <v>218</v>
      </c>
      <c r="D52" s="219" t="s">
        <v>394</v>
      </c>
      <c r="E52" s="219" t="s">
        <v>389</v>
      </c>
      <c r="F52" s="219" t="s">
        <v>1025</v>
      </c>
      <c r="G52" t="s">
        <v>229</v>
      </c>
      <c r="H52" t="s">
        <v>293</v>
      </c>
      <c r="I52" s="219" t="s">
        <v>1026</v>
      </c>
      <c r="J52" s="219" t="s">
        <v>389</v>
      </c>
      <c r="K52" t="s">
        <v>261</v>
      </c>
      <c r="L52" s="219" t="s">
        <v>394</v>
      </c>
      <c r="M52" t="s">
        <v>212</v>
      </c>
      <c r="N52" s="219" t="s">
        <v>334</v>
      </c>
      <c r="O52" s="219" t="s">
        <v>394</v>
      </c>
      <c r="P52" s="219" t="s">
        <v>389</v>
      </c>
      <c r="Q52" t="s">
        <v>212</v>
      </c>
      <c r="R52" s="219" t="s">
        <v>394</v>
      </c>
      <c r="S52" t="s">
        <v>212</v>
      </c>
      <c r="T52" t="s">
        <v>217</v>
      </c>
      <c r="U52" s="219" t="s">
        <v>348</v>
      </c>
      <c r="V52" t="s">
        <v>212</v>
      </c>
      <c r="W52" t="s">
        <v>212</v>
      </c>
      <c r="X52" t="s">
        <v>212</v>
      </c>
      <c r="Y52" t="s">
        <v>251</v>
      </c>
      <c r="Z52" s="58" t="e">
        <v>#N/A</v>
      </c>
      <c r="AA52" s="219" t="s">
        <v>1027</v>
      </c>
      <c r="AB52" t="s">
        <v>236</v>
      </c>
      <c r="AC52" t="s">
        <v>281</v>
      </c>
      <c r="AD52" s="58" t="e">
        <v>#N/A</v>
      </c>
      <c r="AE52" s="219" t="s">
        <v>1028</v>
      </c>
      <c r="AF52" t="s">
        <v>297</v>
      </c>
      <c r="AG52" t="s">
        <v>279</v>
      </c>
      <c r="AH52" t="s">
        <v>271</v>
      </c>
      <c r="AI52" t="s">
        <v>249</v>
      </c>
      <c r="AJ52" t="s">
        <v>268</v>
      </c>
      <c r="AK52" t="s">
        <v>272</v>
      </c>
      <c r="AL52" t="s">
        <v>232</v>
      </c>
      <c r="AM52" t="s">
        <v>209</v>
      </c>
      <c r="AN52" t="s">
        <v>212</v>
      </c>
      <c r="AO52" t="s">
        <v>212</v>
      </c>
      <c r="AP52" t="s">
        <v>212</v>
      </c>
      <c r="AQ52" t="s">
        <v>212</v>
      </c>
      <c r="AR52" t="s">
        <v>294</v>
      </c>
      <c r="AS52" t="s">
        <v>292</v>
      </c>
      <c r="AT52" t="s">
        <v>296</v>
      </c>
      <c r="AU52" t="s">
        <v>212</v>
      </c>
      <c r="AV52" t="s">
        <v>212</v>
      </c>
      <c r="AW52" t="s">
        <v>212</v>
      </c>
      <c r="AX52" t="s">
        <v>294</v>
      </c>
      <c r="AY52" t="s">
        <v>212</v>
      </c>
      <c r="AZ52" t="s">
        <v>212</v>
      </c>
      <c r="BA52" t="s">
        <v>212</v>
      </c>
      <c r="BB52" t="s">
        <v>212</v>
      </c>
      <c r="BC52" t="s">
        <v>212</v>
      </c>
      <c r="BD52" t="s">
        <v>247</v>
      </c>
      <c r="BE52" t="s">
        <v>292</v>
      </c>
    </row>
    <row r="53" spans="1:57">
      <c r="A53" s="45"/>
      <c r="B53" s="56">
        <v>4</v>
      </c>
      <c r="C53" t="s">
        <v>281</v>
      </c>
      <c r="D53" s="219" t="s">
        <v>394</v>
      </c>
      <c r="E53" s="219" t="s">
        <v>389</v>
      </c>
      <c r="F53" s="219" t="s">
        <v>1025</v>
      </c>
      <c r="G53" t="s">
        <v>229</v>
      </c>
      <c r="H53" t="s">
        <v>279</v>
      </c>
      <c r="I53" s="219" t="s">
        <v>1026</v>
      </c>
      <c r="J53" s="219" t="s">
        <v>389</v>
      </c>
      <c r="K53" t="s">
        <v>261</v>
      </c>
      <c r="L53" s="219" t="s">
        <v>394</v>
      </c>
      <c r="M53" t="s">
        <v>212</v>
      </c>
      <c r="N53" s="219" t="s">
        <v>334</v>
      </c>
      <c r="O53" s="219" t="s">
        <v>394</v>
      </c>
      <c r="P53" s="219" t="s">
        <v>389</v>
      </c>
      <c r="Q53" t="s">
        <v>212</v>
      </c>
      <c r="R53" s="219" t="s">
        <v>394</v>
      </c>
      <c r="S53" t="s">
        <v>212</v>
      </c>
      <c r="T53" t="s">
        <v>217</v>
      </c>
      <c r="U53" s="219" t="s">
        <v>348</v>
      </c>
      <c r="V53" t="s">
        <v>212</v>
      </c>
      <c r="W53" t="s">
        <v>212</v>
      </c>
      <c r="X53" t="s">
        <v>212</v>
      </c>
      <c r="Y53" t="s">
        <v>251</v>
      </c>
      <c r="Z53" s="58" t="e">
        <v>#N/A</v>
      </c>
      <c r="AA53" s="219" t="s">
        <v>1027</v>
      </c>
      <c r="AB53" t="s">
        <v>236</v>
      </c>
      <c r="AC53" t="s">
        <v>212</v>
      </c>
      <c r="AD53" s="58" t="e">
        <v>#N/A</v>
      </c>
      <c r="AE53" s="219" t="s">
        <v>1028</v>
      </c>
      <c r="AF53" t="s">
        <v>297</v>
      </c>
      <c r="AG53" t="s">
        <v>212</v>
      </c>
      <c r="AH53" t="s">
        <v>212</v>
      </c>
      <c r="AI53" t="s">
        <v>270</v>
      </c>
      <c r="AJ53" t="s">
        <v>212</v>
      </c>
      <c r="AK53" t="s">
        <v>272</v>
      </c>
      <c r="AL53" t="s">
        <v>212</v>
      </c>
      <c r="AM53" t="s">
        <v>209</v>
      </c>
      <c r="AN53" t="s">
        <v>212</v>
      </c>
      <c r="AO53" t="s">
        <v>212</v>
      </c>
      <c r="AP53" t="s">
        <v>212</v>
      </c>
      <c r="AQ53" t="s">
        <v>212</v>
      </c>
      <c r="AR53" t="s">
        <v>294</v>
      </c>
      <c r="AS53" t="s">
        <v>292</v>
      </c>
      <c r="AT53" t="s">
        <v>296</v>
      </c>
      <c r="AU53" t="s">
        <v>212</v>
      </c>
      <c r="AV53" t="s">
        <v>212</v>
      </c>
      <c r="AW53" t="s">
        <v>212</v>
      </c>
      <c r="AX53" t="s">
        <v>294</v>
      </c>
      <c r="AY53" t="s">
        <v>212</v>
      </c>
      <c r="AZ53" t="s">
        <v>212</v>
      </c>
      <c r="BA53" t="s">
        <v>212</v>
      </c>
      <c r="BB53" t="s">
        <v>212</v>
      </c>
      <c r="BC53" t="s">
        <v>212</v>
      </c>
      <c r="BD53" t="s">
        <v>212</v>
      </c>
      <c r="BE53" t="s">
        <v>292</v>
      </c>
    </row>
    <row r="54" spans="1:57" ht="16" thickBot="1">
      <c r="A54" s="50"/>
      <c r="B54" s="57">
        <v>5</v>
      </c>
      <c r="C54" t="s">
        <v>212</v>
      </c>
      <c r="D54" t="s">
        <v>212</v>
      </c>
      <c r="E54" t="s">
        <v>212</v>
      </c>
      <c r="F54" t="s">
        <v>212</v>
      </c>
      <c r="G54" t="s">
        <v>212</v>
      </c>
      <c r="H54" t="s">
        <v>212</v>
      </c>
      <c r="I54" t="s">
        <v>212</v>
      </c>
      <c r="J54" t="s">
        <v>212</v>
      </c>
      <c r="K54" t="s">
        <v>212</v>
      </c>
      <c r="L54" t="s">
        <v>212</v>
      </c>
      <c r="M54" t="s">
        <v>212</v>
      </c>
      <c r="N54" t="s">
        <v>212</v>
      </c>
      <c r="O54" t="s">
        <v>212</v>
      </c>
      <c r="P54" t="s">
        <v>212</v>
      </c>
      <c r="Q54" t="s">
        <v>212</v>
      </c>
      <c r="R54" t="s">
        <v>212</v>
      </c>
      <c r="S54" t="s">
        <v>212</v>
      </c>
      <c r="T54" t="s">
        <v>212</v>
      </c>
      <c r="U54" t="s">
        <v>212</v>
      </c>
      <c r="V54" t="s">
        <v>212</v>
      </c>
      <c r="W54" t="s">
        <v>212</v>
      </c>
      <c r="X54" t="s">
        <v>212</v>
      </c>
      <c r="Y54" t="s">
        <v>212</v>
      </c>
      <c r="Z54" t="s">
        <v>212</v>
      </c>
      <c r="AA54" t="s">
        <v>212</v>
      </c>
      <c r="AB54" t="s">
        <v>212</v>
      </c>
      <c r="AC54" t="s">
        <v>212</v>
      </c>
      <c r="AD54" t="s">
        <v>212</v>
      </c>
      <c r="AE54" t="s">
        <v>212</v>
      </c>
      <c r="AF54" t="s">
        <v>212</v>
      </c>
      <c r="AG54" t="s">
        <v>212</v>
      </c>
      <c r="AH54" t="s">
        <v>212</v>
      </c>
      <c r="AI54" t="s">
        <v>212</v>
      </c>
      <c r="AJ54" t="s">
        <v>212</v>
      </c>
      <c r="AK54" t="s">
        <v>212</v>
      </c>
      <c r="AL54" t="s">
        <v>212</v>
      </c>
      <c r="AM54" t="s">
        <v>212</v>
      </c>
      <c r="AN54" t="s">
        <v>212</v>
      </c>
      <c r="AO54" t="s">
        <v>212</v>
      </c>
      <c r="AP54" t="s">
        <v>212</v>
      </c>
      <c r="AQ54" t="s">
        <v>212</v>
      </c>
      <c r="AR54" t="s">
        <v>212</v>
      </c>
      <c r="AS54" t="s">
        <v>212</v>
      </c>
      <c r="AT54" t="s">
        <v>212</v>
      </c>
      <c r="AU54" t="s">
        <v>212</v>
      </c>
      <c r="AV54" t="s">
        <v>212</v>
      </c>
      <c r="AW54" t="s">
        <v>212</v>
      </c>
      <c r="AX54" t="s">
        <v>212</v>
      </c>
      <c r="AY54" t="s">
        <v>212</v>
      </c>
      <c r="AZ54" t="s">
        <v>212</v>
      </c>
      <c r="BA54" t="s">
        <v>212</v>
      </c>
      <c r="BB54" t="s">
        <v>212</v>
      </c>
      <c r="BC54" t="s">
        <v>212</v>
      </c>
      <c r="BD54" t="s">
        <v>212</v>
      </c>
      <c r="BE54" t="s">
        <v>212</v>
      </c>
    </row>
    <row r="55" spans="1:57">
      <c r="A55" s="53" t="s">
        <v>195</v>
      </c>
      <c r="B55" s="54">
        <v>1</v>
      </c>
      <c r="C55" t="s">
        <v>212</v>
      </c>
      <c r="D55" t="s">
        <v>270</v>
      </c>
      <c r="E55" t="s">
        <v>263</v>
      </c>
      <c r="F55" t="s">
        <v>289</v>
      </c>
      <c r="G55" t="s">
        <v>279</v>
      </c>
      <c r="H55" t="s">
        <v>252</v>
      </c>
      <c r="I55" t="s">
        <v>243</v>
      </c>
      <c r="J55" t="s">
        <v>299</v>
      </c>
      <c r="K55" t="s">
        <v>212</v>
      </c>
      <c r="L55" t="s">
        <v>212</v>
      </c>
      <c r="M55" t="s">
        <v>275</v>
      </c>
      <c r="N55" t="s">
        <v>212</v>
      </c>
      <c r="O55" t="s">
        <v>215</v>
      </c>
      <c r="P55" t="s">
        <v>212</v>
      </c>
      <c r="Q55" t="s">
        <v>212</v>
      </c>
      <c r="R55" t="s">
        <v>296</v>
      </c>
      <c r="S55" t="s">
        <v>212</v>
      </c>
      <c r="T55" t="s">
        <v>291</v>
      </c>
      <c r="U55" t="s">
        <v>292</v>
      </c>
      <c r="V55" t="s">
        <v>212</v>
      </c>
      <c r="W55" t="s">
        <v>289</v>
      </c>
      <c r="X55" t="s">
        <v>212</v>
      </c>
      <c r="Y55" t="s">
        <v>278</v>
      </c>
      <c r="Z55" t="s">
        <v>220</v>
      </c>
      <c r="AA55" t="s">
        <v>230</v>
      </c>
      <c r="AB55" t="s">
        <v>252</v>
      </c>
      <c r="AC55" t="s">
        <v>217</v>
      </c>
      <c r="AD55" t="s">
        <v>266</v>
      </c>
      <c r="AE55" t="s">
        <v>225</v>
      </c>
      <c r="AF55" t="s">
        <v>232</v>
      </c>
      <c r="AG55" t="s">
        <v>235</v>
      </c>
      <c r="AH55" t="s">
        <v>254</v>
      </c>
      <c r="AI55" t="s">
        <v>272</v>
      </c>
      <c r="AJ55" t="s">
        <v>259</v>
      </c>
      <c r="AK55" t="s">
        <v>269</v>
      </c>
      <c r="AL55" t="s">
        <v>288</v>
      </c>
      <c r="AM55" t="s">
        <v>285</v>
      </c>
      <c r="AN55" t="s">
        <v>212</v>
      </c>
      <c r="AO55" t="s">
        <v>212</v>
      </c>
      <c r="AP55" t="s">
        <v>212</v>
      </c>
      <c r="AQ55" t="s">
        <v>212</v>
      </c>
      <c r="AR55" s="219" t="s">
        <v>372</v>
      </c>
      <c r="AS55" s="219" t="s">
        <v>372</v>
      </c>
      <c r="AT55" t="s">
        <v>213</v>
      </c>
      <c r="AU55" t="s">
        <v>247</v>
      </c>
      <c r="AV55" t="s">
        <v>256</v>
      </c>
      <c r="AW55" t="s">
        <v>242</v>
      </c>
      <c r="AX55" t="s">
        <v>298</v>
      </c>
      <c r="AY55" t="s">
        <v>226</v>
      </c>
      <c r="AZ55" t="s">
        <v>237</v>
      </c>
      <c r="BA55" t="s">
        <v>258</v>
      </c>
      <c r="BB55" t="s">
        <v>227</v>
      </c>
      <c r="BC55" t="s">
        <v>239</v>
      </c>
      <c r="BD55" t="s">
        <v>276</v>
      </c>
      <c r="BE55" t="s">
        <v>222</v>
      </c>
    </row>
    <row r="56" spans="1:57">
      <c r="A56" s="45" t="s">
        <v>192</v>
      </c>
      <c r="B56" s="56">
        <v>2</v>
      </c>
      <c r="C56" t="s">
        <v>212</v>
      </c>
      <c r="D56" t="s">
        <v>293</v>
      </c>
      <c r="E56" t="s">
        <v>263</v>
      </c>
      <c r="F56" t="s">
        <v>289</v>
      </c>
      <c r="G56" t="s">
        <v>279</v>
      </c>
      <c r="H56" t="s">
        <v>252</v>
      </c>
      <c r="I56" t="s">
        <v>243</v>
      </c>
      <c r="J56" t="s">
        <v>299</v>
      </c>
      <c r="K56" t="s">
        <v>212</v>
      </c>
      <c r="L56" t="s">
        <v>212</v>
      </c>
      <c r="M56" t="s">
        <v>275</v>
      </c>
      <c r="N56" t="s">
        <v>212</v>
      </c>
      <c r="O56" t="s">
        <v>215</v>
      </c>
      <c r="P56" t="s">
        <v>212</v>
      </c>
      <c r="Q56" t="s">
        <v>212</v>
      </c>
      <c r="R56" t="s">
        <v>296</v>
      </c>
      <c r="S56" t="s">
        <v>212</v>
      </c>
      <c r="T56" t="s">
        <v>291</v>
      </c>
      <c r="U56" t="s">
        <v>292</v>
      </c>
      <c r="V56" t="s">
        <v>212</v>
      </c>
      <c r="W56" t="s">
        <v>289</v>
      </c>
      <c r="X56" t="s">
        <v>212</v>
      </c>
      <c r="Y56" t="s">
        <v>278</v>
      </c>
      <c r="Z56" t="s">
        <v>220</v>
      </c>
      <c r="AA56" t="s">
        <v>230</v>
      </c>
      <c r="AB56" t="s">
        <v>252</v>
      </c>
      <c r="AC56" t="s">
        <v>217</v>
      </c>
      <c r="AD56" t="s">
        <v>266</v>
      </c>
      <c r="AE56" t="s">
        <v>225</v>
      </c>
      <c r="AF56" t="s">
        <v>232</v>
      </c>
      <c r="AG56" t="s">
        <v>235</v>
      </c>
      <c r="AH56" t="s">
        <v>254</v>
      </c>
      <c r="AI56" t="s">
        <v>272</v>
      </c>
      <c r="AJ56" t="s">
        <v>259</v>
      </c>
      <c r="AK56" t="s">
        <v>269</v>
      </c>
      <c r="AL56" t="s">
        <v>288</v>
      </c>
      <c r="AM56" t="s">
        <v>285</v>
      </c>
      <c r="AN56" t="s">
        <v>212</v>
      </c>
      <c r="AO56" t="s">
        <v>212</v>
      </c>
      <c r="AP56" t="s">
        <v>212</v>
      </c>
      <c r="AQ56" t="s">
        <v>212</v>
      </c>
      <c r="AR56" s="219" t="s">
        <v>372</v>
      </c>
      <c r="AS56" s="219" t="s">
        <v>372</v>
      </c>
      <c r="AT56" t="s">
        <v>213</v>
      </c>
      <c r="AU56" t="s">
        <v>269</v>
      </c>
      <c r="AV56" t="s">
        <v>256</v>
      </c>
      <c r="AW56" t="s">
        <v>242</v>
      </c>
      <c r="AX56" t="s">
        <v>222</v>
      </c>
      <c r="AY56" t="s">
        <v>226</v>
      </c>
      <c r="AZ56" t="s">
        <v>237</v>
      </c>
      <c r="BA56" t="s">
        <v>258</v>
      </c>
      <c r="BB56" t="s">
        <v>247</v>
      </c>
      <c r="BC56" t="s">
        <v>239</v>
      </c>
      <c r="BD56" t="s">
        <v>227</v>
      </c>
      <c r="BE56" t="s">
        <v>276</v>
      </c>
    </row>
    <row r="57" spans="1:57">
      <c r="A57" s="45" t="s">
        <v>196</v>
      </c>
      <c r="B57" s="56">
        <v>3</v>
      </c>
      <c r="C57" t="s">
        <v>212</v>
      </c>
      <c r="D57" s="219" t="s">
        <v>360</v>
      </c>
      <c r="E57" t="s">
        <v>299</v>
      </c>
      <c r="F57" t="s">
        <v>212</v>
      </c>
      <c r="G57" t="s">
        <v>212</v>
      </c>
      <c r="H57" s="219" t="s">
        <v>360</v>
      </c>
      <c r="I57" t="s">
        <v>212</v>
      </c>
      <c r="J57" s="219" t="s">
        <v>328</v>
      </c>
      <c r="K57" t="s">
        <v>212</v>
      </c>
      <c r="L57" t="s">
        <v>289</v>
      </c>
      <c r="M57" s="58" t="e">
        <v>#N/A</v>
      </c>
      <c r="N57" t="s">
        <v>291</v>
      </c>
      <c r="O57" t="s">
        <v>212</v>
      </c>
      <c r="P57" t="s">
        <v>292</v>
      </c>
      <c r="Q57" s="219" t="s">
        <v>363</v>
      </c>
      <c r="R57" t="s">
        <v>212</v>
      </c>
      <c r="S57" t="s">
        <v>256</v>
      </c>
      <c r="T57" t="s">
        <v>212</v>
      </c>
      <c r="U57" t="s">
        <v>212</v>
      </c>
      <c r="V57" t="s">
        <v>289</v>
      </c>
      <c r="W57" t="s">
        <v>212</v>
      </c>
      <c r="X57" t="s">
        <v>212</v>
      </c>
      <c r="Y57" t="s">
        <v>213</v>
      </c>
      <c r="Z57" t="s">
        <v>283</v>
      </c>
      <c r="AA57" t="s">
        <v>259</v>
      </c>
      <c r="AB57" t="s">
        <v>225</v>
      </c>
      <c r="AC57" t="s">
        <v>279</v>
      </c>
      <c r="AD57" t="s">
        <v>218</v>
      </c>
      <c r="AE57" t="s">
        <v>266</v>
      </c>
      <c r="AF57" t="s">
        <v>220</v>
      </c>
      <c r="AG57" t="s">
        <v>263</v>
      </c>
      <c r="AH57" t="s">
        <v>287</v>
      </c>
      <c r="AI57" t="s">
        <v>235</v>
      </c>
      <c r="AJ57" t="s">
        <v>270</v>
      </c>
      <c r="AK57" t="s">
        <v>274</v>
      </c>
      <c r="AL57" t="s">
        <v>232</v>
      </c>
      <c r="AM57" t="s">
        <v>262</v>
      </c>
      <c r="AN57" t="s">
        <v>212</v>
      </c>
      <c r="AO57" t="s">
        <v>212</v>
      </c>
      <c r="AP57" t="s">
        <v>212</v>
      </c>
      <c r="AQ57" t="s">
        <v>212</v>
      </c>
      <c r="AR57" t="s">
        <v>212</v>
      </c>
      <c r="AS57" t="s">
        <v>212</v>
      </c>
      <c r="AT57" s="58" t="e">
        <v>#N/A</v>
      </c>
      <c r="AU57" s="58" t="e">
        <v>#N/A</v>
      </c>
      <c r="AV57" s="219" t="s">
        <v>1029</v>
      </c>
      <c r="AW57" t="s">
        <v>227</v>
      </c>
      <c r="AX57" t="s">
        <v>222</v>
      </c>
      <c r="AY57" s="58" t="e">
        <v>#N/A</v>
      </c>
      <c r="AZ57" t="s">
        <v>269</v>
      </c>
      <c r="BA57" t="s">
        <v>247</v>
      </c>
      <c r="BB57" t="s">
        <v>293</v>
      </c>
      <c r="BC57" t="s">
        <v>285</v>
      </c>
      <c r="BD57" s="58" t="e">
        <v>#N/A</v>
      </c>
      <c r="BE57" t="s">
        <v>298</v>
      </c>
    </row>
    <row r="58" spans="1:57">
      <c r="A58" s="45"/>
      <c r="B58" s="56">
        <v>4</v>
      </c>
      <c r="C58" t="s">
        <v>212</v>
      </c>
      <c r="D58" s="219" t="s">
        <v>360</v>
      </c>
      <c r="E58" t="s">
        <v>299</v>
      </c>
      <c r="F58" t="s">
        <v>212</v>
      </c>
      <c r="G58" t="s">
        <v>212</v>
      </c>
      <c r="H58" s="219" t="s">
        <v>360</v>
      </c>
      <c r="I58" t="s">
        <v>212</v>
      </c>
      <c r="J58" s="219" t="s">
        <v>328</v>
      </c>
      <c r="K58" t="s">
        <v>212</v>
      </c>
      <c r="L58" t="s">
        <v>289</v>
      </c>
      <c r="M58" s="58" t="e">
        <v>#N/A</v>
      </c>
      <c r="N58" t="s">
        <v>291</v>
      </c>
      <c r="O58" t="s">
        <v>212</v>
      </c>
      <c r="P58" t="s">
        <v>292</v>
      </c>
      <c r="Q58" s="219" t="s">
        <v>363</v>
      </c>
      <c r="R58" t="s">
        <v>212</v>
      </c>
      <c r="S58" t="s">
        <v>256</v>
      </c>
      <c r="T58" t="s">
        <v>212</v>
      </c>
      <c r="U58" t="s">
        <v>212</v>
      </c>
      <c r="V58" t="s">
        <v>289</v>
      </c>
      <c r="W58" t="s">
        <v>212</v>
      </c>
      <c r="X58" t="s">
        <v>212</v>
      </c>
      <c r="Y58" t="s">
        <v>213</v>
      </c>
      <c r="Z58" t="s">
        <v>283</v>
      </c>
      <c r="AA58" t="s">
        <v>259</v>
      </c>
      <c r="AB58" t="s">
        <v>225</v>
      </c>
      <c r="AC58" t="s">
        <v>279</v>
      </c>
      <c r="AD58" t="s">
        <v>218</v>
      </c>
      <c r="AE58" t="s">
        <v>266</v>
      </c>
      <c r="AF58" t="s">
        <v>220</v>
      </c>
      <c r="AG58" t="s">
        <v>263</v>
      </c>
      <c r="AH58" t="s">
        <v>287</v>
      </c>
      <c r="AI58" t="s">
        <v>235</v>
      </c>
      <c r="AJ58" t="s">
        <v>270</v>
      </c>
      <c r="AK58" t="s">
        <v>274</v>
      </c>
      <c r="AL58" t="s">
        <v>232</v>
      </c>
      <c r="AM58" t="s">
        <v>262</v>
      </c>
      <c r="AN58" t="s">
        <v>212</v>
      </c>
      <c r="AO58" t="s">
        <v>212</v>
      </c>
      <c r="AP58" t="s">
        <v>212</v>
      </c>
      <c r="AQ58" t="s">
        <v>212</v>
      </c>
      <c r="AR58" t="s">
        <v>212</v>
      </c>
      <c r="AS58" t="s">
        <v>212</v>
      </c>
      <c r="AT58" s="58" t="e">
        <v>#N/A</v>
      </c>
      <c r="AU58" s="58" t="e">
        <v>#N/A</v>
      </c>
      <c r="AV58" s="219" t="s">
        <v>1029</v>
      </c>
      <c r="AW58" t="s">
        <v>212</v>
      </c>
      <c r="AX58" t="s">
        <v>212</v>
      </c>
      <c r="AY58" s="58" t="e">
        <v>#N/A</v>
      </c>
      <c r="AZ58" t="s">
        <v>212</v>
      </c>
      <c r="BA58" t="s">
        <v>212</v>
      </c>
      <c r="BB58" t="s">
        <v>212</v>
      </c>
      <c r="BC58" t="s">
        <v>212</v>
      </c>
      <c r="BD58" s="58" t="e">
        <v>#N/A</v>
      </c>
      <c r="BE58" t="s">
        <v>212</v>
      </c>
    </row>
    <row r="59" spans="1:57" ht="16" thickBot="1">
      <c r="A59" s="50"/>
      <c r="B59" s="57">
        <v>5</v>
      </c>
      <c r="C59" t="s">
        <v>212</v>
      </c>
      <c r="D59" t="s">
        <v>212</v>
      </c>
      <c r="E59" t="s">
        <v>212</v>
      </c>
      <c r="F59" t="s">
        <v>212</v>
      </c>
      <c r="G59" t="s">
        <v>212</v>
      </c>
      <c r="H59" t="s">
        <v>212</v>
      </c>
      <c r="I59" t="s">
        <v>212</v>
      </c>
      <c r="J59" t="s">
        <v>212</v>
      </c>
      <c r="K59" t="s">
        <v>212</v>
      </c>
      <c r="L59" t="s">
        <v>212</v>
      </c>
      <c r="M59" t="s">
        <v>212</v>
      </c>
      <c r="N59" t="s">
        <v>212</v>
      </c>
      <c r="O59" t="s">
        <v>212</v>
      </c>
      <c r="P59" t="s">
        <v>212</v>
      </c>
      <c r="Q59" t="s">
        <v>212</v>
      </c>
      <c r="R59" t="s">
        <v>212</v>
      </c>
      <c r="S59" t="s">
        <v>212</v>
      </c>
      <c r="T59" t="s">
        <v>212</v>
      </c>
      <c r="U59" t="s">
        <v>212</v>
      </c>
      <c r="V59" t="s">
        <v>212</v>
      </c>
      <c r="W59" t="s">
        <v>212</v>
      </c>
      <c r="X59" t="s">
        <v>212</v>
      </c>
      <c r="Y59" t="s">
        <v>212</v>
      </c>
      <c r="Z59" t="s">
        <v>212</v>
      </c>
      <c r="AA59" t="s">
        <v>212</v>
      </c>
      <c r="AB59" t="s">
        <v>212</v>
      </c>
      <c r="AC59" t="s">
        <v>212</v>
      </c>
      <c r="AD59" t="s">
        <v>212</v>
      </c>
      <c r="AE59" t="s">
        <v>212</v>
      </c>
      <c r="AF59" t="s">
        <v>212</v>
      </c>
      <c r="AG59" t="s">
        <v>212</v>
      </c>
      <c r="AH59" t="s">
        <v>212</v>
      </c>
      <c r="AI59" t="s">
        <v>212</v>
      </c>
      <c r="AJ59" t="s">
        <v>212</v>
      </c>
      <c r="AK59" t="s">
        <v>212</v>
      </c>
      <c r="AL59" t="s">
        <v>212</v>
      </c>
      <c r="AM59" t="s">
        <v>212</v>
      </c>
      <c r="AN59" t="s">
        <v>212</v>
      </c>
      <c r="AO59" t="s">
        <v>212</v>
      </c>
      <c r="AP59" t="s">
        <v>212</v>
      </c>
      <c r="AQ59" t="s">
        <v>212</v>
      </c>
      <c r="AR59" t="s">
        <v>212</v>
      </c>
      <c r="AS59" t="s">
        <v>212</v>
      </c>
      <c r="AT59" t="s">
        <v>212</v>
      </c>
      <c r="AU59" t="s">
        <v>212</v>
      </c>
      <c r="AV59" t="s">
        <v>212</v>
      </c>
      <c r="AW59" t="s">
        <v>212</v>
      </c>
      <c r="AX59" t="s">
        <v>212</v>
      </c>
      <c r="AY59" t="s">
        <v>212</v>
      </c>
      <c r="AZ59" t="s">
        <v>212</v>
      </c>
      <c r="BA59" t="s">
        <v>212</v>
      </c>
      <c r="BB59" t="s">
        <v>212</v>
      </c>
      <c r="BC59" t="s">
        <v>212</v>
      </c>
      <c r="BD59" t="s">
        <v>212</v>
      </c>
      <c r="BE59" t="s">
        <v>212</v>
      </c>
    </row>
    <row r="60" spans="1:57">
      <c r="A60" s="53" t="s">
        <v>197</v>
      </c>
      <c r="B60" s="54">
        <v>1</v>
      </c>
      <c r="C60" t="s">
        <v>212</v>
      </c>
      <c r="D60" t="s">
        <v>212</v>
      </c>
      <c r="E60" t="s">
        <v>212</v>
      </c>
      <c r="F60" t="s">
        <v>210</v>
      </c>
      <c r="G60" t="s">
        <v>212</v>
      </c>
      <c r="H60" t="s">
        <v>291</v>
      </c>
      <c r="I60" t="s">
        <v>294</v>
      </c>
      <c r="J60" t="s">
        <v>292</v>
      </c>
      <c r="K60" t="s">
        <v>296</v>
      </c>
      <c r="L60" t="s">
        <v>212</v>
      </c>
      <c r="M60" t="s">
        <v>212</v>
      </c>
      <c r="N60" t="s">
        <v>211</v>
      </c>
      <c r="O60" t="s">
        <v>294</v>
      </c>
      <c r="P60" s="219" t="s">
        <v>356</v>
      </c>
      <c r="Q60" s="219" t="s">
        <v>330</v>
      </c>
      <c r="R60" t="s">
        <v>206</v>
      </c>
      <c r="S60" t="s">
        <v>289</v>
      </c>
      <c r="T60" s="219" t="s">
        <v>356</v>
      </c>
      <c r="U60" t="s">
        <v>279</v>
      </c>
      <c r="V60" t="s">
        <v>262</v>
      </c>
      <c r="W60" s="58" t="e">
        <v>#N/A</v>
      </c>
      <c r="X60" t="s">
        <v>212</v>
      </c>
      <c r="Y60" t="s">
        <v>212</v>
      </c>
      <c r="Z60" t="s">
        <v>286</v>
      </c>
      <c r="AA60" t="s">
        <v>212</v>
      </c>
      <c r="AB60" t="s">
        <v>216</v>
      </c>
      <c r="AC60" t="s">
        <v>221</v>
      </c>
      <c r="AD60" t="s">
        <v>288</v>
      </c>
      <c r="AE60" t="s">
        <v>219</v>
      </c>
      <c r="AF60" t="s">
        <v>212</v>
      </c>
      <c r="AG60" t="s">
        <v>263</v>
      </c>
      <c r="AH60" t="s">
        <v>209</v>
      </c>
      <c r="AI60" t="s">
        <v>265</v>
      </c>
      <c r="AJ60" t="s">
        <v>223</v>
      </c>
      <c r="AK60" t="s">
        <v>249</v>
      </c>
      <c r="AL60" s="219" t="s">
        <v>1030</v>
      </c>
      <c r="AM60" s="58" t="e">
        <v>#N/A</v>
      </c>
      <c r="AN60" t="s">
        <v>212</v>
      </c>
      <c r="AO60" t="s">
        <v>212</v>
      </c>
      <c r="AP60" t="s">
        <v>212</v>
      </c>
      <c r="AQ60" t="s">
        <v>212</v>
      </c>
      <c r="AR60" t="s">
        <v>273</v>
      </c>
      <c r="AS60" s="219" t="s">
        <v>961</v>
      </c>
      <c r="AT60" s="219" t="s">
        <v>377</v>
      </c>
      <c r="AU60" t="s">
        <v>241</v>
      </c>
      <c r="AV60" t="s">
        <v>240</v>
      </c>
      <c r="AW60" s="219" t="s">
        <v>377</v>
      </c>
      <c r="AX60" s="219" t="s">
        <v>338</v>
      </c>
      <c r="AY60" s="219" t="s">
        <v>961</v>
      </c>
      <c r="AZ60" s="58" t="e">
        <v>#N/A</v>
      </c>
      <c r="BA60" s="219" t="s">
        <v>377</v>
      </c>
      <c r="BB60" t="s">
        <v>274</v>
      </c>
      <c r="BC60" s="219" t="s">
        <v>961</v>
      </c>
      <c r="BD60" t="s">
        <v>212</v>
      </c>
      <c r="BE60" t="s">
        <v>222</v>
      </c>
    </row>
    <row r="61" spans="1:57">
      <c r="A61" s="45" t="s">
        <v>192</v>
      </c>
      <c r="B61" s="56">
        <v>2</v>
      </c>
      <c r="C61" t="s">
        <v>212</v>
      </c>
      <c r="D61" t="s">
        <v>212</v>
      </c>
      <c r="E61" t="s">
        <v>212</v>
      </c>
      <c r="F61" t="s">
        <v>265</v>
      </c>
      <c r="G61" t="s">
        <v>212</v>
      </c>
      <c r="H61" t="s">
        <v>291</v>
      </c>
      <c r="I61" t="s">
        <v>294</v>
      </c>
      <c r="J61" t="s">
        <v>292</v>
      </c>
      <c r="K61" t="s">
        <v>296</v>
      </c>
      <c r="L61" t="s">
        <v>212</v>
      </c>
      <c r="M61" t="s">
        <v>212</v>
      </c>
      <c r="N61" t="s">
        <v>211</v>
      </c>
      <c r="O61" t="s">
        <v>294</v>
      </c>
      <c r="P61" s="219" t="s">
        <v>356</v>
      </c>
      <c r="Q61" s="219" t="s">
        <v>330</v>
      </c>
      <c r="R61" t="s">
        <v>233</v>
      </c>
      <c r="S61" t="s">
        <v>289</v>
      </c>
      <c r="T61" s="219" t="s">
        <v>356</v>
      </c>
      <c r="U61" t="s">
        <v>262</v>
      </c>
      <c r="V61" t="s">
        <v>210</v>
      </c>
      <c r="W61" s="58" t="e">
        <v>#N/A</v>
      </c>
      <c r="X61" t="s">
        <v>212</v>
      </c>
      <c r="Y61" t="s">
        <v>212</v>
      </c>
      <c r="Z61" t="s">
        <v>286</v>
      </c>
      <c r="AA61" t="s">
        <v>267</v>
      </c>
      <c r="AB61" t="s">
        <v>216</v>
      </c>
      <c r="AC61" t="s">
        <v>221</v>
      </c>
      <c r="AD61" t="s">
        <v>285</v>
      </c>
      <c r="AE61" t="s">
        <v>219</v>
      </c>
      <c r="AF61" t="s">
        <v>263</v>
      </c>
      <c r="AG61" t="s">
        <v>224</v>
      </c>
      <c r="AH61" t="s">
        <v>209</v>
      </c>
      <c r="AI61" t="s">
        <v>249</v>
      </c>
      <c r="AJ61" t="s">
        <v>223</v>
      </c>
      <c r="AK61" t="s">
        <v>273</v>
      </c>
      <c r="AL61" s="219" t="s">
        <v>1030</v>
      </c>
      <c r="AM61" s="58" t="e">
        <v>#N/A</v>
      </c>
      <c r="AN61" t="s">
        <v>212</v>
      </c>
      <c r="AO61" t="s">
        <v>212</v>
      </c>
      <c r="AP61" t="s">
        <v>212</v>
      </c>
      <c r="AQ61" t="s">
        <v>212</v>
      </c>
      <c r="AR61" t="s">
        <v>243</v>
      </c>
      <c r="AS61" s="219" t="s">
        <v>961</v>
      </c>
      <c r="AT61" s="219" t="s">
        <v>377</v>
      </c>
      <c r="AU61" t="s">
        <v>241</v>
      </c>
      <c r="AV61" t="s">
        <v>240</v>
      </c>
      <c r="AW61" s="219" t="s">
        <v>377</v>
      </c>
      <c r="AX61" s="219" t="s">
        <v>338</v>
      </c>
      <c r="AY61" s="219" t="s">
        <v>961</v>
      </c>
      <c r="AZ61" s="58" t="e">
        <v>#N/A</v>
      </c>
      <c r="BA61" s="219" t="s">
        <v>377</v>
      </c>
      <c r="BB61" t="s">
        <v>274</v>
      </c>
      <c r="BC61" s="219" t="s">
        <v>961</v>
      </c>
      <c r="BD61" t="s">
        <v>212</v>
      </c>
      <c r="BE61" t="s">
        <v>222</v>
      </c>
    </row>
    <row r="62" spans="1:57">
      <c r="A62" s="45" t="s">
        <v>198</v>
      </c>
      <c r="B62" s="56">
        <v>3</v>
      </c>
      <c r="C62" t="s">
        <v>294</v>
      </c>
      <c r="D62" t="s">
        <v>292</v>
      </c>
      <c r="E62" t="s">
        <v>296</v>
      </c>
      <c r="F62" t="s">
        <v>240</v>
      </c>
      <c r="G62" t="s">
        <v>290</v>
      </c>
      <c r="H62" t="s">
        <v>212</v>
      </c>
      <c r="I62" t="s">
        <v>212</v>
      </c>
      <c r="J62" t="s">
        <v>212</v>
      </c>
      <c r="K62" t="s">
        <v>212</v>
      </c>
      <c r="L62" s="219" t="s">
        <v>354</v>
      </c>
      <c r="M62" t="s">
        <v>290</v>
      </c>
      <c r="N62" t="s">
        <v>262</v>
      </c>
      <c r="O62" t="s">
        <v>212</v>
      </c>
      <c r="P62" t="s">
        <v>212</v>
      </c>
      <c r="Q62" t="s">
        <v>212</v>
      </c>
      <c r="R62" t="s">
        <v>273</v>
      </c>
      <c r="S62" t="s">
        <v>212</v>
      </c>
      <c r="T62" t="s">
        <v>212</v>
      </c>
      <c r="U62" t="s">
        <v>212</v>
      </c>
      <c r="V62" s="219" t="s">
        <v>354</v>
      </c>
      <c r="W62" t="s">
        <v>212</v>
      </c>
      <c r="X62" t="s">
        <v>212</v>
      </c>
      <c r="Y62" t="s">
        <v>219</v>
      </c>
      <c r="Z62" t="s">
        <v>263</v>
      </c>
      <c r="AA62" t="s">
        <v>223</v>
      </c>
      <c r="AB62" s="58" t="e">
        <v>#N/A</v>
      </c>
      <c r="AC62" s="58" t="e">
        <v>#N/A</v>
      </c>
      <c r="AD62" t="s">
        <v>210</v>
      </c>
      <c r="AE62" t="s">
        <v>285</v>
      </c>
      <c r="AF62" s="219" t="s">
        <v>1031</v>
      </c>
      <c r="AG62" t="s">
        <v>286</v>
      </c>
      <c r="AH62" t="s">
        <v>279</v>
      </c>
      <c r="AI62" t="s">
        <v>288</v>
      </c>
      <c r="AJ62" s="219" t="s">
        <v>1032</v>
      </c>
      <c r="AK62" t="s">
        <v>212</v>
      </c>
      <c r="AL62" t="s">
        <v>224</v>
      </c>
      <c r="AM62" t="s">
        <v>267</v>
      </c>
      <c r="AN62" t="s">
        <v>212</v>
      </c>
      <c r="AO62" t="s">
        <v>212</v>
      </c>
      <c r="AP62" t="s">
        <v>212</v>
      </c>
      <c r="AQ62" t="s">
        <v>212</v>
      </c>
      <c r="AR62" t="s">
        <v>233</v>
      </c>
      <c r="AS62" t="s">
        <v>274</v>
      </c>
      <c r="AT62" t="s">
        <v>212</v>
      </c>
      <c r="AU62" t="s">
        <v>211</v>
      </c>
      <c r="AV62" t="s">
        <v>265</v>
      </c>
      <c r="AW62" s="219" t="s">
        <v>339</v>
      </c>
      <c r="AX62" t="s">
        <v>206</v>
      </c>
      <c r="AY62" t="s">
        <v>212</v>
      </c>
      <c r="AZ62" t="s">
        <v>243</v>
      </c>
      <c r="BA62" t="s">
        <v>212</v>
      </c>
      <c r="BB62" s="219" t="s">
        <v>379</v>
      </c>
      <c r="BC62" s="219" t="s">
        <v>379</v>
      </c>
      <c r="BD62" s="219" t="s">
        <v>379</v>
      </c>
      <c r="BE62" s="58" t="e">
        <v>#N/A</v>
      </c>
    </row>
    <row r="63" spans="1:57">
      <c r="A63" s="45"/>
      <c r="B63" s="56">
        <v>4</v>
      </c>
      <c r="C63" t="s">
        <v>294</v>
      </c>
      <c r="D63" t="s">
        <v>292</v>
      </c>
      <c r="E63" t="s">
        <v>296</v>
      </c>
      <c r="F63" t="s">
        <v>212</v>
      </c>
      <c r="G63" t="s">
        <v>290</v>
      </c>
      <c r="H63" t="s">
        <v>212</v>
      </c>
      <c r="I63" t="s">
        <v>212</v>
      </c>
      <c r="J63" t="s">
        <v>212</v>
      </c>
      <c r="K63" t="s">
        <v>212</v>
      </c>
      <c r="L63" s="219" t="s">
        <v>354</v>
      </c>
      <c r="M63" t="s">
        <v>290</v>
      </c>
      <c r="N63" t="s">
        <v>262</v>
      </c>
      <c r="O63" t="s">
        <v>212</v>
      </c>
      <c r="P63" t="s">
        <v>212</v>
      </c>
      <c r="Q63" t="s">
        <v>212</v>
      </c>
      <c r="R63" t="s">
        <v>212</v>
      </c>
      <c r="S63" t="s">
        <v>212</v>
      </c>
      <c r="T63" t="s">
        <v>212</v>
      </c>
      <c r="U63" t="s">
        <v>212</v>
      </c>
      <c r="V63" s="219" t="s">
        <v>354</v>
      </c>
      <c r="W63" t="s">
        <v>212</v>
      </c>
      <c r="X63" t="s">
        <v>212</v>
      </c>
      <c r="Y63" t="s">
        <v>219</v>
      </c>
      <c r="Z63" t="s">
        <v>263</v>
      </c>
      <c r="AA63" t="s">
        <v>273</v>
      </c>
      <c r="AB63" s="58" t="e">
        <v>#N/A</v>
      </c>
      <c r="AC63" s="58" t="e">
        <v>#N/A</v>
      </c>
      <c r="AD63" t="s">
        <v>212</v>
      </c>
      <c r="AE63" t="s">
        <v>212</v>
      </c>
      <c r="AF63" s="219" t="s">
        <v>1031</v>
      </c>
      <c r="AG63" t="s">
        <v>286</v>
      </c>
      <c r="AH63" t="s">
        <v>279</v>
      </c>
      <c r="AI63" t="s">
        <v>212</v>
      </c>
      <c r="AJ63" s="219" t="s">
        <v>1032</v>
      </c>
      <c r="AK63" t="s">
        <v>212</v>
      </c>
      <c r="AL63" t="s">
        <v>224</v>
      </c>
      <c r="AM63" t="s">
        <v>210</v>
      </c>
      <c r="AN63" t="s">
        <v>212</v>
      </c>
      <c r="AO63" t="s">
        <v>212</v>
      </c>
      <c r="AP63" t="s">
        <v>212</v>
      </c>
      <c r="AQ63" t="s">
        <v>212</v>
      </c>
      <c r="AR63" t="s">
        <v>212</v>
      </c>
      <c r="AS63" t="s">
        <v>274</v>
      </c>
      <c r="AT63" t="s">
        <v>212</v>
      </c>
      <c r="AU63" t="s">
        <v>212</v>
      </c>
      <c r="AV63" t="s">
        <v>212</v>
      </c>
      <c r="AW63" s="219" t="s">
        <v>339</v>
      </c>
      <c r="AX63" t="s">
        <v>206</v>
      </c>
      <c r="AY63" t="s">
        <v>212</v>
      </c>
      <c r="AZ63" t="s">
        <v>233</v>
      </c>
      <c r="BA63" t="s">
        <v>212</v>
      </c>
      <c r="BB63" s="219" t="s">
        <v>379</v>
      </c>
      <c r="BC63" s="219" t="s">
        <v>379</v>
      </c>
      <c r="BD63" s="219" t="s">
        <v>379</v>
      </c>
      <c r="BE63" s="58" t="e">
        <v>#N/A</v>
      </c>
    </row>
    <row r="64" spans="1:57" ht="16" thickBot="1">
      <c r="A64" s="50"/>
      <c r="B64" s="57">
        <v>5</v>
      </c>
      <c r="C64" t="s">
        <v>212</v>
      </c>
      <c r="D64" t="s">
        <v>212</v>
      </c>
      <c r="E64" t="s">
        <v>212</v>
      </c>
      <c r="F64" t="s">
        <v>212</v>
      </c>
      <c r="G64" t="s">
        <v>212</v>
      </c>
      <c r="H64" t="s">
        <v>212</v>
      </c>
      <c r="I64" t="s">
        <v>212</v>
      </c>
      <c r="J64" t="s">
        <v>212</v>
      </c>
      <c r="K64" t="s">
        <v>212</v>
      </c>
      <c r="L64" t="s">
        <v>212</v>
      </c>
      <c r="M64" t="s">
        <v>212</v>
      </c>
      <c r="N64" t="s">
        <v>212</v>
      </c>
      <c r="O64" t="s">
        <v>212</v>
      </c>
      <c r="P64" t="s">
        <v>212</v>
      </c>
      <c r="Q64" t="s">
        <v>212</v>
      </c>
      <c r="R64" t="s">
        <v>212</v>
      </c>
      <c r="S64" t="s">
        <v>212</v>
      </c>
      <c r="T64" t="s">
        <v>212</v>
      </c>
      <c r="U64" t="s">
        <v>212</v>
      </c>
      <c r="V64" t="s">
        <v>212</v>
      </c>
      <c r="W64" t="s">
        <v>212</v>
      </c>
      <c r="X64" t="s">
        <v>212</v>
      </c>
      <c r="Y64" t="s">
        <v>212</v>
      </c>
      <c r="Z64" t="s">
        <v>212</v>
      </c>
      <c r="AA64" t="s">
        <v>212</v>
      </c>
      <c r="AB64" t="s">
        <v>212</v>
      </c>
      <c r="AC64" t="s">
        <v>212</v>
      </c>
      <c r="AD64" t="s">
        <v>212</v>
      </c>
      <c r="AE64" t="s">
        <v>212</v>
      </c>
      <c r="AF64" t="s">
        <v>212</v>
      </c>
      <c r="AG64" t="s">
        <v>212</v>
      </c>
      <c r="AH64" t="s">
        <v>212</v>
      </c>
      <c r="AI64" t="s">
        <v>212</v>
      </c>
      <c r="AJ64" t="s">
        <v>212</v>
      </c>
      <c r="AK64" t="s">
        <v>212</v>
      </c>
      <c r="AL64" t="s">
        <v>212</v>
      </c>
      <c r="AM64" t="s">
        <v>212</v>
      </c>
      <c r="AN64" t="s">
        <v>212</v>
      </c>
      <c r="AO64" t="s">
        <v>212</v>
      </c>
      <c r="AP64" t="s">
        <v>212</v>
      </c>
      <c r="AQ64" t="s">
        <v>212</v>
      </c>
      <c r="AR64" t="s">
        <v>212</v>
      </c>
      <c r="AS64" t="s">
        <v>212</v>
      </c>
      <c r="AT64" t="s">
        <v>212</v>
      </c>
      <c r="AU64" t="s">
        <v>212</v>
      </c>
      <c r="AV64" t="s">
        <v>212</v>
      </c>
      <c r="AW64" t="s">
        <v>212</v>
      </c>
      <c r="AX64" t="s">
        <v>212</v>
      </c>
      <c r="AY64" t="s">
        <v>212</v>
      </c>
      <c r="AZ64" t="s">
        <v>212</v>
      </c>
      <c r="BA64" t="s">
        <v>212</v>
      </c>
      <c r="BB64" t="s">
        <v>212</v>
      </c>
      <c r="BC64" t="s">
        <v>212</v>
      </c>
      <c r="BD64" t="s">
        <v>212</v>
      </c>
      <c r="BE64" t="s">
        <v>212</v>
      </c>
    </row>
    <row r="65" spans="1:2">
      <c r="A65" s="53" t="s">
        <v>199</v>
      </c>
      <c r="B65" s="54">
        <v>1</v>
      </c>
    </row>
    <row r="66" spans="1:2">
      <c r="A66" s="45" t="s">
        <v>192</v>
      </c>
      <c r="B66" s="56">
        <v>2</v>
      </c>
    </row>
    <row r="67" spans="1:2">
      <c r="A67" s="45" t="s">
        <v>200</v>
      </c>
      <c r="B67" s="56">
        <v>3</v>
      </c>
    </row>
    <row r="68" spans="1:2">
      <c r="A68" s="45"/>
      <c r="B68" s="56">
        <v>4</v>
      </c>
    </row>
    <row r="69" spans="1:2" ht="16" thickBot="1">
      <c r="A69" s="50"/>
      <c r="B69" s="57">
        <v>5</v>
      </c>
    </row>
  </sheetData>
  <mergeCells count="12">
    <mergeCell ref="A40:A44"/>
    <mergeCell ref="A45:A49"/>
    <mergeCell ref="A50:A54"/>
    <mergeCell ref="A55:A59"/>
    <mergeCell ref="A60:A64"/>
    <mergeCell ref="A65:A69"/>
    <mergeCell ref="A3:A7"/>
    <mergeCell ref="A8:A12"/>
    <mergeCell ref="A13:A17"/>
    <mergeCell ref="A18:A22"/>
    <mergeCell ref="A23:A27"/>
    <mergeCell ref="A28:A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C1A3-D208-2C41-A507-DC01F927D150}">
  <dimension ref="A1:BG69"/>
  <sheetViews>
    <sheetView topLeftCell="A33" workbookViewId="0">
      <selection activeCell="C39" sqref="C39:BE64"/>
    </sheetView>
  </sheetViews>
  <sheetFormatPr baseColWidth="10" defaultRowHeight="15"/>
  <sheetData>
    <row r="1" spans="1:59">
      <c r="A1" s="58" t="s">
        <v>316</v>
      </c>
      <c r="B1" s="58"/>
      <c r="C1" s="40" t="s">
        <v>184</v>
      </c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 t="s">
        <v>185</v>
      </c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 t="s">
        <v>186</v>
      </c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39"/>
      <c r="BF1" s="39"/>
      <c r="BG1" s="39"/>
    </row>
    <row r="2" spans="1:59" ht="16" thickBot="1">
      <c r="A2" s="41" t="s">
        <v>187</v>
      </c>
      <c r="B2" s="42" t="s">
        <v>188</v>
      </c>
      <c r="C2" s="43" t="s">
        <v>49</v>
      </c>
      <c r="D2" s="43" t="s">
        <v>110</v>
      </c>
      <c r="E2" s="43" t="s">
        <v>51</v>
      </c>
      <c r="F2" s="43" t="s">
        <v>54</v>
      </c>
      <c r="G2" s="43" t="s">
        <v>57</v>
      </c>
      <c r="H2" s="43" t="s">
        <v>58</v>
      </c>
      <c r="I2" s="43" t="s">
        <v>111</v>
      </c>
      <c r="J2" s="43" t="s">
        <v>59</v>
      </c>
      <c r="K2" s="43" t="s">
        <v>113</v>
      </c>
      <c r="L2" s="43" t="s">
        <v>106</v>
      </c>
      <c r="M2" s="43" t="s">
        <v>107</v>
      </c>
      <c r="N2" s="43" t="s">
        <v>108</v>
      </c>
      <c r="O2" s="43" t="s">
        <v>61</v>
      </c>
      <c r="P2" s="43" t="s">
        <v>109</v>
      </c>
      <c r="Q2" s="43" t="s">
        <v>62</v>
      </c>
      <c r="R2" s="43">
        <v>0</v>
      </c>
      <c r="S2" s="43">
        <v>0</v>
      </c>
      <c r="T2" s="43">
        <v>0</v>
      </c>
      <c r="U2" s="43">
        <v>0</v>
      </c>
      <c r="V2" s="43" t="s">
        <v>40</v>
      </c>
      <c r="W2" s="43" t="s">
        <v>101</v>
      </c>
      <c r="X2" s="43" t="s">
        <v>41</v>
      </c>
      <c r="Y2" s="43" t="s">
        <v>42</v>
      </c>
      <c r="Z2" s="43" t="s">
        <v>44</v>
      </c>
      <c r="AA2" s="43" t="s">
        <v>102</v>
      </c>
      <c r="AB2" s="43" t="s">
        <v>103</v>
      </c>
      <c r="AC2" s="43" t="s">
        <v>104</v>
      </c>
      <c r="AD2" s="43" t="s">
        <v>105</v>
      </c>
      <c r="AE2" s="43" t="s">
        <v>98</v>
      </c>
      <c r="AF2" s="43" t="s">
        <v>45</v>
      </c>
      <c r="AG2" s="43" t="s">
        <v>99</v>
      </c>
      <c r="AH2" s="43" t="s">
        <v>48</v>
      </c>
      <c r="AI2" s="43" t="s">
        <v>100</v>
      </c>
      <c r="AJ2" s="43" t="s">
        <v>202</v>
      </c>
      <c r="AK2" s="43" t="s">
        <v>203</v>
      </c>
      <c r="AL2" s="43" t="s">
        <v>204</v>
      </c>
      <c r="AM2" s="43" t="s">
        <v>3</v>
      </c>
      <c r="AN2" s="43" t="s">
        <v>6</v>
      </c>
      <c r="AO2" s="43" t="s">
        <v>94</v>
      </c>
      <c r="AP2" s="43" t="s">
        <v>9</v>
      </c>
      <c r="AQ2" s="43" t="s">
        <v>12</v>
      </c>
      <c r="AR2" s="43" t="s">
        <v>14</v>
      </c>
      <c r="AS2" s="43" t="s">
        <v>95</v>
      </c>
      <c r="AT2" s="43" t="s">
        <v>96</v>
      </c>
      <c r="AU2" s="43" t="s">
        <v>97</v>
      </c>
      <c r="AV2" s="43" t="s">
        <v>91</v>
      </c>
      <c r="AW2" s="43" t="s">
        <v>92</v>
      </c>
      <c r="AX2" s="43" t="s">
        <v>17</v>
      </c>
      <c r="AY2" s="43" t="s">
        <v>20</v>
      </c>
      <c r="AZ2" s="43" t="s">
        <v>23</v>
      </c>
      <c r="BA2" s="43" t="s">
        <v>26</v>
      </c>
      <c r="BB2" s="43" t="s">
        <v>93</v>
      </c>
      <c r="BC2" s="43" t="s">
        <v>28</v>
      </c>
      <c r="BD2" s="43" t="s">
        <v>30</v>
      </c>
      <c r="BE2" s="43" t="s">
        <v>33</v>
      </c>
      <c r="BF2" s="43" t="s">
        <v>36</v>
      </c>
      <c r="BG2" s="44" t="s">
        <v>37</v>
      </c>
    </row>
    <row r="3" spans="1:59">
      <c r="A3" s="45" t="s">
        <v>189</v>
      </c>
      <c r="B3" s="46">
        <v>1</v>
      </c>
      <c r="C3" s="47" t="s">
        <v>205</v>
      </c>
      <c r="D3" s="47" t="s">
        <v>205</v>
      </c>
      <c r="E3" s="47" t="s">
        <v>205</v>
      </c>
      <c r="F3" s="47" t="s">
        <v>205</v>
      </c>
      <c r="G3" s="47" t="s">
        <v>205</v>
      </c>
      <c r="H3" s="47" t="s">
        <v>205</v>
      </c>
      <c r="I3" s="47" t="s">
        <v>205</v>
      </c>
      <c r="J3" s="47" t="s">
        <v>205</v>
      </c>
      <c r="K3" s="47" t="s">
        <v>205</v>
      </c>
      <c r="L3" s="47" t="s">
        <v>205</v>
      </c>
      <c r="M3" s="47" t="s">
        <v>205</v>
      </c>
      <c r="N3" s="47" t="s">
        <v>205</v>
      </c>
      <c r="O3" s="47" t="s">
        <v>205</v>
      </c>
      <c r="P3" s="47" t="s">
        <v>205</v>
      </c>
      <c r="Q3" s="47" t="s">
        <v>205</v>
      </c>
      <c r="R3" s="47" t="s">
        <v>205</v>
      </c>
      <c r="S3" s="47" t="s">
        <v>205</v>
      </c>
      <c r="T3" s="47" t="s">
        <v>205</v>
      </c>
      <c r="U3" s="47" t="s">
        <v>205</v>
      </c>
      <c r="V3" s="47" t="s">
        <v>205</v>
      </c>
      <c r="W3" s="47" t="s">
        <v>205</v>
      </c>
      <c r="X3" s="47" t="s">
        <v>205</v>
      </c>
      <c r="Y3" s="47" t="s">
        <v>205</v>
      </c>
      <c r="Z3" s="47" t="s">
        <v>205</v>
      </c>
      <c r="AA3" s="47" t="s">
        <v>205</v>
      </c>
      <c r="AB3" s="47" t="s">
        <v>205</v>
      </c>
      <c r="AC3" s="47" t="s">
        <v>205</v>
      </c>
      <c r="AD3" s="47" t="s">
        <v>205</v>
      </c>
      <c r="AE3" s="47" t="s">
        <v>205</v>
      </c>
      <c r="AF3" s="47" t="s">
        <v>205</v>
      </c>
      <c r="AG3" s="47" t="s">
        <v>205</v>
      </c>
      <c r="AH3" s="47" t="s">
        <v>205</v>
      </c>
      <c r="AI3" s="47" t="s">
        <v>205</v>
      </c>
      <c r="AJ3" s="47" t="s">
        <v>205</v>
      </c>
      <c r="AK3" s="47" t="s">
        <v>205</v>
      </c>
      <c r="AL3" s="47" t="s">
        <v>205</v>
      </c>
      <c r="AM3" s="47" t="s">
        <v>205</v>
      </c>
      <c r="AN3" s="47" t="s">
        <v>205</v>
      </c>
      <c r="AO3" s="47" t="s">
        <v>205</v>
      </c>
      <c r="AP3" s="47" t="s">
        <v>205</v>
      </c>
      <c r="AQ3" s="47" t="s">
        <v>205</v>
      </c>
      <c r="AR3" s="47" t="s">
        <v>205</v>
      </c>
      <c r="AS3" s="47" t="s">
        <v>205</v>
      </c>
      <c r="AT3" s="47" t="s">
        <v>205</v>
      </c>
      <c r="AU3" s="47" t="s">
        <v>205</v>
      </c>
      <c r="AV3" s="47" t="s">
        <v>205</v>
      </c>
      <c r="AW3" s="47" t="s">
        <v>205</v>
      </c>
      <c r="AX3" s="47" t="s">
        <v>205</v>
      </c>
      <c r="AY3" s="47" t="s">
        <v>205</v>
      </c>
      <c r="AZ3" s="47" t="s">
        <v>205</v>
      </c>
      <c r="BA3" s="47" t="s">
        <v>205</v>
      </c>
      <c r="BB3" s="48" t="s">
        <v>206</v>
      </c>
      <c r="BC3" s="48" t="s">
        <v>207</v>
      </c>
      <c r="BD3" s="48" t="s">
        <v>208</v>
      </c>
      <c r="BE3" s="48" t="s">
        <v>209</v>
      </c>
      <c r="BF3" s="48" t="s">
        <v>210</v>
      </c>
      <c r="BG3" s="48" t="s">
        <v>211</v>
      </c>
    </row>
    <row r="4" spans="1:59">
      <c r="A4" s="45"/>
      <c r="B4" s="49">
        <v>2</v>
      </c>
      <c r="C4" s="48" t="s">
        <v>213</v>
      </c>
      <c r="D4" s="48" t="s">
        <v>214</v>
      </c>
      <c r="E4" s="48" t="s">
        <v>215</v>
      </c>
      <c r="F4" s="48" t="s">
        <v>216</v>
      </c>
      <c r="G4" s="48" t="s">
        <v>217</v>
      </c>
      <c r="H4" s="48" t="s">
        <v>218</v>
      </c>
      <c r="I4" s="48" t="s">
        <v>219</v>
      </c>
      <c r="J4" s="48" t="s">
        <v>220</v>
      </c>
      <c r="K4" s="48" t="s">
        <v>221</v>
      </c>
      <c r="L4" s="48" t="s">
        <v>209</v>
      </c>
      <c r="M4" s="48" t="s">
        <v>222</v>
      </c>
      <c r="N4" s="48" t="s">
        <v>223</v>
      </c>
      <c r="O4" s="48" t="s">
        <v>210</v>
      </c>
      <c r="P4" s="48" t="s">
        <v>224</v>
      </c>
      <c r="Q4" s="48" t="s">
        <v>225</v>
      </c>
      <c r="R4" s="48" t="s">
        <v>212</v>
      </c>
      <c r="S4" s="48" t="s">
        <v>212</v>
      </c>
      <c r="T4" s="48"/>
      <c r="U4" s="48"/>
      <c r="V4" s="48" t="s">
        <v>226</v>
      </c>
      <c r="W4" s="48" t="s">
        <v>227</v>
      </c>
      <c r="X4" s="48" t="s">
        <v>228</v>
      </c>
      <c r="Y4" s="48" t="s">
        <v>211</v>
      </c>
      <c r="Z4" s="48" t="s">
        <v>229</v>
      </c>
      <c r="AA4" s="48" t="s">
        <v>230</v>
      </c>
      <c r="AB4" s="48" t="s">
        <v>231</v>
      </c>
      <c r="AC4" s="48" t="s">
        <v>232</v>
      </c>
      <c r="AD4" s="48" t="s">
        <v>233</v>
      </c>
      <c r="AE4" s="48" t="s">
        <v>234</v>
      </c>
      <c r="AF4" s="48" t="s">
        <v>206</v>
      </c>
      <c r="AG4" s="48" t="s">
        <v>235</v>
      </c>
      <c r="AH4" s="48" t="s">
        <v>236</v>
      </c>
      <c r="AI4" s="48" t="s">
        <v>208</v>
      </c>
      <c r="AJ4" s="48" t="s">
        <v>212</v>
      </c>
      <c r="AK4" s="48" t="s">
        <v>212</v>
      </c>
      <c r="AL4" s="48" t="s">
        <v>212</v>
      </c>
      <c r="AM4" s="48" t="s">
        <v>237</v>
      </c>
      <c r="AN4" s="48" t="s">
        <v>238</v>
      </c>
      <c r="AO4" s="48" t="s">
        <v>239</v>
      </c>
      <c r="AP4" s="48" t="s">
        <v>240</v>
      </c>
      <c r="AQ4" s="48" t="s">
        <v>241</v>
      </c>
      <c r="AR4" s="48" t="s">
        <v>242</v>
      </c>
      <c r="AS4" s="48" t="s">
        <v>243</v>
      </c>
      <c r="AT4" s="48" t="s">
        <v>244</v>
      </c>
      <c r="AU4" s="48" t="s">
        <v>245</v>
      </c>
      <c r="AV4" s="48" t="s">
        <v>246</v>
      </c>
      <c r="AW4" s="48" t="s">
        <v>247</v>
      </c>
      <c r="AX4" s="48" t="s">
        <v>248</v>
      </c>
      <c r="AY4" s="48" t="s">
        <v>249</v>
      </c>
      <c r="AZ4" s="48" t="s">
        <v>250</v>
      </c>
      <c r="BA4" s="48" t="s">
        <v>251</v>
      </c>
      <c r="BB4" s="48" t="s">
        <v>257</v>
      </c>
      <c r="BC4" s="48" t="s">
        <v>260</v>
      </c>
      <c r="BD4" s="48" t="s">
        <v>287</v>
      </c>
      <c r="BE4" s="48" t="s">
        <v>261</v>
      </c>
      <c r="BF4" s="48" t="s">
        <v>264</v>
      </c>
      <c r="BG4" s="48" t="s">
        <v>259</v>
      </c>
    </row>
    <row r="5" spans="1:59">
      <c r="A5" s="45"/>
      <c r="B5" s="49">
        <v>3</v>
      </c>
      <c r="C5" s="48" t="s">
        <v>232</v>
      </c>
      <c r="D5" s="48" t="s">
        <v>220</v>
      </c>
      <c r="E5" s="48" t="s">
        <v>213</v>
      </c>
      <c r="F5" s="48" t="s">
        <v>252</v>
      </c>
      <c r="G5" s="48" t="s">
        <v>217</v>
      </c>
      <c r="H5" s="48" t="s">
        <v>253</v>
      </c>
      <c r="I5" s="48" t="s">
        <v>225</v>
      </c>
      <c r="J5" s="48" t="s">
        <v>245</v>
      </c>
      <c r="K5" s="48" t="s">
        <v>221</v>
      </c>
      <c r="L5" s="48" t="s">
        <v>254</v>
      </c>
      <c r="M5" s="48" t="s">
        <v>255</v>
      </c>
      <c r="N5" s="48" t="s">
        <v>223</v>
      </c>
      <c r="O5" s="48" t="s">
        <v>222</v>
      </c>
      <c r="P5" s="48" t="s">
        <v>224</v>
      </c>
      <c r="Q5" s="48" t="s">
        <v>209</v>
      </c>
      <c r="R5" s="48" t="s">
        <v>212</v>
      </c>
      <c r="S5" s="48" t="s">
        <v>212</v>
      </c>
      <c r="T5" s="48"/>
      <c r="U5" s="48"/>
      <c r="V5" s="48" t="s">
        <v>242</v>
      </c>
      <c r="W5" s="48" t="s">
        <v>229</v>
      </c>
      <c r="X5" s="48" t="s">
        <v>233</v>
      </c>
      <c r="Y5" s="48" t="s">
        <v>228</v>
      </c>
      <c r="Z5" s="48" t="s">
        <v>256</v>
      </c>
      <c r="AA5" s="48" t="s">
        <v>238</v>
      </c>
      <c r="AB5" s="48" t="s">
        <v>235</v>
      </c>
      <c r="AC5" s="48" t="s">
        <v>226</v>
      </c>
      <c r="AD5" s="48" t="s">
        <v>214</v>
      </c>
      <c r="AE5" s="48" t="s">
        <v>257</v>
      </c>
      <c r="AF5" s="48" t="s">
        <v>247</v>
      </c>
      <c r="AG5" s="48" t="s">
        <v>248</v>
      </c>
      <c r="AH5" s="48" t="s">
        <v>219</v>
      </c>
      <c r="AI5" s="48" t="s">
        <v>258</v>
      </c>
      <c r="AJ5" s="48" t="s">
        <v>212</v>
      </c>
      <c r="AK5" s="48" t="s">
        <v>212</v>
      </c>
      <c r="AL5" s="48" t="s">
        <v>212</v>
      </c>
      <c r="AM5" s="48" t="s">
        <v>243</v>
      </c>
      <c r="AN5" s="48" t="s">
        <v>251</v>
      </c>
      <c r="AO5" s="48" t="s">
        <v>218</v>
      </c>
      <c r="AP5" s="48" t="s">
        <v>250</v>
      </c>
      <c r="AQ5" s="48" t="s">
        <v>241</v>
      </c>
      <c r="AR5" s="48" t="s">
        <v>211</v>
      </c>
      <c r="AS5" s="48" t="s">
        <v>206</v>
      </c>
      <c r="AT5" s="48" t="s">
        <v>227</v>
      </c>
      <c r="AU5" s="48" t="s">
        <v>208</v>
      </c>
      <c r="AV5" s="48" t="s">
        <v>210</v>
      </c>
      <c r="AW5" s="48" t="s">
        <v>244</v>
      </c>
      <c r="AX5" s="48" t="s">
        <v>216</v>
      </c>
      <c r="AY5" s="48" t="s">
        <v>249</v>
      </c>
      <c r="AZ5" s="48" t="s">
        <v>237</v>
      </c>
      <c r="BA5" s="48" t="s">
        <v>246</v>
      </c>
      <c r="BB5" s="48" t="s">
        <v>263</v>
      </c>
      <c r="BC5" s="48" t="s">
        <v>260</v>
      </c>
      <c r="BD5" s="48" t="s">
        <v>239</v>
      </c>
      <c r="BE5" s="48" t="s">
        <v>234</v>
      </c>
      <c r="BF5" s="48" t="s">
        <v>261</v>
      </c>
      <c r="BG5" s="48" t="s">
        <v>262</v>
      </c>
    </row>
    <row r="6" spans="1:59">
      <c r="A6" s="45"/>
      <c r="B6" s="49">
        <v>4</v>
      </c>
      <c r="C6" s="48" t="s">
        <v>219</v>
      </c>
      <c r="D6" s="48" t="s">
        <v>259</v>
      </c>
      <c r="E6" s="48" t="s">
        <v>223</v>
      </c>
      <c r="F6" s="48" t="s">
        <v>225</v>
      </c>
      <c r="G6" s="48" t="s">
        <v>230</v>
      </c>
      <c r="H6" s="48" t="s">
        <v>253</v>
      </c>
      <c r="I6" s="48" t="s">
        <v>251</v>
      </c>
      <c r="J6" s="48" t="s">
        <v>245</v>
      </c>
      <c r="K6" s="48" t="s">
        <v>224</v>
      </c>
      <c r="L6" s="48" t="s">
        <v>254</v>
      </c>
      <c r="M6" s="48" t="s">
        <v>249</v>
      </c>
      <c r="N6" s="48" t="s">
        <v>228</v>
      </c>
      <c r="O6" s="48" t="s">
        <v>218</v>
      </c>
      <c r="P6" s="48" t="s">
        <v>236</v>
      </c>
      <c r="Q6" s="48" t="s">
        <v>209</v>
      </c>
      <c r="R6" s="48" t="s">
        <v>212</v>
      </c>
      <c r="S6" s="48" t="s">
        <v>212</v>
      </c>
      <c r="T6" s="48"/>
      <c r="U6" s="48"/>
      <c r="V6" s="48" t="s">
        <v>243</v>
      </c>
      <c r="W6" s="48" t="s">
        <v>229</v>
      </c>
      <c r="X6" s="48" t="s">
        <v>213</v>
      </c>
      <c r="Y6" s="48" t="s">
        <v>247</v>
      </c>
      <c r="Z6" s="48" t="s">
        <v>240</v>
      </c>
      <c r="AA6" s="48" t="s">
        <v>232</v>
      </c>
      <c r="AB6" s="48" t="s">
        <v>222</v>
      </c>
      <c r="AC6" s="48" t="s">
        <v>244</v>
      </c>
      <c r="AD6" s="48" t="s">
        <v>214</v>
      </c>
      <c r="AE6" s="48" t="s">
        <v>257</v>
      </c>
      <c r="AF6" s="48" t="s">
        <v>241</v>
      </c>
      <c r="AG6" s="48" t="s">
        <v>227</v>
      </c>
      <c r="AH6" s="48" t="s">
        <v>234</v>
      </c>
      <c r="AI6" s="48" t="s">
        <v>258</v>
      </c>
      <c r="AJ6" s="48" t="s">
        <v>212</v>
      </c>
      <c r="AK6" s="48" t="s">
        <v>212</v>
      </c>
      <c r="AL6" s="48" t="s">
        <v>212</v>
      </c>
      <c r="AM6" s="48" t="s">
        <v>260</v>
      </c>
      <c r="AN6" s="48" t="s">
        <v>231</v>
      </c>
      <c r="AO6" s="48" t="s">
        <v>221</v>
      </c>
      <c r="AP6" s="48" t="s">
        <v>217</v>
      </c>
      <c r="AQ6" s="48" t="s">
        <v>261</v>
      </c>
      <c r="AR6" s="48" t="s">
        <v>226</v>
      </c>
      <c r="AS6" s="48" t="s">
        <v>206</v>
      </c>
      <c r="AT6" s="48" t="s">
        <v>238</v>
      </c>
      <c r="AU6" s="48" t="s">
        <v>208</v>
      </c>
      <c r="AV6" s="48" t="s">
        <v>237</v>
      </c>
      <c r="AW6" s="48" t="s">
        <v>262</v>
      </c>
      <c r="AX6" s="48" t="s">
        <v>263</v>
      </c>
      <c r="AY6" s="48" t="s">
        <v>264</v>
      </c>
      <c r="AZ6" s="48" t="s">
        <v>220</v>
      </c>
      <c r="BA6" s="48" t="s">
        <v>246</v>
      </c>
      <c r="BB6" s="48" t="s">
        <v>233</v>
      </c>
      <c r="BC6" s="48" t="s">
        <v>255</v>
      </c>
      <c r="BD6" s="48" t="s">
        <v>239</v>
      </c>
      <c r="BE6" s="48" t="s">
        <v>287</v>
      </c>
      <c r="BF6" s="48" t="s">
        <v>210</v>
      </c>
      <c r="BG6" s="48" t="s">
        <v>211</v>
      </c>
    </row>
    <row r="7" spans="1:59" ht="16" thickBot="1">
      <c r="A7" s="50"/>
      <c r="B7" s="51">
        <v>5</v>
      </c>
      <c r="C7" s="52" t="s">
        <v>212</v>
      </c>
      <c r="D7" s="52" t="s">
        <v>212</v>
      </c>
      <c r="E7" s="52" t="s">
        <v>212</v>
      </c>
      <c r="F7" s="52" t="s">
        <v>212</v>
      </c>
      <c r="G7" s="52" t="s">
        <v>212</v>
      </c>
      <c r="H7" s="52" t="s">
        <v>212</v>
      </c>
      <c r="I7" s="52" t="s">
        <v>212</v>
      </c>
      <c r="J7" s="52" t="s">
        <v>212</v>
      </c>
      <c r="K7" s="52" t="s">
        <v>212</v>
      </c>
      <c r="L7" s="52" t="s">
        <v>212</v>
      </c>
      <c r="M7" s="52" t="s">
        <v>212</v>
      </c>
      <c r="N7" s="52" t="s">
        <v>212</v>
      </c>
      <c r="O7" s="52" t="s">
        <v>212</v>
      </c>
      <c r="P7" s="52" t="s">
        <v>212</v>
      </c>
      <c r="Q7" s="52" t="s">
        <v>212</v>
      </c>
      <c r="R7" s="52" t="s">
        <v>212</v>
      </c>
      <c r="S7" s="52" t="s">
        <v>212</v>
      </c>
      <c r="T7" s="52"/>
      <c r="U7" s="52"/>
      <c r="V7" s="52" t="s">
        <v>212</v>
      </c>
      <c r="W7" s="52" t="s">
        <v>212</v>
      </c>
      <c r="X7" s="52" t="s">
        <v>212</v>
      </c>
      <c r="Y7" s="52" t="s">
        <v>212</v>
      </c>
      <c r="Z7" s="52" t="s">
        <v>212</v>
      </c>
      <c r="AA7" s="52" t="s">
        <v>212</v>
      </c>
      <c r="AB7" s="52" t="s">
        <v>212</v>
      </c>
      <c r="AC7" s="52" t="s">
        <v>212</v>
      </c>
      <c r="AD7" s="52" t="s">
        <v>212</v>
      </c>
      <c r="AE7" s="52" t="s">
        <v>212</v>
      </c>
      <c r="AF7" s="52" t="s">
        <v>212</v>
      </c>
      <c r="AG7" s="52" t="s">
        <v>212</v>
      </c>
      <c r="AH7" s="52" t="s">
        <v>212</v>
      </c>
      <c r="AI7" s="52" t="s">
        <v>212</v>
      </c>
      <c r="AJ7" s="52" t="s">
        <v>212</v>
      </c>
      <c r="AK7" s="52" t="s">
        <v>212</v>
      </c>
      <c r="AL7" s="52" t="s">
        <v>212</v>
      </c>
      <c r="AM7" s="52" t="s">
        <v>212</v>
      </c>
      <c r="AN7" s="52" t="s">
        <v>212</v>
      </c>
      <c r="AO7" s="52" t="s">
        <v>212</v>
      </c>
      <c r="AP7" s="52" t="s">
        <v>212</v>
      </c>
      <c r="AQ7" s="52" t="s">
        <v>212</v>
      </c>
      <c r="AR7" s="52" t="s">
        <v>212</v>
      </c>
      <c r="AS7" s="52" t="s">
        <v>212</v>
      </c>
      <c r="AT7" s="52" t="s">
        <v>212</v>
      </c>
      <c r="AU7" s="52" t="s">
        <v>212</v>
      </c>
      <c r="AV7" s="52" t="s">
        <v>212</v>
      </c>
      <c r="AW7" s="52" t="s">
        <v>212</v>
      </c>
      <c r="AX7" s="52" t="s">
        <v>212</v>
      </c>
      <c r="AY7" s="52" t="s">
        <v>212</v>
      </c>
      <c r="AZ7" s="52" t="s">
        <v>212</v>
      </c>
      <c r="BA7" s="52" t="s">
        <v>212</v>
      </c>
      <c r="BB7" s="52" t="s">
        <v>212</v>
      </c>
      <c r="BC7" s="52" t="s">
        <v>212</v>
      </c>
      <c r="BD7" s="52" t="s">
        <v>212</v>
      </c>
      <c r="BE7" s="52" t="s">
        <v>212</v>
      </c>
      <c r="BF7" s="52" t="s">
        <v>212</v>
      </c>
      <c r="BG7" s="52" t="s">
        <v>212</v>
      </c>
    </row>
    <row r="8" spans="1:59">
      <c r="A8" s="53" t="s">
        <v>191</v>
      </c>
      <c r="B8" s="54">
        <v>1</v>
      </c>
      <c r="C8" s="55" t="s">
        <v>213</v>
      </c>
      <c r="D8" s="55" t="s">
        <v>228</v>
      </c>
      <c r="E8" s="55" t="s">
        <v>252</v>
      </c>
      <c r="F8" s="55" t="s">
        <v>265</v>
      </c>
      <c r="G8" s="55" t="s">
        <v>245</v>
      </c>
      <c r="H8" s="55" t="s">
        <v>266</v>
      </c>
      <c r="I8" s="55" t="s">
        <v>267</v>
      </c>
      <c r="J8" s="55" t="s">
        <v>268</v>
      </c>
      <c r="K8" s="55" t="s">
        <v>230</v>
      </c>
      <c r="L8" s="55" t="s">
        <v>269</v>
      </c>
      <c r="M8" s="55" t="s">
        <v>270</v>
      </c>
      <c r="N8" s="55" t="s">
        <v>271</v>
      </c>
      <c r="O8" s="55" t="s">
        <v>272</v>
      </c>
      <c r="P8" s="55" t="s">
        <v>224</v>
      </c>
      <c r="Q8" s="55" t="s">
        <v>215</v>
      </c>
      <c r="R8" s="55" t="s">
        <v>212</v>
      </c>
      <c r="S8" s="55" t="s">
        <v>212</v>
      </c>
      <c r="T8" s="55"/>
      <c r="U8" s="55"/>
      <c r="V8" s="55" t="s">
        <v>273</v>
      </c>
      <c r="W8" s="55" t="s">
        <v>274</v>
      </c>
      <c r="X8" s="55" t="s">
        <v>238</v>
      </c>
      <c r="Y8" s="55" t="s">
        <v>260</v>
      </c>
      <c r="Z8" s="55" t="s">
        <v>219</v>
      </c>
      <c r="AA8" s="55" t="s">
        <v>275</v>
      </c>
      <c r="AB8" s="55" t="s">
        <v>247</v>
      </c>
      <c r="AC8" s="55" t="s">
        <v>232</v>
      </c>
      <c r="AD8" s="55" t="s">
        <v>239</v>
      </c>
      <c r="AE8" s="55" t="s">
        <v>264</v>
      </c>
      <c r="AF8" s="55" t="s">
        <v>241</v>
      </c>
      <c r="AG8" s="55" t="s">
        <v>276</v>
      </c>
      <c r="AH8" s="55" t="s">
        <v>277</v>
      </c>
      <c r="AI8" s="55" t="s">
        <v>235</v>
      </c>
      <c r="AJ8" s="55" t="s">
        <v>212</v>
      </c>
      <c r="AK8" s="55" t="s">
        <v>212</v>
      </c>
      <c r="AL8" s="55" t="s">
        <v>212</v>
      </c>
      <c r="AM8" s="55" t="s">
        <v>218</v>
      </c>
      <c r="AN8" s="55" t="s">
        <v>231</v>
      </c>
      <c r="AO8" s="55" t="s">
        <v>278</v>
      </c>
      <c r="AP8" s="55" t="s">
        <v>217</v>
      </c>
      <c r="AQ8" s="55" t="s">
        <v>254</v>
      </c>
      <c r="AR8" s="55" t="s">
        <v>255</v>
      </c>
      <c r="AS8" s="55" t="s">
        <v>263</v>
      </c>
      <c r="AT8" s="55" t="s">
        <v>244</v>
      </c>
      <c r="AU8" s="55" t="s">
        <v>227</v>
      </c>
      <c r="AV8" s="55" t="s">
        <v>229</v>
      </c>
      <c r="AW8" s="55" t="s">
        <v>240</v>
      </c>
      <c r="AX8" s="55" t="s">
        <v>262</v>
      </c>
      <c r="AY8" s="55" t="s">
        <v>279</v>
      </c>
      <c r="AZ8" s="55" t="s">
        <v>216</v>
      </c>
      <c r="BA8" s="55" t="s">
        <v>242</v>
      </c>
      <c r="BB8" s="55" t="s">
        <v>283</v>
      </c>
      <c r="BC8" s="55" t="s">
        <v>258</v>
      </c>
      <c r="BD8" s="55" t="s">
        <v>282</v>
      </c>
      <c r="BE8" s="55" t="s">
        <v>259</v>
      </c>
      <c r="BF8" s="55" t="s">
        <v>261</v>
      </c>
      <c r="BG8" s="55" t="s">
        <v>299</v>
      </c>
    </row>
    <row r="9" spans="1:59">
      <c r="A9" s="45" t="s">
        <v>192</v>
      </c>
      <c r="B9" s="56">
        <v>2</v>
      </c>
      <c r="C9" s="48" t="s">
        <v>213</v>
      </c>
      <c r="D9" s="48" t="s">
        <v>280</v>
      </c>
      <c r="E9" s="48" t="s">
        <v>255</v>
      </c>
      <c r="F9" s="48" t="s">
        <v>252</v>
      </c>
      <c r="G9" s="48" t="s">
        <v>267</v>
      </c>
      <c r="H9" s="48" t="s">
        <v>266</v>
      </c>
      <c r="I9" s="48" t="s">
        <v>219</v>
      </c>
      <c r="J9" s="48" t="s">
        <v>272</v>
      </c>
      <c r="K9" s="48" t="s">
        <v>274</v>
      </c>
      <c r="L9" s="48" t="s">
        <v>271</v>
      </c>
      <c r="M9" s="48" t="s">
        <v>281</v>
      </c>
      <c r="N9" s="48" t="s">
        <v>259</v>
      </c>
      <c r="O9" s="48" t="s">
        <v>269</v>
      </c>
      <c r="P9" s="48" t="s">
        <v>224</v>
      </c>
      <c r="Q9" s="48" t="s">
        <v>215</v>
      </c>
      <c r="R9" s="48" t="s">
        <v>212</v>
      </c>
      <c r="S9" s="48" t="s">
        <v>212</v>
      </c>
      <c r="T9" s="48"/>
      <c r="U9" s="48"/>
      <c r="V9" s="48" t="s">
        <v>242</v>
      </c>
      <c r="W9" s="48" t="s">
        <v>273</v>
      </c>
      <c r="X9" s="48" t="s">
        <v>268</v>
      </c>
      <c r="Y9" s="48" t="s">
        <v>260</v>
      </c>
      <c r="Z9" s="48" t="s">
        <v>282</v>
      </c>
      <c r="AA9" s="48" t="s">
        <v>275</v>
      </c>
      <c r="AB9" s="48" t="s">
        <v>264</v>
      </c>
      <c r="AC9" s="48" t="s">
        <v>232</v>
      </c>
      <c r="AD9" s="48" t="s">
        <v>233</v>
      </c>
      <c r="AE9" s="48" t="s">
        <v>244</v>
      </c>
      <c r="AF9" s="48" t="s">
        <v>241</v>
      </c>
      <c r="AG9" s="48" t="s">
        <v>276</v>
      </c>
      <c r="AH9" s="48" t="s">
        <v>277</v>
      </c>
      <c r="AI9" s="48" t="s">
        <v>235</v>
      </c>
      <c r="AJ9" s="48" t="s">
        <v>212</v>
      </c>
      <c r="AK9" s="48" t="s">
        <v>212</v>
      </c>
      <c r="AL9" s="48" t="s">
        <v>212</v>
      </c>
      <c r="AM9" s="48" t="s">
        <v>218</v>
      </c>
      <c r="AN9" s="48" t="s">
        <v>238</v>
      </c>
      <c r="AO9" s="48" t="s">
        <v>278</v>
      </c>
      <c r="AP9" s="48" t="s">
        <v>240</v>
      </c>
      <c r="AQ9" s="48" t="s">
        <v>254</v>
      </c>
      <c r="AR9" s="48" t="s">
        <v>226</v>
      </c>
      <c r="AS9" s="48" t="s">
        <v>263</v>
      </c>
      <c r="AT9" s="48" t="s">
        <v>229</v>
      </c>
      <c r="AU9" s="48" t="s">
        <v>217</v>
      </c>
      <c r="AV9" s="48" t="s">
        <v>245</v>
      </c>
      <c r="AW9" s="48" t="s">
        <v>247</v>
      </c>
      <c r="AX9" s="48" t="s">
        <v>248</v>
      </c>
      <c r="AY9" s="48" t="s">
        <v>279</v>
      </c>
      <c r="AZ9" s="48" t="s">
        <v>216</v>
      </c>
      <c r="BA9" s="48" t="s">
        <v>270</v>
      </c>
      <c r="BB9" s="48" t="s">
        <v>283</v>
      </c>
      <c r="BC9" s="48" t="s">
        <v>258</v>
      </c>
      <c r="BD9" s="48" t="s">
        <v>265</v>
      </c>
      <c r="BE9" s="48" t="s">
        <v>287</v>
      </c>
      <c r="BF9" s="48" t="s">
        <v>262</v>
      </c>
      <c r="BG9" s="48" t="s">
        <v>299</v>
      </c>
    </row>
    <row r="10" spans="1:59">
      <c r="A10" s="45" t="s">
        <v>191</v>
      </c>
      <c r="B10" s="56">
        <v>3</v>
      </c>
      <c r="C10" s="48" t="s">
        <v>278</v>
      </c>
      <c r="D10" s="48" t="s">
        <v>283</v>
      </c>
      <c r="E10" s="48" t="s">
        <v>213</v>
      </c>
      <c r="F10" s="48" t="s">
        <v>252</v>
      </c>
      <c r="G10" s="48" t="s">
        <v>230</v>
      </c>
      <c r="H10" s="48" t="s">
        <v>216</v>
      </c>
      <c r="I10" s="48" t="s">
        <v>219</v>
      </c>
      <c r="J10" s="48" t="s">
        <v>263</v>
      </c>
      <c r="K10" s="48" t="s">
        <v>235</v>
      </c>
      <c r="L10" s="48" t="s">
        <v>271</v>
      </c>
      <c r="M10" s="48" t="s">
        <v>255</v>
      </c>
      <c r="N10" s="48" t="s">
        <v>228</v>
      </c>
      <c r="O10" s="48" t="s">
        <v>267</v>
      </c>
      <c r="P10" s="48" t="s">
        <v>232</v>
      </c>
      <c r="Q10" s="48" t="s">
        <v>277</v>
      </c>
      <c r="R10" s="48" t="s">
        <v>212</v>
      </c>
      <c r="S10" s="48" t="s">
        <v>212</v>
      </c>
      <c r="T10" s="48"/>
      <c r="U10" s="48"/>
      <c r="V10" s="48" t="s">
        <v>242</v>
      </c>
      <c r="W10" s="48" t="s">
        <v>284</v>
      </c>
      <c r="X10" s="48" t="s">
        <v>268</v>
      </c>
      <c r="Y10" s="48" t="s">
        <v>266</v>
      </c>
      <c r="Z10" s="48" t="s">
        <v>269</v>
      </c>
      <c r="AA10" s="48" t="s">
        <v>238</v>
      </c>
      <c r="AB10" s="48" t="s">
        <v>231</v>
      </c>
      <c r="AC10" s="48" t="s">
        <v>244</v>
      </c>
      <c r="AD10" s="48" t="s">
        <v>274</v>
      </c>
      <c r="AE10" s="48" t="s">
        <v>247</v>
      </c>
      <c r="AF10" s="48" t="s">
        <v>273</v>
      </c>
      <c r="AG10" s="48" t="s">
        <v>239</v>
      </c>
      <c r="AH10" s="48" t="s">
        <v>227</v>
      </c>
      <c r="AI10" s="48" t="s">
        <v>276</v>
      </c>
      <c r="AJ10" s="48" t="s">
        <v>212</v>
      </c>
      <c r="AK10" s="48" t="s">
        <v>212</v>
      </c>
      <c r="AL10" s="48" t="s">
        <v>212</v>
      </c>
      <c r="AM10" s="48" t="s">
        <v>260</v>
      </c>
      <c r="AN10" s="48" t="s">
        <v>215</v>
      </c>
      <c r="AO10" s="48" t="s">
        <v>210</v>
      </c>
      <c r="AP10" s="48" t="s">
        <v>240</v>
      </c>
      <c r="AQ10" s="48" t="s">
        <v>241</v>
      </c>
      <c r="AR10" s="48" t="s">
        <v>226</v>
      </c>
      <c r="AS10" s="48" t="s">
        <v>275</v>
      </c>
      <c r="AT10" s="48" t="s">
        <v>229</v>
      </c>
      <c r="AU10" s="48" t="s">
        <v>245</v>
      </c>
      <c r="AV10" s="48" t="s">
        <v>258</v>
      </c>
      <c r="AW10" s="48" t="s">
        <v>541</v>
      </c>
      <c r="AX10" s="48" t="s">
        <v>248</v>
      </c>
      <c r="AY10" s="48" t="s">
        <v>233</v>
      </c>
      <c r="AZ10" s="48" t="s">
        <v>218</v>
      </c>
      <c r="BA10" s="48" t="s">
        <v>251</v>
      </c>
      <c r="BB10" s="48" t="s">
        <v>257</v>
      </c>
      <c r="BC10" s="48" t="s">
        <v>270</v>
      </c>
      <c r="BD10" s="48" t="s">
        <v>287</v>
      </c>
      <c r="BE10" s="48" t="s">
        <v>262</v>
      </c>
      <c r="BF10" s="48" t="s">
        <v>281</v>
      </c>
      <c r="BG10" s="48" t="s">
        <v>259</v>
      </c>
    </row>
    <row r="11" spans="1:59">
      <c r="A11" s="45"/>
      <c r="B11" s="56">
        <v>4</v>
      </c>
      <c r="C11" s="48" t="s">
        <v>219</v>
      </c>
      <c r="D11" s="48" t="s">
        <v>259</v>
      </c>
      <c r="E11" s="48" t="s">
        <v>213</v>
      </c>
      <c r="F11" s="48" t="s">
        <v>251</v>
      </c>
      <c r="G11" s="48" t="s">
        <v>278</v>
      </c>
      <c r="H11" s="48" t="s">
        <v>216</v>
      </c>
      <c r="I11" s="48" t="s">
        <v>266</v>
      </c>
      <c r="J11" s="48" t="s">
        <v>217</v>
      </c>
      <c r="K11" s="48" t="s">
        <v>224</v>
      </c>
      <c r="L11" s="48" t="s">
        <v>235</v>
      </c>
      <c r="M11" s="48" t="s">
        <v>283</v>
      </c>
      <c r="N11" s="48" t="s">
        <v>228</v>
      </c>
      <c r="O11" s="48" t="s">
        <v>210</v>
      </c>
      <c r="P11" s="48" t="s">
        <v>232</v>
      </c>
      <c r="Q11" s="48" t="s">
        <v>277</v>
      </c>
      <c r="R11" s="48" t="s">
        <v>212</v>
      </c>
      <c r="S11" s="48" t="s">
        <v>212</v>
      </c>
      <c r="T11" s="48"/>
      <c r="U11" s="48"/>
      <c r="V11" s="48" t="s">
        <v>261</v>
      </c>
      <c r="W11" s="48" t="s">
        <v>267</v>
      </c>
      <c r="X11" s="48" t="s">
        <v>233</v>
      </c>
      <c r="Y11" s="48" t="s">
        <v>268</v>
      </c>
      <c r="Z11" s="48" t="s">
        <v>229</v>
      </c>
      <c r="AA11" s="48" t="s">
        <v>230</v>
      </c>
      <c r="AB11" s="48" t="s">
        <v>231</v>
      </c>
      <c r="AC11" s="48" t="s">
        <v>244</v>
      </c>
      <c r="AD11" s="48" t="s">
        <v>274</v>
      </c>
      <c r="AE11" s="48" t="s">
        <v>257</v>
      </c>
      <c r="AF11" s="48" t="s">
        <v>273</v>
      </c>
      <c r="AG11" s="48" t="s">
        <v>239</v>
      </c>
      <c r="AH11" s="48" t="s">
        <v>247</v>
      </c>
      <c r="AI11" s="48" t="s">
        <v>269</v>
      </c>
      <c r="AJ11" s="48" t="s">
        <v>212</v>
      </c>
      <c r="AK11" s="48" t="s">
        <v>212</v>
      </c>
      <c r="AL11" s="48" t="s">
        <v>212</v>
      </c>
      <c r="AM11" s="48" t="s">
        <v>271</v>
      </c>
      <c r="AN11" s="48" t="s">
        <v>215</v>
      </c>
      <c r="AO11" s="48" t="s">
        <v>226</v>
      </c>
      <c r="AP11" s="48" t="s">
        <v>242</v>
      </c>
      <c r="AQ11" s="48" t="s">
        <v>248</v>
      </c>
      <c r="AR11" s="48" t="s">
        <v>252</v>
      </c>
      <c r="AS11" s="48" t="s">
        <v>275</v>
      </c>
      <c r="AT11" s="48" t="s">
        <v>276</v>
      </c>
      <c r="AU11" s="48" t="s">
        <v>245</v>
      </c>
      <c r="AV11" s="48" t="s">
        <v>258</v>
      </c>
      <c r="AW11" s="48" t="s">
        <v>541</v>
      </c>
      <c r="AX11" s="48" t="s">
        <v>263</v>
      </c>
      <c r="AY11" s="48" t="s">
        <v>264</v>
      </c>
      <c r="AZ11" s="48" t="s">
        <v>218</v>
      </c>
      <c r="BA11" s="48" t="s">
        <v>238</v>
      </c>
      <c r="BB11" s="48" t="s">
        <v>265</v>
      </c>
      <c r="BC11" s="48" t="s">
        <v>260</v>
      </c>
      <c r="BD11" s="48" t="s">
        <v>227</v>
      </c>
      <c r="BE11" s="48" t="s">
        <v>240</v>
      </c>
      <c r="BF11" s="48" t="s">
        <v>241</v>
      </c>
      <c r="BG11" s="48" t="s">
        <v>281</v>
      </c>
    </row>
    <row r="12" spans="1:59" ht="16" thickBot="1">
      <c r="A12" s="50"/>
      <c r="B12" s="57">
        <v>5</v>
      </c>
      <c r="C12" s="52" t="s">
        <v>212</v>
      </c>
      <c r="D12" s="52" t="s">
        <v>212</v>
      </c>
      <c r="E12" s="52" t="s">
        <v>212</v>
      </c>
      <c r="F12" s="52" t="s">
        <v>212</v>
      </c>
      <c r="G12" s="52" t="s">
        <v>212</v>
      </c>
      <c r="H12" s="52" t="s">
        <v>212</v>
      </c>
      <c r="I12" s="52" t="s">
        <v>212</v>
      </c>
      <c r="J12" s="52" t="s">
        <v>212</v>
      </c>
      <c r="K12" s="52" t="s">
        <v>212</v>
      </c>
      <c r="L12" s="52" t="s">
        <v>212</v>
      </c>
      <c r="M12" s="52" t="s">
        <v>212</v>
      </c>
      <c r="N12" s="52" t="s">
        <v>212</v>
      </c>
      <c r="O12" s="52" t="s">
        <v>212</v>
      </c>
      <c r="P12" s="52" t="s">
        <v>212</v>
      </c>
      <c r="Q12" s="52" t="s">
        <v>212</v>
      </c>
      <c r="R12" s="52" t="s">
        <v>212</v>
      </c>
      <c r="S12" s="52" t="s">
        <v>212</v>
      </c>
      <c r="T12" s="52"/>
      <c r="U12" s="52"/>
      <c r="V12" s="52" t="s">
        <v>212</v>
      </c>
      <c r="W12" s="52" t="s">
        <v>212</v>
      </c>
      <c r="X12" s="52" t="s">
        <v>212</v>
      </c>
      <c r="Y12" s="52" t="s">
        <v>212</v>
      </c>
      <c r="Z12" s="52" t="s">
        <v>212</v>
      </c>
      <c r="AA12" s="52" t="s">
        <v>212</v>
      </c>
      <c r="AB12" s="52" t="s">
        <v>212</v>
      </c>
      <c r="AC12" s="52" t="s">
        <v>212</v>
      </c>
      <c r="AD12" s="52" t="s">
        <v>212</v>
      </c>
      <c r="AE12" s="52" t="s">
        <v>212</v>
      </c>
      <c r="AF12" s="52" t="s">
        <v>212</v>
      </c>
      <c r="AG12" s="52" t="s">
        <v>212</v>
      </c>
      <c r="AH12" s="52" t="s">
        <v>212</v>
      </c>
      <c r="AI12" s="52" t="s">
        <v>212</v>
      </c>
      <c r="AJ12" s="52" t="s">
        <v>212</v>
      </c>
      <c r="AK12" s="52" t="s">
        <v>212</v>
      </c>
      <c r="AL12" s="52" t="s">
        <v>212</v>
      </c>
      <c r="AM12" s="52" t="s">
        <v>212</v>
      </c>
      <c r="AN12" s="52" t="s">
        <v>212</v>
      </c>
      <c r="AO12" s="52" t="s">
        <v>212</v>
      </c>
      <c r="AP12" s="52" t="s">
        <v>212</v>
      </c>
      <c r="AQ12" s="52" t="s">
        <v>212</v>
      </c>
      <c r="AR12" s="52" t="s">
        <v>212</v>
      </c>
      <c r="AS12" s="52" t="s">
        <v>212</v>
      </c>
      <c r="AT12" s="52" t="s">
        <v>212</v>
      </c>
      <c r="AU12" s="52" t="s">
        <v>212</v>
      </c>
      <c r="AV12" s="52" t="s">
        <v>212</v>
      </c>
      <c r="AW12" s="52" t="s">
        <v>212</v>
      </c>
      <c r="AX12" s="52" t="s">
        <v>212</v>
      </c>
      <c r="AY12" s="52" t="s">
        <v>212</v>
      </c>
      <c r="AZ12" s="52" t="s">
        <v>212</v>
      </c>
      <c r="BA12" s="52" t="s">
        <v>212</v>
      </c>
      <c r="BB12" s="52" t="s">
        <v>212</v>
      </c>
      <c r="BC12" s="52" t="s">
        <v>212</v>
      </c>
      <c r="BD12" s="52" t="s">
        <v>212</v>
      </c>
      <c r="BE12" s="52" t="s">
        <v>212</v>
      </c>
      <c r="BF12" s="52" t="s">
        <v>212</v>
      </c>
      <c r="BG12" s="52" t="s">
        <v>212</v>
      </c>
    </row>
    <row r="13" spans="1:59">
      <c r="A13" s="53" t="s">
        <v>193</v>
      </c>
      <c r="B13" s="54">
        <v>1</v>
      </c>
      <c r="C13" s="55" t="s">
        <v>228</v>
      </c>
      <c r="D13" s="55" t="s">
        <v>214</v>
      </c>
      <c r="E13" s="55" t="s">
        <v>223</v>
      </c>
      <c r="F13" s="55" t="s">
        <v>268</v>
      </c>
      <c r="G13" s="55" t="s">
        <v>277</v>
      </c>
      <c r="H13" s="55" t="s">
        <v>285</v>
      </c>
      <c r="I13" s="55" t="s">
        <v>225</v>
      </c>
      <c r="J13" s="55" t="s">
        <v>286</v>
      </c>
      <c r="K13" s="55" t="s">
        <v>287</v>
      </c>
      <c r="L13" s="55" t="s">
        <v>209</v>
      </c>
      <c r="M13" s="55" t="s">
        <v>288</v>
      </c>
      <c r="N13" s="55" t="s">
        <v>270</v>
      </c>
      <c r="O13" s="55" t="s">
        <v>272</v>
      </c>
      <c r="P13" s="55" t="s">
        <v>236</v>
      </c>
      <c r="Q13" s="55" t="s">
        <v>210</v>
      </c>
      <c r="R13" s="55" t="s">
        <v>212</v>
      </c>
      <c r="S13" s="55" t="s">
        <v>212</v>
      </c>
      <c r="T13" s="55"/>
      <c r="U13" s="55"/>
      <c r="V13" s="55" t="s">
        <v>256</v>
      </c>
      <c r="W13" s="55" t="s">
        <v>227</v>
      </c>
      <c r="X13" s="55" t="s">
        <v>228</v>
      </c>
      <c r="Y13" s="55" t="s">
        <v>289</v>
      </c>
      <c r="Z13" s="55" t="s">
        <v>290</v>
      </c>
      <c r="AA13" s="55" t="s">
        <v>291</v>
      </c>
      <c r="AB13" s="55" t="s">
        <v>258</v>
      </c>
      <c r="AC13" s="55" t="s">
        <v>292</v>
      </c>
      <c r="AD13" s="55" t="s">
        <v>293</v>
      </c>
      <c r="AE13" s="55" t="s">
        <v>276</v>
      </c>
      <c r="AF13" s="55" t="s">
        <v>274</v>
      </c>
      <c r="AG13" s="55" t="s">
        <v>253</v>
      </c>
      <c r="AH13" s="55" t="s">
        <v>294</v>
      </c>
      <c r="AI13" s="55" t="s">
        <v>269</v>
      </c>
      <c r="AJ13" s="55" t="s">
        <v>212</v>
      </c>
      <c r="AK13" s="55" t="s">
        <v>212</v>
      </c>
      <c r="AL13" s="55" t="s">
        <v>212</v>
      </c>
      <c r="AM13" s="55" t="s">
        <v>265</v>
      </c>
      <c r="AN13" s="55" t="s">
        <v>275</v>
      </c>
      <c r="AO13" s="55" t="s">
        <v>221</v>
      </c>
      <c r="AP13" s="55" t="s">
        <v>284</v>
      </c>
      <c r="AQ13" s="55" t="s">
        <v>261</v>
      </c>
      <c r="AR13" s="55" t="s">
        <v>211</v>
      </c>
      <c r="AS13" s="55" t="s">
        <v>295</v>
      </c>
      <c r="AT13" s="55" t="s">
        <v>250</v>
      </c>
      <c r="AU13" s="55" t="s">
        <v>208</v>
      </c>
      <c r="AV13" s="55" t="s">
        <v>234</v>
      </c>
      <c r="AW13" s="55" t="s">
        <v>263</v>
      </c>
      <c r="AX13" s="55" t="s">
        <v>267</v>
      </c>
      <c r="AY13" s="55" t="s">
        <v>249</v>
      </c>
      <c r="AZ13" s="55" t="s">
        <v>237</v>
      </c>
      <c r="BA13" s="55" t="s">
        <v>246</v>
      </c>
      <c r="BB13" s="55" t="s">
        <v>206</v>
      </c>
      <c r="BC13" s="55" t="s">
        <v>255</v>
      </c>
      <c r="BD13" s="55" t="s">
        <v>217</v>
      </c>
      <c r="BE13" s="55" t="s">
        <v>279</v>
      </c>
      <c r="BF13" s="55" t="s">
        <v>297</v>
      </c>
      <c r="BG13" s="55" t="s">
        <v>262</v>
      </c>
    </row>
    <row r="14" spans="1:59">
      <c r="A14" s="45" t="s">
        <v>192</v>
      </c>
      <c r="B14" s="56">
        <v>2</v>
      </c>
      <c r="C14" s="48" t="s">
        <v>267</v>
      </c>
      <c r="D14" s="48" t="s">
        <v>265</v>
      </c>
      <c r="E14" s="48" t="s">
        <v>223</v>
      </c>
      <c r="F14" s="48" t="s">
        <v>236</v>
      </c>
      <c r="G14" s="48" t="s">
        <v>277</v>
      </c>
      <c r="H14" s="48" t="s">
        <v>285</v>
      </c>
      <c r="I14" s="48" t="s">
        <v>225</v>
      </c>
      <c r="J14" s="48" t="s">
        <v>286</v>
      </c>
      <c r="K14" s="48" t="s">
        <v>221</v>
      </c>
      <c r="L14" s="48" t="s">
        <v>209</v>
      </c>
      <c r="M14" s="48" t="s">
        <v>268</v>
      </c>
      <c r="N14" s="48" t="s">
        <v>251</v>
      </c>
      <c r="O14" s="48" t="s">
        <v>272</v>
      </c>
      <c r="P14" s="48" t="s">
        <v>288</v>
      </c>
      <c r="Q14" s="48" t="s">
        <v>262</v>
      </c>
      <c r="R14" s="48" t="s">
        <v>212</v>
      </c>
      <c r="S14" s="48" t="s">
        <v>212</v>
      </c>
      <c r="T14" s="48"/>
      <c r="U14" s="48"/>
      <c r="V14" s="48" t="s">
        <v>256</v>
      </c>
      <c r="W14" s="48" t="s">
        <v>229</v>
      </c>
      <c r="X14" s="48" t="s">
        <v>228</v>
      </c>
      <c r="Y14" s="48" t="s">
        <v>289</v>
      </c>
      <c r="Z14" s="48" t="s">
        <v>290</v>
      </c>
      <c r="AA14" s="48" t="s">
        <v>291</v>
      </c>
      <c r="AB14" s="48" t="s">
        <v>258</v>
      </c>
      <c r="AC14" s="48" t="s">
        <v>292</v>
      </c>
      <c r="AD14" s="48" t="s">
        <v>214</v>
      </c>
      <c r="AE14" s="48" t="s">
        <v>247</v>
      </c>
      <c r="AF14" s="48" t="s">
        <v>206</v>
      </c>
      <c r="AG14" s="48" t="s">
        <v>253</v>
      </c>
      <c r="AH14" s="48" t="s">
        <v>294</v>
      </c>
      <c r="AI14" s="48" t="s">
        <v>276</v>
      </c>
      <c r="AJ14" s="48" t="s">
        <v>212</v>
      </c>
      <c r="AK14" s="48" t="s">
        <v>212</v>
      </c>
      <c r="AL14" s="48" t="s">
        <v>212</v>
      </c>
      <c r="AM14" s="48" t="s">
        <v>237</v>
      </c>
      <c r="AN14" s="48" t="s">
        <v>275</v>
      </c>
      <c r="AO14" s="48" t="s">
        <v>218</v>
      </c>
      <c r="AP14" s="48" t="s">
        <v>263</v>
      </c>
      <c r="AQ14" s="48" t="s">
        <v>293</v>
      </c>
      <c r="AR14" s="48" t="s">
        <v>255</v>
      </c>
      <c r="AS14" s="48" t="s">
        <v>234</v>
      </c>
      <c r="AT14" s="48" t="s">
        <v>281</v>
      </c>
      <c r="AU14" s="48" t="s">
        <v>227</v>
      </c>
      <c r="AV14" s="48" t="s">
        <v>210</v>
      </c>
      <c r="AW14" s="48" t="s">
        <v>246</v>
      </c>
      <c r="AX14" s="48" t="s">
        <v>211</v>
      </c>
      <c r="AY14" s="48" t="s">
        <v>270</v>
      </c>
      <c r="AZ14" s="48" t="s">
        <v>250</v>
      </c>
      <c r="BA14" s="48" t="s">
        <v>233</v>
      </c>
      <c r="BB14" s="48" t="s">
        <v>541</v>
      </c>
      <c r="BC14" s="48" t="s">
        <v>257</v>
      </c>
      <c r="BD14" s="48" t="s">
        <v>287</v>
      </c>
      <c r="BE14" s="48" t="s">
        <v>261</v>
      </c>
      <c r="BF14" s="48" t="s">
        <v>297</v>
      </c>
      <c r="BG14" s="48" t="s">
        <v>279</v>
      </c>
    </row>
    <row r="15" spans="1:59">
      <c r="A15" s="45" t="s">
        <v>194</v>
      </c>
      <c r="B15" s="56">
        <v>3</v>
      </c>
      <c r="C15" s="48" t="s">
        <v>294</v>
      </c>
      <c r="D15" s="48" t="s">
        <v>228</v>
      </c>
      <c r="E15" s="48" t="s">
        <v>296</v>
      </c>
      <c r="F15" s="48" t="s">
        <v>291</v>
      </c>
      <c r="G15" s="48" t="s">
        <v>221</v>
      </c>
      <c r="H15" s="48" t="s">
        <v>253</v>
      </c>
      <c r="I15" s="48" t="s">
        <v>289</v>
      </c>
      <c r="J15" s="48" t="s">
        <v>217</v>
      </c>
      <c r="K15" s="48" t="s">
        <v>265</v>
      </c>
      <c r="L15" s="48" t="s">
        <v>287</v>
      </c>
      <c r="M15" s="48" t="s">
        <v>272</v>
      </c>
      <c r="N15" s="48" t="s">
        <v>274</v>
      </c>
      <c r="O15" s="48" t="s">
        <v>290</v>
      </c>
      <c r="P15" s="48" t="s">
        <v>286</v>
      </c>
      <c r="Q15" s="48" t="s">
        <v>262</v>
      </c>
      <c r="R15" s="48" t="s">
        <v>212</v>
      </c>
      <c r="S15" s="48" t="s">
        <v>212</v>
      </c>
      <c r="T15" s="48"/>
      <c r="U15" s="48"/>
      <c r="V15" s="48" t="s">
        <v>233</v>
      </c>
      <c r="W15" s="48" t="s">
        <v>277</v>
      </c>
      <c r="X15" s="48" t="s">
        <v>223</v>
      </c>
      <c r="Y15" s="48" t="s">
        <v>237</v>
      </c>
      <c r="Z15" s="48" t="s">
        <v>268</v>
      </c>
      <c r="AA15" s="48" t="s">
        <v>214</v>
      </c>
      <c r="AB15" s="48" t="s">
        <v>206</v>
      </c>
      <c r="AC15" s="48" t="s">
        <v>208</v>
      </c>
      <c r="AD15" s="48" t="s">
        <v>269</v>
      </c>
      <c r="AE15" s="48" t="s">
        <v>285</v>
      </c>
      <c r="AF15" s="48" t="s">
        <v>227</v>
      </c>
      <c r="AG15" s="48" t="s">
        <v>234</v>
      </c>
      <c r="AH15" s="48" t="s">
        <v>236</v>
      </c>
      <c r="AI15" s="48" t="s">
        <v>235</v>
      </c>
      <c r="AJ15" s="48" t="s">
        <v>212</v>
      </c>
      <c r="AK15" s="48" t="s">
        <v>212</v>
      </c>
      <c r="AL15" s="48" t="s">
        <v>212</v>
      </c>
      <c r="AM15" s="48" t="s">
        <v>297</v>
      </c>
      <c r="AN15" s="48" t="s">
        <v>251</v>
      </c>
      <c r="AO15" s="48" t="s">
        <v>218</v>
      </c>
      <c r="AP15" s="48" t="s">
        <v>263</v>
      </c>
      <c r="AQ15" s="48" t="s">
        <v>256</v>
      </c>
      <c r="AR15" s="48" t="s">
        <v>279</v>
      </c>
      <c r="AS15" s="48" t="s">
        <v>255</v>
      </c>
      <c r="AT15" s="48" t="s">
        <v>270</v>
      </c>
      <c r="AU15" s="48" t="s">
        <v>284</v>
      </c>
      <c r="AV15" s="48" t="s">
        <v>229</v>
      </c>
      <c r="AW15" s="48" t="s">
        <v>246</v>
      </c>
      <c r="AX15" s="48" t="s">
        <v>247</v>
      </c>
      <c r="AY15" s="48" t="s">
        <v>288</v>
      </c>
      <c r="AZ15" s="48" t="s">
        <v>250</v>
      </c>
      <c r="BA15" s="48" t="s">
        <v>258</v>
      </c>
      <c r="BB15" s="48" t="s">
        <v>541</v>
      </c>
      <c r="BC15" s="48" t="s">
        <v>281</v>
      </c>
      <c r="BD15" s="48" t="s">
        <v>261</v>
      </c>
      <c r="BE15" s="48" t="s">
        <v>275</v>
      </c>
      <c r="BF15" s="48" t="s">
        <v>225</v>
      </c>
      <c r="BG15" s="48" t="s">
        <v>211</v>
      </c>
    </row>
    <row r="16" spans="1:59">
      <c r="A16" s="45"/>
      <c r="B16" s="56">
        <v>4</v>
      </c>
      <c r="C16" s="48" t="s">
        <v>294</v>
      </c>
      <c r="D16" s="48" t="s">
        <v>251</v>
      </c>
      <c r="E16" s="48" t="s">
        <v>296</v>
      </c>
      <c r="F16" s="48" t="s">
        <v>291</v>
      </c>
      <c r="G16" s="48" t="s">
        <v>221</v>
      </c>
      <c r="H16" s="48" t="s">
        <v>272</v>
      </c>
      <c r="I16" s="48" t="s">
        <v>289</v>
      </c>
      <c r="J16" s="48" t="s">
        <v>217</v>
      </c>
      <c r="K16" s="48" t="s">
        <v>263</v>
      </c>
      <c r="L16" s="48" t="s">
        <v>287</v>
      </c>
      <c r="M16" s="48" t="s">
        <v>249</v>
      </c>
      <c r="N16" s="48" t="s">
        <v>265</v>
      </c>
      <c r="O16" s="48" t="s">
        <v>290</v>
      </c>
      <c r="P16" s="48" t="s">
        <v>286</v>
      </c>
      <c r="Q16" s="48" t="s">
        <v>209</v>
      </c>
      <c r="R16" s="48" t="s">
        <v>212</v>
      </c>
      <c r="S16" s="48" t="s">
        <v>212</v>
      </c>
      <c r="T16" s="48"/>
      <c r="U16" s="48"/>
      <c r="V16" s="48" t="s">
        <v>261</v>
      </c>
      <c r="W16" s="48" t="s">
        <v>277</v>
      </c>
      <c r="X16" s="48" t="s">
        <v>223</v>
      </c>
      <c r="Y16" s="48" t="s">
        <v>247</v>
      </c>
      <c r="Z16" s="48" t="s">
        <v>229</v>
      </c>
      <c r="AA16" s="48" t="s">
        <v>214</v>
      </c>
      <c r="AB16" s="48" t="s">
        <v>234</v>
      </c>
      <c r="AC16" s="48" t="s">
        <v>208</v>
      </c>
      <c r="AD16" s="48" t="s">
        <v>274</v>
      </c>
      <c r="AE16" s="48" t="s">
        <v>207</v>
      </c>
      <c r="AF16" s="48" t="s">
        <v>285</v>
      </c>
      <c r="AG16" s="48" t="s">
        <v>235</v>
      </c>
      <c r="AH16" s="48" t="s">
        <v>236</v>
      </c>
      <c r="AI16" s="48" t="s">
        <v>227</v>
      </c>
      <c r="AJ16" s="48" t="s">
        <v>212</v>
      </c>
      <c r="AK16" s="48" t="s">
        <v>212</v>
      </c>
      <c r="AL16" s="48" t="s">
        <v>212</v>
      </c>
      <c r="AM16" s="48" t="s">
        <v>297</v>
      </c>
      <c r="AN16" s="48" t="s">
        <v>225</v>
      </c>
      <c r="AO16" s="48" t="s">
        <v>282</v>
      </c>
      <c r="AP16" s="48" t="s">
        <v>250</v>
      </c>
      <c r="AQ16" s="48" t="s">
        <v>267</v>
      </c>
      <c r="AR16" s="48" t="s">
        <v>293</v>
      </c>
      <c r="AS16" s="48" t="s">
        <v>255</v>
      </c>
      <c r="AT16" s="48" t="s">
        <v>270</v>
      </c>
      <c r="AU16" s="48" t="s">
        <v>276</v>
      </c>
      <c r="AV16" s="48" t="s">
        <v>246</v>
      </c>
      <c r="AW16" s="48" t="s">
        <v>279</v>
      </c>
      <c r="AX16" s="48" t="s">
        <v>210</v>
      </c>
      <c r="AY16" s="48" t="s">
        <v>288</v>
      </c>
      <c r="AZ16" s="48" t="s">
        <v>218</v>
      </c>
      <c r="BA16" s="48" t="s">
        <v>258</v>
      </c>
      <c r="BB16" s="48" t="s">
        <v>233</v>
      </c>
      <c r="BC16" s="48" t="s">
        <v>256</v>
      </c>
      <c r="BD16" s="48" t="s">
        <v>281</v>
      </c>
      <c r="BE16" s="48" t="s">
        <v>275</v>
      </c>
      <c r="BF16" s="48" t="s">
        <v>262</v>
      </c>
      <c r="BG16" s="48" t="s">
        <v>211</v>
      </c>
    </row>
    <row r="17" spans="1:59" ht="16" thickBot="1">
      <c r="A17" s="50"/>
      <c r="B17" s="57">
        <v>5</v>
      </c>
      <c r="C17" s="52" t="s">
        <v>212</v>
      </c>
      <c r="D17" s="52" t="s">
        <v>212</v>
      </c>
      <c r="E17" s="52" t="s">
        <v>212</v>
      </c>
      <c r="F17" s="52" t="s">
        <v>212</v>
      </c>
      <c r="G17" s="52" t="s">
        <v>212</v>
      </c>
      <c r="H17" s="52" t="s">
        <v>212</v>
      </c>
      <c r="I17" s="52" t="s">
        <v>212</v>
      </c>
      <c r="J17" s="52" t="s">
        <v>212</v>
      </c>
      <c r="K17" s="52" t="s">
        <v>212</v>
      </c>
      <c r="L17" s="52" t="s">
        <v>212</v>
      </c>
      <c r="M17" s="52" t="s">
        <v>212</v>
      </c>
      <c r="N17" s="52" t="s">
        <v>212</v>
      </c>
      <c r="O17" s="52" t="s">
        <v>212</v>
      </c>
      <c r="P17" s="52" t="s">
        <v>212</v>
      </c>
      <c r="Q17" s="52" t="s">
        <v>212</v>
      </c>
      <c r="R17" s="52" t="s">
        <v>212</v>
      </c>
      <c r="S17" s="52" t="s">
        <v>212</v>
      </c>
      <c r="T17" s="52"/>
      <c r="U17" s="52"/>
      <c r="V17" s="52" t="s">
        <v>212</v>
      </c>
      <c r="W17" s="52" t="s">
        <v>212</v>
      </c>
      <c r="X17" s="52" t="s">
        <v>212</v>
      </c>
      <c r="Y17" s="52" t="s">
        <v>212</v>
      </c>
      <c r="Z17" s="52" t="s">
        <v>212</v>
      </c>
      <c r="AA17" s="52" t="s">
        <v>212</v>
      </c>
      <c r="AB17" s="52" t="s">
        <v>212</v>
      </c>
      <c r="AC17" s="52" t="s">
        <v>212</v>
      </c>
      <c r="AD17" s="52" t="s">
        <v>212</v>
      </c>
      <c r="AE17" s="52" t="s">
        <v>212</v>
      </c>
      <c r="AF17" s="52" t="s">
        <v>212</v>
      </c>
      <c r="AG17" s="52" t="s">
        <v>212</v>
      </c>
      <c r="AH17" s="52" t="s">
        <v>212</v>
      </c>
      <c r="AI17" s="52" t="s">
        <v>212</v>
      </c>
      <c r="AJ17" s="52" t="s">
        <v>212</v>
      </c>
      <c r="AK17" s="52" t="s">
        <v>212</v>
      </c>
      <c r="AL17" s="52" t="s">
        <v>212</v>
      </c>
      <c r="AM17" s="52" t="s">
        <v>212</v>
      </c>
      <c r="AN17" s="52" t="s">
        <v>212</v>
      </c>
      <c r="AO17" s="52" t="s">
        <v>212</v>
      </c>
      <c r="AP17" s="52" t="s">
        <v>212</v>
      </c>
      <c r="AQ17" s="52" t="s">
        <v>212</v>
      </c>
      <c r="AR17" s="52" t="s">
        <v>212</v>
      </c>
      <c r="AS17" s="52" t="s">
        <v>212</v>
      </c>
      <c r="AT17" s="52" t="s">
        <v>212</v>
      </c>
      <c r="AU17" s="52" t="s">
        <v>212</v>
      </c>
      <c r="AV17" s="52" t="s">
        <v>212</v>
      </c>
      <c r="AW17" s="52" t="s">
        <v>212</v>
      </c>
      <c r="AX17" s="52" t="s">
        <v>212</v>
      </c>
      <c r="AY17" s="52" t="s">
        <v>212</v>
      </c>
      <c r="AZ17" s="52" t="s">
        <v>212</v>
      </c>
      <c r="BA17" s="52" t="s">
        <v>212</v>
      </c>
      <c r="BB17" s="52" t="s">
        <v>212</v>
      </c>
      <c r="BC17" s="52" t="s">
        <v>212</v>
      </c>
      <c r="BD17" s="52" t="s">
        <v>212</v>
      </c>
      <c r="BE17" s="52" t="s">
        <v>212</v>
      </c>
      <c r="BF17" s="52" t="s">
        <v>212</v>
      </c>
      <c r="BG17" s="52" t="s">
        <v>212</v>
      </c>
    </row>
    <row r="18" spans="1:59">
      <c r="A18" s="53" t="s">
        <v>195</v>
      </c>
      <c r="B18" s="54">
        <v>1</v>
      </c>
      <c r="C18" s="55" t="s">
        <v>285</v>
      </c>
      <c r="D18" s="55" t="s">
        <v>280</v>
      </c>
      <c r="E18" s="55" t="s">
        <v>215</v>
      </c>
      <c r="F18" s="55" t="s">
        <v>236</v>
      </c>
      <c r="G18" s="55" t="s">
        <v>245</v>
      </c>
      <c r="H18" s="55" t="s">
        <v>253</v>
      </c>
      <c r="I18" s="55" t="s">
        <v>297</v>
      </c>
      <c r="J18" s="55" t="s">
        <v>220</v>
      </c>
      <c r="K18" s="55" t="s">
        <v>263</v>
      </c>
      <c r="L18" s="55" t="s">
        <v>265</v>
      </c>
      <c r="M18" s="55" t="s">
        <v>249</v>
      </c>
      <c r="N18" s="55" t="s">
        <v>271</v>
      </c>
      <c r="O18" s="55" t="s">
        <v>222</v>
      </c>
      <c r="P18" s="55" t="s">
        <v>270</v>
      </c>
      <c r="Q18" s="55" t="s">
        <v>225</v>
      </c>
      <c r="R18" s="55" t="s">
        <v>212</v>
      </c>
      <c r="S18" s="55" t="s">
        <v>212</v>
      </c>
      <c r="T18" s="55"/>
      <c r="U18" s="55"/>
      <c r="V18" s="55" t="s">
        <v>243</v>
      </c>
      <c r="W18" s="55" t="s">
        <v>214</v>
      </c>
      <c r="X18" s="55" t="s">
        <v>224</v>
      </c>
      <c r="Y18" s="55" t="s">
        <v>268</v>
      </c>
      <c r="Z18" s="55" t="s">
        <v>260</v>
      </c>
      <c r="AA18" s="55" t="s">
        <v>269</v>
      </c>
      <c r="AB18" s="55" t="s">
        <v>264</v>
      </c>
      <c r="AC18" s="55" t="s">
        <v>226</v>
      </c>
      <c r="AD18" s="55" t="s">
        <v>267</v>
      </c>
      <c r="AE18" s="55" t="s">
        <v>211</v>
      </c>
      <c r="AF18" s="55" t="s">
        <v>277</v>
      </c>
      <c r="AG18" s="55" t="s">
        <v>235</v>
      </c>
      <c r="AH18" s="55" t="s">
        <v>247</v>
      </c>
      <c r="AI18" s="55" t="s">
        <v>227</v>
      </c>
      <c r="AJ18" s="55" t="s">
        <v>212</v>
      </c>
      <c r="AK18" s="55" t="s">
        <v>212</v>
      </c>
      <c r="AL18" s="55" t="s">
        <v>212</v>
      </c>
      <c r="AM18" s="55" t="s">
        <v>237</v>
      </c>
      <c r="AN18" s="55" t="s">
        <v>208</v>
      </c>
      <c r="AO18" s="55" t="s">
        <v>284</v>
      </c>
      <c r="AP18" s="55" t="s">
        <v>275</v>
      </c>
      <c r="AQ18" s="55" t="s">
        <v>254</v>
      </c>
      <c r="AR18" s="55" t="s">
        <v>242</v>
      </c>
      <c r="AS18" s="55" t="s">
        <v>255</v>
      </c>
      <c r="AT18" s="55" t="s">
        <v>246</v>
      </c>
      <c r="AU18" s="55" t="s">
        <v>276</v>
      </c>
      <c r="AV18" s="55" t="s">
        <v>229</v>
      </c>
      <c r="AW18" s="55" t="s">
        <v>234</v>
      </c>
      <c r="AX18" s="55" t="s">
        <v>258</v>
      </c>
      <c r="AY18" s="55" t="s">
        <v>233</v>
      </c>
      <c r="AZ18" s="55" t="s">
        <v>273</v>
      </c>
      <c r="BA18" s="55" t="s">
        <v>298</v>
      </c>
      <c r="BB18" s="55" t="s">
        <v>216</v>
      </c>
      <c r="BC18" s="55" t="s">
        <v>256</v>
      </c>
      <c r="BD18" s="55" t="s">
        <v>299</v>
      </c>
      <c r="BE18" s="55" t="s">
        <v>287</v>
      </c>
      <c r="BF18" s="55" t="s">
        <v>241</v>
      </c>
      <c r="BG18" s="55" t="s">
        <v>239</v>
      </c>
    </row>
    <row r="19" spans="1:59">
      <c r="A19" s="45" t="s">
        <v>192</v>
      </c>
      <c r="B19" s="56">
        <v>2</v>
      </c>
      <c r="C19" s="48" t="s">
        <v>219</v>
      </c>
      <c r="D19" s="48" t="s">
        <v>280</v>
      </c>
      <c r="E19" s="48" t="s">
        <v>215</v>
      </c>
      <c r="F19" s="48" t="s">
        <v>225</v>
      </c>
      <c r="G19" s="48" t="s">
        <v>245</v>
      </c>
      <c r="H19" s="48" t="s">
        <v>253</v>
      </c>
      <c r="I19" s="48" t="s">
        <v>297</v>
      </c>
      <c r="J19" s="48" t="s">
        <v>220</v>
      </c>
      <c r="K19" s="48" t="s">
        <v>230</v>
      </c>
      <c r="L19" s="48" t="s">
        <v>287</v>
      </c>
      <c r="M19" s="48" t="s">
        <v>249</v>
      </c>
      <c r="N19" s="48" t="s">
        <v>271</v>
      </c>
      <c r="O19" s="48" t="s">
        <v>269</v>
      </c>
      <c r="P19" s="48" t="s">
        <v>268</v>
      </c>
      <c r="Q19" s="48" t="s">
        <v>281</v>
      </c>
      <c r="R19" s="48" t="s">
        <v>212</v>
      </c>
      <c r="S19" s="48" t="s">
        <v>212</v>
      </c>
      <c r="T19" s="48"/>
      <c r="U19" s="48"/>
      <c r="V19" s="48" t="s">
        <v>293</v>
      </c>
      <c r="W19" s="48" t="s">
        <v>285</v>
      </c>
      <c r="X19" s="48" t="s">
        <v>233</v>
      </c>
      <c r="Y19" s="48" t="s">
        <v>260</v>
      </c>
      <c r="Z19" s="48" t="s">
        <v>256</v>
      </c>
      <c r="AA19" s="48" t="s">
        <v>214</v>
      </c>
      <c r="AB19" s="48" t="s">
        <v>235</v>
      </c>
      <c r="AC19" s="48" t="s">
        <v>266</v>
      </c>
      <c r="AD19" s="48" t="s">
        <v>243</v>
      </c>
      <c r="AE19" s="48" t="s">
        <v>211</v>
      </c>
      <c r="AF19" s="48" t="s">
        <v>277</v>
      </c>
      <c r="AG19" s="48" t="s">
        <v>227</v>
      </c>
      <c r="AH19" s="48" t="s">
        <v>236</v>
      </c>
      <c r="AI19" s="48" t="s">
        <v>222</v>
      </c>
      <c r="AJ19" s="48" t="s">
        <v>212</v>
      </c>
      <c r="AK19" s="48" t="s">
        <v>212</v>
      </c>
      <c r="AL19" s="48" t="s">
        <v>212</v>
      </c>
      <c r="AM19" s="48" t="s">
        <v>237</v>
      </c>
      <c r="AN19" s="48" t="s">
        <v>208</v>
      </c>
      <c r="AO19" s="48" t="s">
        <v>226</v>
      </c>
      <c r="AP19" s="48" t="s">
        <v>275</v>
      </c>
      <c r="AQ19" s="48" t="s">
        <v>254</v>
      </c>
      <c r="AR19" s="48" t="s">
        <v>255</v>
      </c>
      <c r="AS19" s="48" t="s">
        <v>279</v>
      </c>
      <c r="AT19" s="48" t="s">
        <v>265</v>
      </c>
      <c r="AU19" s="48" t="s">
        <v>276</v>
      </c>
      <c r="AV19" s="48" t="s">
        <v>282</v>
      </c>
      <c r="AW19" s="48" t="s">
        <v>246</v>
      </c>
      <c r="AX19" s="48" t="s">
        <v>258</v>
      </c>
      <c r="AY19" s="48" t="s">
        <v>234</v>
      </c>
      <c r="AZ19" s="48" t="s">
        <v>273</v>
      </c>
      <c r="BA19" s="48" t="s">
        <v>298</v>
      </c>
      <c r="BB19" s="48" t="s">
        <v>216</v>
      </c>
      <c r="BC19" s="48" t="s">
        <v>241</v>
      </c>
      <c r="BD19" s="48" t="s">
        <v>299</v>
      </c>
      <c r="BE19" s="48" t="s">
        <v>259</v>
      </c>
      <c r="BF19" s="48" t="s">
        <v>272</v>
      </c>
      <c r="BG19" s="48" t="s">
        <v>239</v>
      </c>
    </row>
    <row r="20" spans="1:59">
      <c r="A20" s="45" t="s">
        <v>196</v>
      </c>
      <c r="B20" s="56">
        <v>3</v>
      </c>
      <c r="C20" s="48" t="s">
        <v>253</v>
      </c>
      <c r="D20" s="48" t="s">
        <v>220</v>
      </c>
      <c r="E20" s="48" t="s">
        <v>255</v>
      </c>
      <c r="F20" s="48" t="s">
        <v>216</v>
      </c>
      <c r="G20" s="48" t="s">
        <v>221</v>
      </c>
      <c r="H20" s="48" t="s">
        <v>277</v>
      </c>
      <c r="I20" s="48" t="s">
        <v>219</v>
      </c>
      <c r="J20" s="48" t="s">
        <v>273</v>
      </c>
      <c r="K20" s="48" t="s">
        <v>230</v>
      </c>
      <c r="L20" s="48" t="s">
        <v>269</v>
      </c>
      <c r="M20" s="48" t="s">
        <v>222</v>
      </c>
      <c r="N20" s="48" t="s">
        <v>299</v>
      </c>
      <c r="O20" s="48" t="s">
        <v>249</v>
      </c>
      <c r="P20" s="48" t="s">
        <v>236</v>
      </c>
      <c r="Q20" s="48" t="s">
        <v>215</v>
      </c>
      <c r="R20" s="48" t="s">
        <v>212</v>
      </c>
      <c r="S20" s="48" t="s">
        <v>212</v>
      </c>
      <c r="T20" s="48"/>
      <c r="U20" s="48"/>
      <c r="V20" s="48" t="s">
        <v>256</v>
      </c>
      <c r="W20" s="48" t="s">
        <v>224</v>
      </c>
      <c r="X20" s="48" t="s">
        <v>265</v>
      </c>
      <c r="Y20" s="48" t="s">
        <v>266</v>
      </c>
      <c r="Z20" s="48" t="s">
        <v>268</v>
      </c>
      <c r="AA20" s="48" t="s">
        <v>214</v>
      </c>
      <c r="AB20" s="48" t="s">
        <v>235</v>
      </c>
      <c r="AC20" s="48" t="s">
        <v>275</v>
      </c>
      <c r="AD20" s="48" t="s">
        <v>243</v>
      </c>
      <c r="AE20" s="48" t="s">
        <v>264</v>
      </c>
      <c r="AF20" s="48" t="s">
        <v>285</v>
      </c>
      <c r="AG20" s="48" t="s">
        <v>298</v>
      </c>
      <c r="AH20" s="48" t="s">
        <v>239</v>
      </c>
      <c r="AI20" s="48" t="s">
        <v>208</v>
      </c>
      <c r="AJ20" s="48" t="s">
        <v>212</v>
      </c>
      <c r="AK20" s="48" t="s">
        <v>212</v>
      </c>
      <c r="AL20" s="48" t="s">
        <v>212</v>
      </c>
      <c r="AM20" s="48" t="s">
        <v>297</v>
      </c>
      <c r="AN20" s="48" t="s">
        <v>225</v>
      </c>
      <c r="AO20" s="48" t="s">
        <v>226</v>
      </c>
      <c r="AP20" s="48" t="s">
        <v>242</v>
      </c>
      <c r="AQ20" s="48" t="s">
        <v>229</v>
      </c>
      <c r="AR20" s="48" t="s">
        <v>267</v>
      </c>
      <c r="AS20" s="48" t="s">
        <v>279</v>
      </c>
      <c r="AT20" s="48" t="s">
        <v>270</v>
      </c>
      <c r="AU20" s="48" t="s">
        <v>278</v>
      </c>
      <c r="AV20" s="48" t="s">
        <v>246</v>
      </c>
      <c r="AW20" s="48" t="s">
        <v>263</v>
      </c>
      <c r="AX20" s="48" t="s">
        <v>247</v>
      </c>
      <c r="AY20" s="48" t="s">
        <v>501</v>
      </c>
      <c r="AZ20" s="48" t="s">
        <v>237</v>
      </c>
      <c r="BA20" s="48" t="s">
        <v>281</v>
      </c>
      <c r="BB20" s="48" t="s">
        <v>258</v>
      </c>
      <c r="BC20" s="48" t="s">
        <v>241</v>
      </c>
      <c r="BD20" s="48" t="s">
        <v>276</v>
      </c>
      <c r="BE20" s="48" t="s">
        <v>259</v>
      </c>
      <c r="BF20" s="48" t="s">
        <v>272</v>
      </c>
      <c r="BG20" s="48" t="s">
        <v>293</v>
      </c>
    </row>
    <row r="21" spans="1:59">
      <c r="A21" s="45"/>
      <c r="B21" s="56">
        <v>4</v>
      </c>
      <c r="C21" s="48" t="s">
        <v>253</v>
      </c>
      <c r="D21" s="48" t="s">
        <v>220</v>
      </c>
      <c r="E21" s="48" t="s">
        <v>272</v>
      </c>
      <c r="F21" s="48" t="s">
        <v>216</v>
      </c>
      <c r="G21" s="48" t="s">
        <v>221</v>
      </c>
      <c r="H21" s="48" t="s">
        <v>277</v>
      </c>
      <c r="I21" s="48" t="s">
        <v>266</v>
      </c>
      <c r="J21" s="48" t="s">
        <v>245</v>
      </c>
      <c r="K21" s="48" t="s">
        <v>224</v>
      </c>
      <c r="L21" s="48" t="s">
        <v>254</v>
      </c>
      <c r="M21" s="48" t="s">
        <v>268</v>
      </c>
      <c r="N21" s="48" t="s">
        <v>299</v>
      </c>
      <c r="O21" s="48" t="s">
        <v>249</v>
      </c>
      <c r="P21" s="48" t="s">
        <v>236</v>
      </c>
      <c r="Q21" s="48" t="s">
        <v>215</v>
      </c>
      <c r="R21" s="48" t="s">
        <v>212</v>
      </c>
      <c r="S21" s="48" t="s">
        <v>212</v>
      </c>
      <c r="T21" s="48"/>
      <c r="U21" s="48"/>
      <c r="V21" s="48" t="s">
        <v>233</v>
      </c>
      <c r="W21" s="48" t="s">
        <v>273</v>
      </c>
      <c r="X21" s="48" t="s">
        <v>269</v>
      </c>
      <c r="Y21" s="48" t="s">
        <v>241</v>
      </c>
      <c r="Z21" s="48" t="s">
        <v>281</v>
      </c>
      <c r="AA21" s="48" t="s">
        <v>230</v>
      </c>
      <c r="AB21" s="48" t="s">
        <v>285</v>
      </c>
      <c r="AC21" s="48" t="s">
        <v>275</v>
      </c>
      <c r="AD21" s="48" t="s">
        <v>239</v>
      </c>
      <c r="AE21" s="48" t="s">
        <v>276</v>
      </c>
      <c r="AF21" s="48" t="s">
        <v>247</v>
      </c>
      <c r="AG21" s="48" t="s">
        <v>298</v>
      </c>
      <c r="AH21" s="48" t="s">
        <v>219</v>
      </c>
      <c r="AI21" s="48" t="s">
        <v>234</v>
      </c>
      <c r="AJ21" s="48" t="s">
        <v>212</v>
      </c>
      <c r="AK21" s="48" t="s">
        <v>212</v>
      </c>
      <c r="AL21" s="48" t="s">
        <v>212</v>
      </c>
      <c r="AM21" s="48" t="s">
        <v>260</v>
      </c>
      <c r="AN21" s="48" t="s">
        <v>225</v>
      </c>
      <c r="AO21" s="48" t="s">
        <v>265</v>
      </c>
      <c r="AP21" s="48" t="s">
        <v>242</v>
      </c>
      <c r="AQ21" s="48" t="s">
        <v>256</v>
      </c>
      <c r="AR21" s="48" t="s">
        <v>211</v>
      </c>
      <c r="AS21" s="48" t="s">
        <v>271</v>
      </c>
      <c r="AT21" s="48" t="s">
        <v>227</v>
      </c>
      <c r="AU21" s="48" t="s">
        <v>278</v>
      </c>
      <c r="AV21" s="48" t="s">
        <v>264</v>
      </c>
      <c r="AW21" s="48" t="s">
        <v>267</v>
      </c>
      <c r="AX21" s="48" t="s">
        <v>263</v>
      </c>
      <c r="AY21" s="48" t="s">
        <v>501</v>
      </c>
      <c r="AZ21" s="48" t="s">
        <v>237</v>
      </c>
      <c r="BA21" s="48" t="s">
        <v>246</v>
      </c>
      <c r="BB21" s="48" t="s">
        <v>258</v>
      </c>
      <c r="BC21" s="48" t="s">
        <v>255</v>
      </c>
      <c r="BD21" s="48" t="s">
        <v>208</v>
      </c>
      <c r="BE21" s="48" t="s">
        <v>243</v>
      </c>
      <c r="BF21" s="48" t="s">
        <v>297</v>
      </c>
      <c r="BG21" s="48" t="s">
        <v>259</v>
      </c>
    </row>
    <row r="22" spans="1:59" ht="16" thickBot="1">
      <c r="A22" s="50"/>
      <c r="B22" s="57">
        <v>5</v>
      </c>
      <c r="C22" s="52" t="s">
        <v>212</v>
      </c>
      <c r="D22" s="52" t="s">
        <v>212</v>
      </c>
      <c r="E22" s="52" t="s">
        <v>212</v>
      </c>
      <c r="F22" s="52" t="s">
        <v>212</v>
      </c>
      <c r="G22" s="52" t="s">
        <v>212</v>
      </c>
      <c r="H22" s="52" t="s">
        <v>212</v>
      </c>
      <c r="I22" s="52" t="s">
        <v>212</v>
      </c>
      <c r="J22" s="52" t="s">
        <v>212</v>
      </c>
      <c r="K22" s="52" t="s">
        <v>212</v>
      </c>
      <c r="L22" s="52" t="s">
        <v>212</v>
      </c>
      <c r="M22" s="52" t="s">
        <v>212</v>
      </c>
      <c r="N22" s="52" t="s">
        <v>212</v>
      </c>
      <c r="O22" s="52" t="s">
        <v>212</v>
      </c>
      <c r="P22" s="52" t="s">
        <v>212</v>
      </c>
      <c r="Q22" s="52" t="s">
        <v>212</v>
      </c>
      <c r="R22" s="52" t="s">
        <v>212</v>
      </c>
      <c r="S22" s="52" t="s">
        <v>212</v>
      </c>
      <c r="T22" s="52"/>
      <c r="U22" s="52"/>
      <c r="V22" s="52" t="s">
        <v>212</v>
      </c>
      <c r="W22" s="52" t="s">
        <v>212</v>
      </c>
      <c r="X22" s="52" t="s">
        <v>212</v>
      </c>
      <c r="Y22" s="52" t="s">
        <v>212</v>
      </c>
      <c r="Z22" s="52" t="s">
        <v>212</v>
      </c>
      <c r="AA22" s="52" t="s">
        <v>212</v>
      </c>
      <c r="AB22" s="52" t="s">
        <v>212</v>
      </c>
      <c r="AC22" s="52" t="s">
        <v>212</v>
      </c>
      <c r="AD22" s="52" t="s">
        <v>212</v>
      </c>
      <c r="AE22" s="52" t="s">
        <v>212</v>
      </c>
      <c r="AF22" s="52" t="s">
        <v>212</v>
      </c>
      <c r="AG22" s="52" t="s">
        <v>212</v>
      </c>
      <c r="AH22" s="52" t="s">
        <v>212</v>
      </c>
      <c r="AI22" s="52" t="s">
        <v>212</v>
      </c>
      <c r="AJ22" s="52" t="s">
        <v>212</v>
      </c>
      <c r="AK22" s="52" t="s">
        <v>212</v>
      </c>
      <c r="AL22" s="52" t="s">
        <v>212</v>
      </c>
      <c r="AM22" s="52" t="s">
        <v>212</v>
      </c>
      <c r="AN22" s="52" t="s">
        <v>212</v>
      </c>
      <c r="AO22" s="52" t="s">
        <v>212</v>
      </c>
      <c r="AP22" s="52" t="s">
        <v>212</v>
      </c>
      <c r="AQ22" s="52"/>
      <c r="AR22" s="52" t="s">
        <v>212</v>
      </c>
      <c r="AS22" s="52" t="s">
        <v>212</v>
      </c>
      <c r="AT22" s="52" t="s">
        <v>212</v>
      </c>
      <c r="AU22" s="52" t="s">
        <v>212</v>
      </c>
      <c r="AV22" s="52" t="s">
        <v>212</v>
      </c>
      <c r="AW22" s="52" t="s">
        <v>212</v>
      </c>
      <c r="AX22" s="52" t="s">
        <v>212</v>
      </c>
      <c r="AY22" s="52" t="s">
        <v>212</v>
      </c>
      <c r="AZ22" s="52" t="s">
        <v>212</v>
      </c>
      <c r="BA22" s="52" t="s">
        <v>212</v>
      </c>
      <c r="BB22" s="52" t="s">
        <v>212</v>
      </c>
      <c r="BC22" s="52" t="s">
        <v>212</v>
      </c>
      <c r="BD22" s="52" t="s">
        <v>212</v>
      </c>
      <c r="BE22" s="52" t="s">
        <v>212</v>
      </c>
      <c r="BF22" s="52" t="s">
        <v>212</v>
      </c>
      <c r="BG22" s="52" t="s">
        <v>212</v>
      </c>
    </row>
    <row r="23" spans="1:59">
      <c r="A23" s="53" t="s">
        <v>197</v>
      </c>
      <c r="B23" s="54">
        <v>1</v>
      </c>
      <c r="C23" s="55" t="s">
        <v>253</v>
      </c>
      <c r="D23" s="55" t="s">
        <v>214</v>
      </c>
      <c r="E23" s="55" t="s">
        <v>223</v>
      </c>
      <c r="F23" s="55" t="s">
        <v>252</v>
      </c>
      <c r="G23" s="55" t="s">
        <v>278</v>
      </c>
      <c r="H23" s="55" t="s">
        <v>267</v>
      </c>
      <c r="I23" s="55" t="s">
        <v>297</v>
      </c>
      <c r="J23" s="55" t="s">
        <v>245</v>
      </c>
      <c r="K23" s="55" t="s">
        <v>279</v>
      </c>
      <c r="L23" s="55" t="s">
        <v>230</v>
      </c>
      <c r="M23" s="55" t="s">
        <v>249</v>
      </c>
      <c r="N23" s="55" t="s">
        <v>274</v>
      </c>
      <c r="O23" s="55" t="s">
        <v>222</v>
      </c>
      <c r="P23" s="55" t="s">
        <v>273</v>
      </c>
      <c r="Q23" s="55" t="s">
        <v>209</v>
      </c>
      <c r="R23" s="55" t="s">
        <v>212</v>
      </c>
      <c r="S23" s="55" t="s">
        <v>212</v>
      </c>
      <c r="T23" s="55"/>
      <c r="U23" s="55"/>
      <c r="V23" s="55" t="s">
        <v>293</v>
      </c>
      <c r="W23" s="55" t="s">
        <v>224</v>
      </c>
      <c r="X23" s="55" t="s">
        <v>240</v>
      </c>
      <c r="Y23" s="55" t="s">
        <v>248</v>
      </c>
      <c r="Z23" s="55" t="s">
        <v>277</v>
      </c>
      <c r="AA23" s="55" t="s">
        <v>242</v>
      </c>
      <c r="AB23" s="55" t="s">
        <v>206</v>
      </c>
      <c r="AC23" s="55" t="s">
        <v>266</v>
      </c>
      <c r="AD23" s="55" t="s">
        <v>239</v>
      </c>
      <c r="AE23" s="55" t="s">
        <v>244</v>
      </c>
      <c r="AF23" s="55" t="s">
        <v>241</v>
      </c>
      <c r="AG23" s="55" t="s">
        <v>276</v>
      </c>
      <c r="AH23" s="55" t="s">
        <v>219</v>
      </c>
      <c r="AI23" s="55" t="s">
        <v>208</v>
      </c>
      <c r="AJ23" s="55" t="s">
        <v>212</v>
      </c>
      <c r="AK23" s="55" t="s">
        <v>212</v>
      </c>
      <c r="AL23" s="55" t="s">
        <v>212</v>
      </c>
      <c r="AM23" s="55" t="s">
        <v>271</v>
      </c>
      <c r="AN23" s="55" t="s">
        <v>231</v>
      </c>
      <c r="AO23" s="55" t="s">
        <v>221</v>
      </c>
      <c r="AP23" s="55" t="s">
        <v>283</v>
      </c>
      <c r="AQ23" s="55" t="s">
        <v>275</v>
      </c>
      <c r="AR23" s="55" t="s">
        <v>211</v>
      </c>
      <c r="AS23" s="55" t="s">
        <v>281</v>
      </c>
      <c r="AT23" s="55" t="s">
        <v>238</v>
      </c>
      <c r="AU23" s="55" t="s">
        <v>299</v>
      </c>
      <c r="AV23" s="55" t="s">
        <v>263</v>
      </c>
      <c r="AW23" s="55" t="s">
        <v>262</v>
      </c>
      <c r="AX23" s="55" t="s">
        <v>210</v>
      </c>
      <c r="AY23" s="55" t="s">
        <v>286</v>
      </c>
      <c r="AZ23" s="55" t="s">
        <v>250</v>
      </c>
      <c r="BA23" s="55" t="s">
        <v>265</v>
      </c>
      <c r="BB23" s="55" t="s">
        <v>216</v>
      </c>
      <c r="BC23" s="55" t="s">
        <v>298</v>
      </c>
      <c r="BD23" s="55" t="s">
        <v>261</v>
      </c>
      <c r="BE23" s="55" t="s">
        <v>312</v>
      </c>
      <c r="BF23" s="55" t="s">
        <v>234</v>
      </c>
      <c r="BG23" s="55" t="s">
        <v>270</v>
      </c>
    </row>
    <row r="24" spans="1:59">
      <c r="A24" s="45" t="s">
        <v>192</v>
      </c>
      <c r="B24" s="56">
        <v>2</v>
      </c>
      <c r="C24" s="48" t="s">
        <v>253</v>
      </c>
      <c r="D24" s="48" t="s">
        <v>214</v>
      </c>
      <c r="E24" s="48" t="s">
        <v>223</v>
      </c>
      <c r="F24" s="48" t="s">
        <v>252</v>
      </c>
      <c r="G24" s="48" t="s">
        <v>278</v>
      </c>
      <c r="H24" s="48" t="s">
        <v>216</v>
      </c>
      <c r="I24" s="48" t="s">
        <v>262</v>
      </c>
      <c r="J24" s="48" t="s">
        <v>245</v>
      </c>
      <c r="K24" s="48" t="s">
        <v>230</v>
      </c>
      <c r="L24" s="48" t="s">
        <v>209</v>
      </c>
      <c r="M24" s="48" t="s">
        <v>249</v>
      </c>
      <c r="N24" s="48" t="s">
        <v>270</v>
      </c>
      <c r="O24" s="48" t="s">
        <v>222</v>
      </c>
      <c r="P24" s="48" t="s">
        <v>288</v>
      </c>
      <c r="Q24" s="48" t="s">
        <v>273</v>
      </c>
      <c r="R24" s="48" t="s">
        <v>212</v>
      </c>
      <c r="S24" s="48" t="s">
        <v>212</v>
      </c>
      <c r="T24" s="48"/>
      <c r="U24" s="48"/>
      <c r="V24" s="48" t="s">
        <v>265</v>
      </c>
      <c r="W24" s="48" t="s">
        <v>267</v>
      </c>
      <c r="X24" s="48" t="s">
        <v>240</v>
      </c>
      <c r="Y24" s="48" t="s">
        <v>211</v>
      </c>
      <c r="Z24" s="48" t="s">
        <v>277</v>
      </c>
      <c r="AA24" s="48" t="s">
        <v>238</v>
      </c>
      <c r="AB24" s="48" t="s">
        <v>234</v>
      </c>
      <c r="AC24" s="48" t="s">
        <v>266</v>
      </c>
      <c r="AD24" s="48" t="s">
        <v>239</v>
      </c>
      <c r="AE24" s="48" t="s">
        <v>285</v>
      </c>
      <c r="AF24" s="48" t="s">
        <v>206</v>
      </c>
      <c r="AG24" s="48" t="s">
        <v>293</v>
      </c>
      <c r="AH24" s="48" t="s">
        <v>219</v>
      </c>
      <c r="AI24" s="48" t="s">
        <v>281</v>
      </c>
      <c r="AJ24" s="48" t="s">
        <v>212</v>
      </c>
      <c r="AK24" s="48" t="s">
        <v>212</v>
      </c>
      <c r="AL24" s="48" t="s">
        <v>212</v>
      </c>
      <c r="AM24" s="48" t="s">
        <v>271</v>
      </c>
      <c r="AN24" s="48" t="s">
        <v>215</v>
      </c>
      <c r="AO24" s="48" t="s">
        <v>221</v>
      </c>
      <c r="AP24" s="48" t="s">
        <v>210</v>
      </c>
      <c r="AQ24" s="48" t="s">
        <v>275</v>
      </c>
      <c r="AR24" s="48" t="s">
        <v>261</v>
      </c>
      <c r="AS24" s="48" t="s">
        <v>231</v>
      </c>
      <c r="AT24" s="48" t="s">
        <v>276</v>
      </c>
      <c r="AU24" s="48" t="s">
        <v>299</v>
      </c>
      <c r="AV24" s="48" t="s">
        <v>264</v>
      </c>
      <c r="AW24" s="48" t="s">
        <v>244</v>
      </c>
      <c r="AX24" s="48" t="s">
        <v>248</v>
      </c>
      <c r="AY24" s="48" t="s">
        <v>286</v>
      </c>
      <c r="AZ24" s="48" t="s">
        <v>250</v>
      </c>
      <c r="BA24" s="48" t="s">
        <v>242</v>
      </c>
      <c r="BB24" s="48" t="s">
        <v>283</v>
      </c>
      <c r="BC24" s="48" t="s">
        <v>298</v>
      </c>
      <c r="BD24" s="48" t="s">
        <v>208</v>
      </c>
      <c r="BE24" s="48" t="s">
        <v>312</v>
      </c>
      <c r="BF24" s="48" t="s">
        <v>297</v>
      </c>
      <c r="BG24" s="48" t="s">
        <v>279</v>
      </c>
    </row>
    <row r="25" spans="1:59">
      <c r="A25" s="45" t="s">
        <v>198</v>
      </c>
      <c r="B25" s="56">
        <v>3</v>
      </c>
      <c r="C25" s="48" t="s">
        <v>279</v>
      </c>
      <c r="D25" s="48" t="s">
        <v>283</v>
      </c>
      <c r="E25" s="48" t="s">
        <v>252</v>
      </c>
      <c r="F25" s="48" t="s">
        <v>254</v>
      </c>
      <c r="G25" s="48" t="s">
        <v>230</v>
      </c>
      <c r="H25" s="48" t="s">
        <v>266</v>
      </c>
      <c r="I25" s="48" t="s">
        <v>210</v>
      </c>
      <c r="J25" s="48" t="s">
        <v>297</v>
      </c>
      <c r="K25" s="48" t="s">
        <v>221</v>
      </c>
      <c r="L25" s="48" t="s">
        <v>286</v>
      </c>
      <c r="M25" s="48" t="s">
        <v>222</v>
      </c>
      <c r="N25" s="48" t="s">
        <v>271</v>
      </c>
      <c r="O25" s="48" t="s">
        <v>274</v>
      </c>
      <c r="P25" s="48" t="s">
        <v>270</v>
      </c>
      <c r="Q25" s="48" t="s">
        <v>273</v>
      </c>
      <c r="R25" s="48" t="s">
        <v>212</v>
      </c>
      <c r="S25" s="48" t="s">
        <v>212</v>
      </c>
      <c r="T25" s="48"/>
      <c r="U25" s="48"/>
      <c r="V25" s="48" t="s">
        <v>275</v>
      </c>
      <c r="W25" s="48" t="s">
        <v>214</v>
      </c>
      <c r="X25" s="48" t="s">
        <v>224</v>
      </c>
      <c r="Y25" s="48" t="s">
        <v>211</v>
      </c>
      <c r="Z25" s="48" t="s">
        <v>219</v>
      </c>
      <c r="AA25" s="48" t="s">
        <v>238</v>
      </c>
      <c r="AB25" s="48" t="s">
        <v>298</v>
      </c>
      <c r="AC25" s="48" t="s">
        <v>293</v>
      </c>
      <c r="AD25" s="48" t="s">
        <v>277</v>
      </c>
      <c r="AE25" s="48" t="s">
        <v>276</v>
      </c>
      <c r="AF25" s="48" t="s">
        <v>267</v>
      </c>
      <c r="AG25" s="48" t="s">
        <v>253</v>
      </c>
      <c r="AH25" s="48" t="s">
        <v>285</v>
      </c>
      <c r="AI25" s="48" t="s">
        <v>295</v>
      </c>
      <c r="AJ25" s="48" t="s">
        <v>212</v>
      </c>
      <c r="AK25" s="48" t="s">
        <v>212</v>
      </c>
      <c r="AL25" s="48" t="s">
        <v>212</v>
      </c>
      <c r="AM25" s="48" t="s">
        <v>243</v>
      </c>
      <c r="AN25" s="48" t="s">
        <v>208</v>
      </c>
      <c r="AO25" s="48" t="s">
        <v>278</v>
      </c>
      <c r="AP25" s="48" t="s">
        <v>250</v>
      </c>
      <c r="AQ25" s="48" t="s">
        <v>248</v>
      </c>
      <c r="AR25" s="48" t="s">
        <v>261</v>
      </c>
      <c r="AS25" s="48" t="s">
        <v>206</v>
      </c>
      <c r="AT25" s="48" t="s">
        <v>244</v>
      </c>
      <c r="AU25" s="48" t="s">
        <v>245</v>
      </c>
      <c r="AV25" s="48" t="s">
        <v>288</v>
      </c>
      <c r="AW25" s="48" t="s">
        <v>240</v>
      </c>
      <c r="AX25" s="48" t="s">
        <v>216</v>
      </c>
      <c r="AY25" s="48" t="s">
        <v>264</v>
      </c>
      <c r="AZ25" s="48" t="s">
        <v>299</v>
      </c>
      <c r="BA25" s="48" t="s">
        <v>242</v>
      </c>
      <c r="BB25" s="48" t="s">
        <v>263</v>
      </c>
      <c r="BC25" s="48" t="s">
        <v>234</v>
      </c>
      <c r="BD25" s="48" t="s">
        <v>239</v>
      </c>
      <c r="BE25" s="48" t="s">
        <v>209</v>
      </c>
      <c r="BF25" s="48" t="s">
        <v>241</v>
      </c>
      <c r="BG25" s="48" t="s">
        <v>231</v>
      </c>
    </row>
    <row r="26" spans="1:59">
      <c r="A26" s="45"/>
      <c r="B26" s="56">
        <v>4</v>
      </c>
      <c r="C26" s="48" t="s">
        <v>279</v>
      </c>
      <c r="D26" s="48" t="s">
        <v>283</v>
      </c>
      <c r="E26" s="48" t="s">
        <v>252</v>
      </c>
      <c r="F26" s="48" t="s">
        <v>254</v>
      </c>
      <c r="G26" s="48" t="s">
        <v>288</v>
      </c>
      <c r="H26" s="48" t="s">
        <v>253</v>
      </c>
      <c r="I26" s="48" t="s">
        <v>266</v>
      </c>
      <c r="J26" s="48" t="s">
        <v>297</v>
      </c>
      <c r="K26" s="48" t="s">
        <v>221</v>
      </c>
      <c r="L26" s="48" t="s">
        <v>286</v>
      </c>
      <c r="M26" s="48" t="s">
        <v>222</v>
      </c>
      <c r="N26" s="48" t="s">
        <v>223</v>
      </c>
      <c r="O26" s="48" t="s">
        <v>274</v>
      </c>
      <c r="P26" s="48" t="s">
        <v>265</v>
      </c>
      <c r="Q26" s="48" t="s">
        <v>262</v>
      </c>
      <c r="R26" s="48" t="s">
        <v>212</v>
      </c>
      <c r="S26" s="48" t="s">
        <v>212</v>
      </c>
      <c r="T26" s="48"/>
      <c r="U26" s="48"/>
      <c r="V26" s="48" t="s">
        <v>275</v>
      </c>
      <c r="W26" s="48" t="s">
        <v>214</v>
      </c>
      <c r="X26" s="48" t="s">
        <v>224</v>
      </c>
      <c r="Y26" s="48" t="s">
        <v>234</v>
      </c>
      <c r="Z26" s="48" t="s">
        <v>219</v>
      </c>
      <c r="AA26" s="48" t="s">
        <v>230</v>
      </c>
      <c r="AB26" s="48" t="s">
        <v>264</v>
      </c>
      <c r="AC26" s="48" t="s">
        <v>208</v>
      </c>
      <c r="AD26" s="48" t="s">
        <v>277</v>
      </c>
      <c r="AE26" s="48" t="s">
        <v>211</v>
      </c>
      <c r="AF26" s="48" t="s">
        <v>293</v>
      </c>
      <c r="AG26" s="48" t="s">
        <v>285</v>
      </c>
      <c r="AH26" s="48" t="s">
        <v>276</v>
      </c>
      <c r="AI26" s="48" t="s">
        <v>298</v>
      </c>
      <c r="AJ26" s="48" t="s">
        <v>212</v>
      </c>
      <c r="AK26" s="48" t="s">
        <v>212</v>
      </c>
      <c r="AL26" s="48" t="s">
        <v>212</v>
      </c>
      <c r="AM26" s="48" t="s">
        <v>243</v>
      </c>
      <c r="AN26" s="48" t="s">
        <v>267</v>
      </c>
      <c r="AO26" s="48" t="s">
        <v>210</v>
      </c>
      <c r="AP26" s="48" t="s">
        <v>250</v>
      </c>
      <c r="AQ26" s="48" t="s">
        <v>248</v>
      </c>
      <c r="AR26" s="48" t="s">
        <v>242</v>
      </c>
      <c r="AS26" s="48" t="s">
        <v>206</v>
      </c>
      <c r="AT26" s="48" t="s">
        <v>244</v>
      </c>
      <c r="AU26" s="48" t="s">
        <v>261</v>
      </c>
      <c r="AV26" s="48" t="s">
        <v>245</v>
      </c>
      <c r="AW26" s="48" t="s">
        <v>263</v>
      </c>
      <c r="AX26" s="48" t="s">
        <v>216</v>
      </c>
      <c r="AY26" s="48" t="s">
        <v>215</v>
      </c>
      <c r="AZ26" s="48" t="s">
        <v>299</v>
      </c>
      <c r="BA26" s="48" t="s">
        <v>238</v>
      </c>
      <c r="BB26" s="48" t="s">
        <v>273</v>
      </c>
      <c r="BC26" s="48" t="s">
        <v>270</v>
      </c>
      <c r="BD26" s="48" t="s">
        <v>239</v>
      </c>
      <c r="BE26" s="48" t="s">
        <v>209</v>
      </c>
      <c r="BF26" s="48" t="s">
        <v>241</v>
      </c>
      <c r="BG26" s="48" t="s">
        <v>231</v>
      </c>
    </row>
    <row r="27" spans="1:59" ht="16" thickBot="1">
      <c r="A27" s="50"/>
      <c r="B27" s="57">
        <v>5</v>
      </c>
      <c r="C27" s="52" t="s">
        <v>212</v>
      </c>
      <c r="D27" s="52" t="s">
        <v>212</v>
      </c>
      <c r="E27" s="52" t="s">
        <v>212</v>
      </c>
      <c r="F27" s="52" t="s">
        <v>212</v>
      </c>
      <c r="G27" s="52" t="s">
        <v>212</v>
      </c>
      <c r="H27" s="52" t="s">
        <v>212</v>
      </c>
      <c r="I27" s="52" t="s">
        <v>212</v>
      </c>
      <c r="J27" s="52" t="s">
        <v>212</v>
      </c>
      <c r="K27" s="52" t="s">
        <v>212</v>
      </c>
      <c r="L27" s="52" t="s">
        <v>212</v>
      </c>
      <c r="M27" s="52" t="s">
        <v>212</v>
      </c>
      <c r="N27" s="52" t="s">
        <v>212</v>
      </c>
      <c r="O27" s="52" t="s">
        <v>212</v>
      </c>
      <c r="P27" s="52" t="s">
        <v>212</v>
      </c>
      <c r="Q27" s="52" t="s">
        <v>212</v>
      </c>
      <c r="R27" s="52" t="s">
        <v>212</v>
      </c>
      <c r="S27" s="52" t="s">
        <v>212</v>
      </c>
      <c r="T27" s="52"/>
      <c r="U27" s="52"/>
      <c r="V27" s="52" t="s">
        <v>212</v>
      </c>
      <c r="W27" s="52" t="s">
        <v>212</v>
      </c>
      <c r="X27" s="52" t="s">
        <v>212</v>
      </c>
      <c r="Y27" s="52" t="s">
        <v>212</v>
      </c>
      <c r="Z27" s="52" t="s">
        <v>212</v>
      </c>
      <c r="AA27" s="52" t="s">
        <v>212</v>
      </c>
      <c r="AB27" s="52" t="s">
        <v>212</v>
      </c>
      <c r="AC27" s="52" t="s">
        <v>212</v>
      </c>
      <c r="AD27" s="52" t="s">
        <v>212</v>
      </c>
      <c r="AE27" s="52" t="s">
        <v>212</v>
      </c>
      <c r="AF27" s="52" t="s">
        <v>212</v>
      </c>
      <c r="AG27" s="52" t="s">
        <v>212</v>
      </c>
      <c r="AH27" s="52" t="s">
        <v>212</v>
      </c>
      <c r="AI27" s="52" t="s">
        <v>212</v>
      </c>
      <c r="AJ27" s="52" t="s">
        <v>212</v>
      </c>
      <c r="AK27" s="52" t="s">
        <v>212</v>
      </c>
      <c r="AL27" s="52" t="s">
        <v>212</v>
      </c>
      <c r="AM27" s="52" t="s">
        <v>212</v>
      </c>
      <c r="AN27" s="52" t="s">
        <v>212</v>
      </c>
      <c r="AO27" s="52" t="s">
        <v>212</v>
      </c>
      <c r="AP27" s="52" t="s">
        <v>212</v>
      </c>
      <c r="AQ27" s="52" t="s">
        <v>212</v>
      </c>
      <c r="AR27" s="52" t="s">
        <v>212</v>
      </c>
      <c r="AS27" s="52" t="s">
        <v>212</v>
      </c>
      <c r="AT27" s="52" t="s">
        <v>212</v>
      </c>
      <c r="AU27" s="52" t="s">
        <v>212</v>
      </c>
      <c r="AV27" s="52" t="s">
        <v>212</v>
      </c>
      <c r="AW27" s="52"/>
      <c r="AX27" s="52" t="s">
        <v>212</v>
      </c>
      <c r="AY27" s="52" t="s">
        <v>212</v>
      </c>
      <c r="AZ27" s="52" t="s">
        <v>212</v>
      </c>
      <c r="BA27" s="52" t="s">
        <v>212</v>
      </c>
      <c r="BB27" s="52" t="s">
        <v>212</v>
      </c>
      <c r="BC27" s="52" t="s">
        <v>212</v>
      </c>
      <c r="BD27" s="52" t="s">
        <v>212</v>
      </c>
      <c r="BE27" s="52" t="s">
        <v>212</v>
      </c>
      <c r="BF27" s="52" t="s">
        <v>212</v>
      </c>
      <c r="BG27" s="52" t="s">
        <v>212</v>
      </c>
    </row>
    <row r="28" spans="1:59">
      <c r="A28" s="53" t="s">
        <v>199</v>
      </c>
      <c r="B28" s="54">
        <v>1</v>
      </c>
      <c r="C28" s="55" t="s">
        <v>212</v>
      </c>
      <c r="D28" s="55" t="s">
        <v>212</v>
      </c>
      <c r="E28" s="55" t="s">
        <v>212</v>
      </c>
      <c r="F28" s="55" t="s">
        <v>212</v>
      </c>
      <c r="G28" s="55" t="s">
        <v>212</v>
      </c>
      <c r="H28" s="55" t="s">
        <v>212</v>
      </c>
      <c r="I28" s="55" t="s">
        <v>212</v>
      </c>
      <c r="J28" s="55" t="s">
        <v>212</v>
      </c>
      <c r="K28" s="55" t="s">
        <v>212</v>
      </c>
      <c r="L28" s="55" t="s">
        <v>212</v>
      </c>
      <c r="M28" s="55" t="s">
        <v>212</v>
      </c>
      <c r="N28" s="55" t="s">
        <v>212</v>
      </c>
      <c r="O28" s="55" t="s">
        <v>212</v>
      </c>
      <c r="P28" s="55" t="s">
        <v>212</v>
      </c>
      <c r="Q28" s="55"/>
      <c r="R28" s="55"/>
      <c r="S28" s="55"/>
      <c r="T28" s="55"/>
      <c r="U28" s="55"/>
      <c r="V28" s="55" t="s">
        <v>212</v>
      </c>
      <c r="W28" s="55" t="s">
        <v>212</v>
      </c>
      <c r="X28" s="55" t="s">
        <v>212</v>
      </c>
      <c r="Y28" s="55" t="s">
        <v>248</v>
      </c>
      <c r="Z28" s="55" t="s">
        <v>212</v>
      </c>
      <c r="AA28" s="55" t="s">
        <v>212</v>
      </c>
      <c r="AB28" s="55" t="s">
        <v>212</v>
      </c>
      <c r="AC28" s="55" t="s">
        <v>212</v>
      </c>
      <c r="AD28" s="55" t="s">
        <v>212</v>
      </c>
      <c r="AE28" s="55" t="s">
        <v>212</v>
      </c>
      <c r="AF28" s="55" t="s">
        <v>212</v>
      </c>
      <c r="AG28" s="55" t="s">
        <v>212</v>
      </c>
      <c r="AH28" s="55" t="s">
        <v>212</v>
      </c>
      <c r="AI28" s="55" t="s">
        <v>212</v>
      </c>
      <c r="AJ28" s="55" t="s">
        <v>212</v>
      </c>
      <c r="AK28" s="55" t="s">
        <v>212</v>
      </c>
      <c r="AL28" s="55" t="s">
        <v>212</v>
      </c>
      <c r="AM28" s="55" t="s">
        <v>212</v>
      </c>
      <c r="AN28" s="55" t="s">
        <v>251</v>
      </c>
      <c r="AO28" s="55" t="s">
        <v>212</v>
      </c>
      <c r="AP28" s="55" t="s">
        <v>212</v>
      </c>
      <c r="AQ28" s="55" t="s">
        <v>212</v>
      </c>
      <c r="AR28" s="55" t="s">
        <v>212</v>
      </c>
      <c r="AS28" s="55" t="s">
        <v>212</v>
      </c>
      <c r="AT28" s="55" t="s">
        <v>212</v>
      </c>
      <c r="AU28" s="55" t="s">
        <v>212</v>
      </c>
      <c r="AV28" s="55" t="s">
        <v>282</v>
      </c>
      <c r="AW28" s="55" t="s">
        <v>212</v>
      </c>
      <c r="AX28" s="55" t="s">
        <v>212</v>
      </c>
      <c r="AY28" s="55" t="s">
        <v>212</v>
      </c>
      <c r="AZ28" s="55" t="s">
        <v>212</v>
      </c>
      <c r="BA28" s="55" t="s">
        <v>212</v>
      </c>
      <c r="BB28" s="55" t="s">
        <v>212</v>
      </c>
      <c r="BC28" s="55" t="s">
        <v>212</v>
      </c>
      <c r="BD28" s="55" t="s">
        <v>212</v>
      </c>
      <c r="BE28" s="55" t="s">
        <v>212</v>
      </c>
      <c r="BF28" s="55" t="s">
        <v>212</v>
      </c>
      <c r="BG28" s="55" t="s">
        <v>293</v>
      </c>
    </row>
    <row r="29" spans="1:59">
      <c r="A29" s="45" t="s">
        <v>192</v>
      </c>
      <c r="B29" s="56">
        <v>2</v>
      </c>
      <c r="C29" s="48" t="s">
        <v>212</v>
      </c>
      <c r="D29" s="48" t="s">
        <v>212</v>
      </c>
      <c r="E29" s="48" t="s">
        <v>212</v>
      </c>
      <c r="F29" s="48" t="s">
        <v>212</v>
      </c>
      <c r="G29" s="48" t="s">
        <v>212</v>
      </c>
      <c r="H29" s="48" t="s">
        <v>212</v>
      </c>
      <c r="I29" s="48" t="s">
        <v>212</v>
      </c>
      <c r="J29" s="48" t="s">
        <v>212</v>
      </c>
      <c r="K29" s="48" t="s">
        <v>212</v>
      </c>
      <c r="L29" s="48" t="s">
        <v>212</v>
      </c>
      <c r="M29" s="48" t="s">
        <v>212</v>
      </c>
      <c r="N29" s="48" t="s">
        <v>212</v>
      </c>
      <c r="O29" s="48" t="s">
        <v>212</v>
      </c>
      <c r="P29" s="48" t="s">
        <v>212</v>
      </c>
      <c r="Q29" s="48"/>
      <c r="R29" s="48"/>
      <c r="S29" s="48"/>
      <c r="T29" s="48"/>
      <c r="U29" s="48"/>
      <c r="V29" s="48" t="s">
        <v>212</v>
      </c>
      <c r="W29" s="48" t="s">
        <v>212</v>
      </c>
      <c r="X29" s="48" t="s">
        <v>212</v>
      </c>
      <c r="Y29" s="48" t="s">
        <v>212</v>
      </c>
      <c r="Z29" s="48" t="s">
        <v>282</v>
      </c>
      <c r="AA29" s="48" t="s">
        <v>212</v>
      </c>
      <c r="AB29" s="48" t="s">
        <v>212</v>
      </c>
      <c r="AC29" s="48" t="s">
        <v>212</v>
      </c>
      <c r="AD29" s="48" t="s">
        <v>212</v>
      </c>
      <c r="AE29" s="48" t="s">
        <v>207</v>
      </c>
      <c r="AF29" s="48" t="s">
        <v>293</v>
      </c>
      <c r="AG29" s="48" t="s">
        <v>248</v>
      </c>
      <c r="AH29" s="48" t="s">
        <v>212</v>
      </c>
      <c r="AI29" s="48" t="s">
        <v>295</v>
      </c>
      <c r="AJ29" s="48" t="s">
        <v>212</v>
      </c>
      <c r="AK29" s="48" t="s">
        <v>212</v>
      </c>
      <c r="AL29" s="48" t="s">
        <v>212</v>
      </c>
      <c r="AM29" s="48" t="s">
        <v>212</v>
      </c>
      <c r="AN29" s="48" t="s">
        <v>212</v>
      </c>
      <c r="AO29" s="48" t="s">
        <v>212</v>
      </c>
      <c r="AP29" s="48" t="s">
        <v>212</v>
      </c>
      <c r="AQ29" s="48" t="s">
        <v>212</v>
      </c>
      <c r="AR29" s="48" t="s">
        <v>212</v>
      </c>
      <c r="AS29" s="48" t="s">
        <v>212</v>
      </c>
      <c r="AT29" s="48" t="s">
        <v>212</v>
      </c>
      <c r="AU29" s="48" t="s">
        <v>212</v>
      </c>
      <c r="AV29" s="48" t="s">
        <v>212</v>
      </c>
      <c r="AW29" s="48" t="s">
        <v>212</v>
      </c>
      <c r="AX29" s="48" t="s">
        <v>212</v>
      </c>
      <c r="AY29" s="48" t="s">
        <v>212</v>
      </c>
      <c r="AZ29" s="48" t="s">
        <v>250</v>
      </c>
      <c r="BA29" s="48" t="s">
        <v>251</v>
      </c>
      <c r="BB29" s="48" t="s">
        <v>212</v>
      </c>
      <c r="BC29" s="48" t="s">
        <v>212</v>
      </c>
      <c r="BD29" s="48" t="s">
        <v>212</v>
      </c>
      <c r="BE29" s="48" t="s">
        <v>243</v>
      </c>
      <c r="BF29" s="48" t="s">
        <v>212</v>
      </c>
      <c r="BG29" s="48" t="s">
        <v>212</v>
      </c>
    </row>
    <row r="30" spans="1:59">
      <c r="A30" s="45" t="s">
        <v>200</v>
      </c>
      <c r="B30" s="56">
        <v>3</v>
      </c>
      <c r="C30" s="48" t="s">
        <v>212</v>
      </c>
      <c r="D30" s="48" t="s">
        <v>212</v>
      </c>
      <c r="E30" s="48" t="s">
        <v>212</v>
      </c>
      <c r="F30" s="48" t="s">
        <v>212</v>
      </c>
      <c r="G30" s="48" t="s">
        <v>212</v>
      </c>
      <c r="H30" s="48" t="s">
        <v>212</v>
      </c>
      <c r="I30" s="48" t="s">
        <v>212</v>
      </c>
      <c r="J30" s="48" t="s">
        <v>212</v>
      </c>
      <c r="K30" s="48" t="s">
        <v>212</v>
      </c>
      <c r="L30" s="48" t="s">
        <v>212</v>
      </c>
      <c r="M30" s="48" t="s">
        <v>212</v>
      </c>
      <c r="N30" s="48" t="s">
        <v>212</v>
      </c>
      <c r="O30" s="48" t="s">
        <v>212</v>
      </c>
      <c r="P30" s="48" t="s">
        <v>212</v>
      </c>
      <c r="Q30" s="48"/>
      <c r="R30" s="48"/>
      <c r="S30" s="48"/>
      <c r="T30" s="48"/>
      <c r="U30" s="48"/>
      <c r="V30" s="48" t="s">
        <v>212</v>
      </c>
      <c r="W30" s="48" t="s">
        <v>267</v>
      </c>
      <c r="X30" s="48" t="s">
        <v>228</v>
      </c>
      <c r="Y30" s="48" t="s">
        <v>212</v>
      </c>
      <c r="Z30" s="48" t="s">
        <v>212</v>
      </c>
      <c r="AA30" s="48" t="s">
        <v>230</v>
      </c>
      <c r="AB30" s="48" t="s">
        <v>247</v>
      </c>
      <c r="AC30" s="48" t="s">
        <v>226</v>
      </c>
      <c r="AD30" s="48" t="s">
        <v>243</v>
      </c>
      <c r="AE30" s="48" t="s">
        <v>212</v>
      </c>
      <c r="AF30" s="48" t="s">
        <v>212</v>
      </c>
      <c r="AG30" s="48" t="s">
        <v>212</v>
      </c>
      <c r="AH30" s="48" t="s">
        <v>239</v>
      </c>
      <c r="AI30" s="48" t="s">
        <v>212</v>
      </c>
      <c r="AJ30" s="48" t="s">
        <v>212</v>
      </c>
      <c r="AK30" s="48" t="s">
        <v>212</v>
      </c>
      <c r="AL30" s="48" t="s">
        <v>212</v>
      </c>
      <c r="AM30" s="48" t="s">
        <v>237</v>
      </c>
      <c r="AN30" s="48" t="s">
        <v>212</v>
      </c>
      <c r="AO30" s="48" t="s">
        <v>212</v>
      </c>
      <c r="AP30" s="48" t="s">
        <v>240</v>
      </c>
      <c r="AQ30" s="48" t="s">
        <v>254</v>
      </c>
      <c r="AR30" s="48" t="s">
        <v>293</v>
      </c>
      <c r="AS30" s="48" t="s">
        <v>295</v>
      </c>
      <c r="AT30" s="48" t="s">
        <v>250</v>
      </c>
      <c r="AU30" s="48" t="s">
        <v>278</v>
      </c>
      <c r="AV30" s="48" t="s">
        <v>212</v>
      </c>
      <c r="AW30" s="48" t="s">
        <v>212</v>
      </c>
      <c r="AX30" s="48" t="s">
        <v>248</v>
      </c>
      <c r="AY30" s="48" t="s">
        <v>212</v>
      </c>
      <c r="AZ30" s="48" t="s">
        <v>212</v>
      </c>
      <c r="BA30" s="48" t="s">
        <v>212</v>
      </c>
      <c r="BB30" s="48" t="s">
        <v>212</v>
      </c>
      <c r="BC30" s="48" t="s">
        <v>207</v>
      </c>
      <c r="BD30" s="48" t="s">
        <v>282</v>
      </c>
      <c r="BE30" s="48" t="s">
        <v>212</v>
      </c>
      <c r="BF30" s="48" t="s">
        <v>264</v>
      </c>
      <c r="BG30" s="48" t="s">
        <v>212</v>
      </c>
    </row>
    <row r="31" spans="1:59">
      <c r="A31" s="45"/>
      <c r="B31" s="56">
        <v>4</v>
      </c>
      <c r="C31" s="48" t="s">
        <v>212</v>
      </c>
      <c r="D31" s="48" t="s">
        <v>212</v>
      </c>
      <c r="E31" s="48" t="s">
        <v>212</v>
      </c>
      <c r="F31" s="48" t="s">
        <v>212</v>
      </c>
      <c r="G31" s="48" t="s">
        <v>212</v>
      </c>
      <c r="H31" s="48" t="s">
        <v>212</v>
      </c>
      <c r="I31" s="48" t="s">
        <v>212</v>
      </c>
      <c r="J31" s="48" t="s">
        <v>212</v>
      </c>
      <c r="K31" s="48" t="s">
        <v>212</v>
      </c>
      <c r="L31" s="48" t="s">
        <v>212</v>
      </c>
      <c r="M31" s="48" t="s">
        <v>212</v>
      </c>
      <c r="N31" s="48" t="s">
        <v>212</v>
      </c>
      <c r="O31" s="48" t="s">
        <v>212</v>
      </c>
      <c r="P31" s="48" t="s">
        <v>212</v>
      </c>
      <c r="Q31" s="48"/>
      <c r="R31" s="48"/>
      <c r="S31" s="48"/>
      <c r="T31" s="48"/>
      <c r="U31" s="48"/>
      <c r="V31" s="48" t="s">
        <v>293</v>
      </c>
      <c r="W31" s="48" t="s">
        <v>212</v>
      </c>
      <c r="X31" s="48" t="s">
        <v>212</v>
      </c>
      <c r="Y31" s="48" t="s">
        <v>212</v>
      </c>
      <c r="Z31" s="48" t="s">
        <v>212</v>
      </c>
      <c r="AA31" s="48" t="s">
        <v>212</v>
      </c>
      <c r="AB31" s="48" t="s">
        <v>212</v>
      </c>
      <c r="AC31" s="48" t="s">
        <v>212</v>
      </c>
      <c r="AD31" s="48" t="s">
        <v>212</v>
      </c>
      <c r="AE31" s="48" t="s">
        <v>212</v>
      </c>
      <c r="AF31" s="48" t="s">
        <v>212</v>
      </c>
      <c r="AG31" s="48" t="s">
        <v>212</v>
      </c>
      <c r="AH31" s="48" t="s">
        <v>212</v>
      </c>
      <c r="AI31" s="48" t="s">
        <v>212</v>
      </c>
      <c r="AJ31" s="48" t="s">
        <v>212</v>
      </c>
      <c r="AK31" s="48" t="s">
        <v>212</v>
      </c>
      <c r="AL31" s="48" t="s">
        <v>212</v>
      </c>
      <c r="AM31" s="48" t="s">
        <v>212</v>
      </c>
      <c r="AN31" s="48" t="s">
        <v>212</v>
      </c>
      <c r="AO31" s="48" t="s">
        <v>282</v>
      </c>
      <c r="AP31" s="48" t="s">
        <v>212</v>
      </c>
      <c r="AQ31" s="48" t="s">
        <v>212</v>
      </c>
      <c r="AR31" s="48" t="s">
        <v>212</v>
      </c>
      <c r="AS31" s="48" t="s">
        <v>212</v>
      </c>
      <c r="AT31" s="48" t="s">
        <v>212</v>
      </c>
      <c r="AU31" s="48" t="s">
        <v>212</v>
      </c>
      <c r="AV31" s="48" t="s">
        <v>212</v>
      </c>
      <c r="AW31" s="48" t="s">
        <v>212</v>
      </c>
      <c r="AX31" s="48" t="s">
        <v>212</v>
      </c>
      <c r="AY31" s="48" t="s">
        <v>212</v>
      </c>
      <c r="AZ31" s="48" t="s">
        <v>212</v>
      </c>
      <c r="BA31" s="48" t="s">
        <v>212</v>
      </c>
      <c r="BB31" s="48" t="s">
        <v>212</v>
      </c>
      <c r="BC31" s="48" t="s">
        <v>212</v>
      </c>
      <c r="BD31" s="48" t="s">
        <v>212</v>
      </c>
      <c r="BE31" s="48" t="s">
        <v>212</v>
      </c>
      <c r="BF31" s="48" t="s">
        <v>212</v>
      </c>
      <c r="BG31" s="48" t="s">
        <v>212</v>
      </c>
    </row>
    <row r="32" spans="1:59" ht="16" thickBot="1">
      <c r="A32" s="50"/>
      <c r="B32" s="57">
        <v>5</v>
      </c>
      <c r="C32" s="52" t="s">
        <v>212</v>
      </c>
      <c r="D32" s="52" t="s">
        <v>212</v>
      </c>
      <c r="E32" s="52" t="s">
        <v>212</v>
      </c>
      <c r="F32" s="52" t="s">
        <v>212</v>
      </c>
      <c r="G32" s="52" t="s">
        <v>212</v>
      </c>
      <c r="H32" s="52" t="s">
        <v>212</v>
      </c>
      <c r="I32" s="52" t="s">
        <v>212</v>
      </c>
      <c r="J32" s="52" t="s">
        <v>212</v>
      </c>
      <c r="K32" s="52" t="s">
        <v>212</v>
      </c>
      <c r="L32" s="52" t="s">
        <v>212</v>
      </c>
      <c r="M32" s="52" t="s">
        <v>212</v>
      </c>
      <c r="N32" s="52" t="s">
        <v>212</v>
      </c>
      <c r="O32" s="52" t="s">
        <v>212</v>
      </c>
      <c r="P32" s="52" t="s">
        <v>212</v>
      </c>
      <c r="Q32" s="52"/>
      <c r="R32" s="52"/>
      <c r="S32" s="52"/>
      <c r="T32" s="52"/>
      <c r="U32" s="52"/>
      <c r="V32" s="52" t="s">
        <v>212</v>
      </c>
      <c r="W32" s="52" t="s">
        <v>212</v>
      </c>
      <c r="X32" s="52" t="s">
        <v>212</v>
      </c>
      <c r="Y32" s="52" t="s">
        <v>212</v>
      </c>
      <c r="Z32" s="52" t="s">
        <v>212</v>
      </c>
      <c r="AA32" s="52" t="s">
        <v>212</v>
      </c>
      <c r="AB32" s="52" t="s">
        <v>212</v>
      </c>
      <c r="AC32" s="52" t="s">
        <v>212</v>
      </c>
      <c r="AD32" s="52" t="s">
        <v>212</v>
      </c>
      <c r="AE32" s="52" t="s">
        <v>212</v>
      </c>
      <c r="AF32" s="52" t="s">
        <v>212</v>
      </c>
      <c r="AG32" s="52" t="s">
        <v>212</v>
      </c>
      <c r="AH32" s="52" t="s">
        <v>212</v>
      </c>
      <c r="AI32" s="52" t="s">
        <v>212</v>
      </c>
      <c r="AJ32" s="52" t="s">
        <v>212</v>
      </c>
      <c r="AK32" s="52" t="s">
        <v>212</v>
      </c>
      <c r="AL32" s="52" t="s">
        <v>212</v>
      </c>
      <c r="AM32" s="52" t="s">
        <v>212</v>
      </c>
      <c r="AN32" s="52" t="s">
        <v>212</v>
      </c>
      <c r="AO32" s="52" t="s">
        <v>212</v>
      </c>
      <c r="AP32" s="52" t="s">
        <v>212</v>
      </c>
      <c r="AQ32" s="52" t="s">
        <v>212</v>
      </c>
      <c r="AR32" s="52" t="s">
        <v>212</v>
      </c>
      <c r="AS32" s="52" t="s">
        <v>212</v>
      </c>
      <c r="AT32" s="52" t="s">
        <v>212</v>
      </c>
      <c r="AU32" s="52" t="s">
        <v>212</v>
      </c>
      <c r="AV32" s="52" t="s">
        <v>212</v>
      </c>
      <c r="AW32" s="52" t="s">
        <v>212</v>
      </c>
      <c r="AX32" s="52" t="s">
        <v>212</v>
      </c>
      <c r="AY32" s="52" t="s">
        <v>212</v>
      </c>
      <c r="AZ32" s="52" t="s">
        <v>212</v>
      </c>
      <c r="BA32" s="52" t="s">
        <v>212</v>
      </c>
      <c r="BB32" s="52" t="s">
        <v>212</v>
      </c>
      <c r="BC32" s="52" t="s">
        <v>212</v>
      </c>
      <c r="BD32" s="52" t="s">
        <v>212</v>
      </c>
      <c r="BE32" s="52" t="s">
        <v>212</v>
      </c>
      <c r="BF32" s="52" t="s">
        <v>212</v>
      </c>
      <c r="BG32" s="52" t="s">
        <v>212</v>
      </c>
    </row>
    <row r="38" spans="1:57">
      <c r="A38" s="58" t="s">
        <v>317</v>
      </c>
      <c r="B38" s="58"/>
      <c r="C38" t="s">
        <v>186</v>
      </c>
      <c r="Y38" t="s">
        <v>184</v>
      </c>
      <c r="AP38" t="s">
        <v>300</v>
      </c>
      <c r="AQ38" t="s">
        <v>301</v>
      </c>
      <c r="AR38" t="s">
        <v>185</v>
      </c>
    </row>
    <row r="39" spans="1:57" ht="16" thickBot="1">
      <c r="A39" s="41" t="s">
        <v>187</v>
      </c>
      <c r="B39" s="42" t="s">
        <v>188</v>
      </c>
      <c r="C39" t="s">
        <v>3</v>
      </c>
      <c r="D39" t="s">
        <v>6</v>
      </c>
      <c r="E39" t="s">
        <v>94</v>
      </c>
      <c r="F39" t="s">
        <v>9</v>
      </c>
      <c r="G39" t="s">
        <v>12</v>
      </c>
      <c r="H39" t="s">
        <v>14</v>
      </c>
      <c r="I39" t="s">
        <v>95</v>
      </c>
      <c r="J39" t="s">
        <v>96</v>
      </c>
      <c r="K39" t="s">
        <v>97</v>
      </c>
      <c r="L39" t="s">
        <v>91</v>
      </c>
      <c r="M39" t="s">
        <v>92</v>
      </c>
      <c r="N39" t="s">
        <v>17</v>
      </c>
      <c r="O39" t="s">
        <v>20</v>
      </c>
      <c r="P39" t="s">
        <v>23</v>
      </c>
      <c r="Q39" t="s">
        <v>26</v>
      </c>
      <c r="R39" t="s">
        <v>93</v>
      </c>
      <c r="S39" t="s">
        <v>28</v>
      </c>
      <c r="T39" t="s">
        <v>30</v>
      </c>
      <c r="U39" t="s">
        <v>33</v>
      </c>
      <c r="V39" t="s">
        <v>36</v>
      </c>
      <c r="W39" t="s">
        <v>37</v>
      </c>
      <c r="X39" t="s">
        <v>303</v>
      </c>
      <c r="Y39" t="s">
        <v>49</v>
      </c>
      <c r="Z39" t="s">
        <v>110</v>
      </c>
      <c r="AA39" t="s">
        <v>51</v>
      </c>
      <c r="AB39" t="s">
        <v>54</v>
      </c>
      <c r="AC39" t="s">
        <v>57</v>
      </c>
      <c r="AD39" t="s">
        <v>58</v>
      </c>
      <c r="AE39" t="s">
        <v>111</v>
      </c>
      <c r="AF39" t="s">
        <v>59</v>
      </c>
      <c r="AG39" t="s">
        <v>113</v>
      </c>
      <c r="AH39" t="s">
        <v>106</v>
      </c>
      <c r="AI39" t="s">
        <v>107</v>
      </c>
      <c r="AJ39" t="s">
        <v>108</v>
      </c>
      <c r="AK39" t="s">
        <v>61</v>
      </c>
      <c r="AL39" t="s">
        <v>109</v>
      </c>
      <c r="AM39" t="s">
        <v>62</v>
      </c>
      <c r="AN39" t="s">
        <v>304</v>
      </c>
      <c r="AO39" t="s">
        <v>305</v>
      </c>
      <c r="AP39" t="s">
        <v>306</v>
      </c>
      <c r="AQ39" t="s">
        <v>307</v>
      </c>
      <c r="AR39" t="s">
        <v>40</v>
      </c>
      <c r="AS39" t="s">
        <v>101</v>
      </c>
      <c r="AT39" t="s">
        <v>41</v>
      </c>
      <c r="AU39" t="s">
        <v>42</v>
      </c>
      <c r="AV39" t="s">
        <v>44</v>
      </c>
      <c r="AW39" t="s">
        <v>102</v>
      </c>
      <c r="AX39" t="s">
        <v>103</v>
      </c>
      <c r="AY39" t="s">
        <v>104</v>
      </c>
      <c r="AZ39" t="s">
        <v>105</v>
      </c>
      <c r="BA39" t="s">
        <v>98</v>
      </c>
      <c r="BB39" t="s">
        <v>45</v>
      </c>
      <c r="BC39" t="s">
        <v>99</v>
      </c>
      <c r="BD39" t="s">
        <v>48</v>
      </c>
      <c r="BE39" t="s">
        <v>100</v>
      </c>
    </row>
    <row r="40" spans="1:57">
      <c r="A40" s="45" t="s">
        <v>189</v>
      </c>
      <c r="B40" s="46">
        <v>1</v>
      </c>
      <c r="C40" s="215" t="s">
        <v>308</v>
      </c>
      <c r="D40" t="s">
        <v>309</v>
      </c>
      <c r="E40" t="s">
        <v>212</v>
      </c>
      <c r="F40" t="s">
        <v>283</v>
      </c>
      <c r="G40" t="s">
        <v>256</v>
      </c>
      <c r="H40" t="s">
        <v>212</v>
      </c>
      <c r="I40" s="215" t="e">
        <v>#N/A</v>
      </c>
      <c r="J40" t="s">
        <v>246</v>
      </c>
      <c r="K40" t="s">
        <v>217</v>
      </c>
      <c r="L40" t="s">
        <v>245</v>
      </c>
      <c r="M40" s="215" t="e">
        <v>#N/A</v>
      </c>
      <c r="N40" s="215" t="e">
        <v>#N/A</v>
      </c>
      <c r="O40" t="s">
        <v>233</v>
      </c>
      <c r="P40" t="s">
        <v>212</v>
      </c>
      <c r="Q40" t="s">
        <v>251</v>
      </c>
      <c r="R40" s="215" t="e">
        <v>#N/A</v>
      </c>
      <c r="S40" t="s">
        <v>241</v>
      </c>
      <c r="T40" s="58" t="e">
        <v>#N/A</v>
      </c>
      <c r="U40" t="s">
        <v>209</v>
      </c>
      <c r="V40" s="215" t="e">
        <v>#N/A</v>
      </c>
      <c r="W40" t="s">
        <v>262</v>
      </c>
      <c r="X40" t="s">
        <v>212</v>
      </c>
      <c r="Y40" t="s">
        <v>213</v>
      </c>
      <c r="Z40" t="s">
        <v>259</v>
      </c>
      <c r="AA40" t="s">
        <v>223</v>
      </c>
      <c r="AB40" t="s">
        <v>236</v>
      </c>
      <c r="AC40" t="s">
        <v>221</v>
      </c>
      <c r="AD40" t="s">
        <v>253</v>
      </c>
      <c r="AE40" t="s">
        <v>266</v>
      </c>
      <c r="AF40" t="s">
        <v>297</v>
      </c>
      <c r="AG40" t="s">
        <v>235</v>
      </c>
      <c r="AH40" t="s">
        <v>271</v>
      </c>
      <c r="AI40" t="s">
        <v>255</v>
      </c>
      <c r="AJ40" t="s">
        <v>274</v>
      </c>
      <c r="AK40" t="s">
        <v>273</v>
      </c>
      <c r="AL40" t="s">
        <v>270</v>
      </c>
      <c r="AM40" t="s">
        <v>215</v>
      </c>
      <c r="AN40" t="s">
        <v>212</v>
      </c>
      <c r="AO40" t="s">
        <v>212</v>
      </c>
      <c r="AP40" t="s">
        <v>212</v>
      </c>
      <c r="AQ40" t="s">
        <v>212</v>
      </c>
      <c r="AR40" t="s">
        <v>226</v>
      </c>
      <c r="AS40" t="s">
        <v>310</v>
      </c>
      <c r="AT40" t="s">
        <v>228</v>
      </c>
      <c r="AU40" s="215" t="e">
        <v>#N/A</v>
      </c>
      <c r="AV40" t="s">
        <v>260</v>
      </c>
      <c r="AW40" t="s">
        <v>232</v>
      </c>
      <c r="AX40" t="s">
        <v>212</v>
      </c>
      <c r="AY40" s="215" t="e">
        <v>#N/A</v>
      </c>
      <c r="AZ40" s="215" t="s">
        <v>308</v>
      </c>
      <c r="BA40" t="s">
        <v>244</v>
      </c>
      <c r="BB40" s="215" t="e">
        <v>#N/A</v>
      </c>
      <c r="BC40" t="s">
        <v>258</v>
      </c>
      <c r="BD40" t="s">
        <v>298</v>
      </c>
      <c r="BE40" s="215" t="e">
        <v>#N/A</v>
      </c>
    </row>
    <row r="41" spans="1:57">
      <c r="A41" s="45"/>
      <c r="B41" s="49">
        <v>2</v>
      </c>
      <c r="C41" s="215" t="s">
        <v>308</v>
      </c>
      <c r="D41" t="s">
        <v>309</v>
      </c>
      <c r="E41" t="s">
        <v>212</v>
      </c>
      <c r="F41" t="s">
        <v>283</v>
      </c>
      <c r="G41" t="s">
        <v>256</v>
      </c>
      <c r="H41" t="s">
        <v>212</v>
      </c>
      <c r="I41" s="215" t="e">
        <v>#N/A</v>
      </c>
      <c r="J41" t="s">
        <v>246</v>
      </c>
      <c r="K41" t="s">
        <v>217</v>
      </c>
      <c r="L41" t="s">
        <v>245</v>
      </c>
      <c r="M41" s="215" t="e">
        <v>#N/A</v>
      </c>
      <c r="N41" s="215" t="e">
        <v>#N/A</v>
      </c>
      <c r="O41" t="s">
        <v>270</v>
      </c>
      <c r="P41" t="s">
        <v>216</v>
      </c>
      <c r="Q41" t="s">
        <v>233</v>
      </c>
      <c r="R41" s="215" t="e">
        <v>#N/A</v>
      </c>
      <c r="S41" t="s">
        <v>241</v>
      </c>
      <c r="T41" s="58" t="e">
        <v>#N/A</v>
      </c>
      <c r="U41" t="s">
        <v>262</v>
      </c>
      <c r="V41" s="215" t="e">
        <v>#N/A</v>
      </c>
      <c r="W41" t="s">
        <v>265</v>
      </c>
      <c r="X41" t="s">
        <v>212</v>
      </c>
      <c r="Y41" t="s">
        <v>213</v>
      </c>
      <c r="Z41" t="s">
        <v>214</v>
      </c>
      <c r="AA41" t="s">
        <v>215</v>
      </c>
      <c r="AB41" t="s">
        <v>236</v>
      </c>
      <c r="AC41" t="s">
        <v>221</v>
      </c>
      <c r="AD41" t="s">
        <v>253</v>
      </c>
      <c r="AE41" t="s">
        <v>266</v>
      </c>
      <c r="AF41" t="s">
        <v>297</v>
      </c>
      <c r="AG41" t="s">
        <v>235</v>
      </c>
      <c r="AH41" t="s">
        <v>271</v>
      </c>
      <c r="AI41" t="s">
        <v>222</v>
      </c>
      <c r="AJ41" t="s">
        <v>228</v>
      </c>
      <c r="AK41" t="s">
        <v>274</v>
      </c>
      <c r="AL41" t="s">
        <v>273</v>
      </c>
      <c r="AM41" t="s">
        <v>209</v>
      </c>
      <c r="AN41" t="s">
        <v>212</v>
      </c>
      <c r="AO41" t="s">
        <v>212</v>
      </c>
      <c r="AP41" t="s">
        <v>212</v>
      </c>
      <c r="AQ41" t="s">
        <v>212</v>
      </c>
      <c r="AR41" t="s">
        <v>226</v>
      </c>
      <c r="AS41" t="s">
        <v>310</v>
      </c>
      <c r="AT41" t="s">
        <v>223</v>
      </c>
      <c r="AU41" s="215" t="e">
        <v>#N/A</v>
      </c>
      <c r="AV41" t="s">
        <v>260</v>
      </c>
      <c r="AW41" t="s">
        <v>232</v>
      </c>
      <c r="AX41" t="s">
        <v>212</v>
      </c>
      <c r="AY41" s="215" t="e">
        <v>#N/A</v>
      </c>
      <c r="AZ41" s="215" t="s">
        <v>308</v>
      </c>
      <c r="BA41" t="s">
        <v>244</v>
      </c>
      <c r="BB41" s="215" t="e">
        <v>#N/A</v>
      </c>
      <c r="BC41" t="s">
        <v>258</v>
      </c>
      <c r="BD41" t="s">
        <v>298</v>
      </c>
      <c r="BE41" s="215" t="e">
        <v>#N/A</v>
      </c>
    </row>
    <row r="42" spans="1:57">
      <c r="A42" s="45"/>
      <c r="B42" s="49">
        <v>3</v>
      </c>
      <c r="C42" s="215" t="e">
        <v>#N/A</v>
      </c>
      <c r="D42" t="s">
        <v>251</v>
      </c>
      <c r="E42" t="s">
        <v>212</v>
      </c>
      <c r="F42" t="s">
        <v>217</v>
      </c>
      <c r="G42" s="215" t="e">
        <v>#N/A</v>
      </c>
      <c r="H42" t="s">
        <v>212</v>
      </c>
      <c r="I42" t="s">
        <v>271</v>
      </c>
      <c r="J42" s="215" t="s">
        <v>308</v>
      </c>
      <c r="K42" s="215" t="e">
        <v>#N/A</v>
      </c>
      <c r="L42" t="s">
        <v>212</v>
      </c>
      <c r="M42" t="s">
        <v>262</v>
      </c>
      <c r="N42" t="s">
        <v>212</v>
      </c>
      <c r="O42" t="s">
        <v>215</v>
      </c>
      <c r="P42" t="s">
        <v>265</v>
      </c>
      <c r="Q42" t="s">
        <v>233</v>
      </c>
      <c r="R42" t="s">
        <v>212</v>
      </c>
      <c r="S42" s="215" t="s">
        <v>308</v>
      </c>
      <c r="T42" t="s">
        <v>212</v>
      </c>
      <c r="U42" s="215" t="e">
        <v>#N/A</v>
      </c>
      <c r="V42" t="s">
        <v>286</v>
      </c>
      <c r="W42" t="s">
        <v>270</v>
      </c>
      <c r="X42" t="s">
        <v>212</v>
      </c>
      <c r="Y42" t="s">
        <v>253</v>
      </c>
      <c r="Z42" t="s">
        <v>214</v>
      </c>
      <c r="AA42" t="s">
        <v>255</v>
      </c>
      <c r="AB42" t="s">
        <v>299</v>
      </c>
      <c r="AC42" t="s">
        <v>245</v>
      </c>
      <c r="AD42" t="s">
        <v>216</v>
      </c>
      <c r="AE42" t="s">
        <v>297</v>
      </c>
      <c r="AF42" t="s">
        <v>273</v>
      </c>
      <c r="AG42" t="s">
        <v>274</v>
      </c>
      <c r="AH42" t="s">
        <v>235</v>
      </c>
      <c r="AI42" t="s">
        <v>283</v>
      </c>
      <c r="AJ42" t="s">
        <v>259</v>
      </c>
      <c r="AK42" t="s">
        <v>222</v>
      </c>
      <c r="AL42" t="s">
        <v>236</v>
      </c>
      <c r="AM42" t="s">
        <v>209</v>
      </c>
      <c r="AN42" t="s">
        <v>212</v>
      </c>
      <c r="AO42" t="s">
        <v>212</v>
      </c>
      <c r="AP42" t="s">
        <v>212</v>
      </c>
      <c r="AQ42" t="s">
        <v>212</v>
      </c>
      <c r="AR42" t="s">
        <v>212</v>
      </c>
      <c r="AS42" t="s">
        <v>212</v>
      </c>
      <c r="AT42" t="s">
        <v>223</v>
      </c>
      <c r="AU42" t="s">
        <v>212</v>
      </c>
      <c r="AV42" s="215" t="e">
        <v>#N/A</v>
      </c>
      <c r="AW42" t="s">
        <v>212</v>
      </c>
      <c r="AX42" s="215" t="e">
        <v>#N/A</v>
      </c>
      <c r="AY42" t="s">
        <v>298</v>
      </c>
      <c r="AZ42" t="s">
        <v>212</v>
      </c>
      <c r="BA42" t="s">
        <v>212</v>
      </c>
      <c r="BB42" t="s">
        <v>212</v>
      </c>
      <c r="BC42" t="s">
        <v>212</v>
      </c>
      <c r="BD42" t="s">
        <v>212</v>
      </c>
      <c r="BE42" t="s">
        <v>212</v>
      </c>
    </row>
    <row r="43" spans="1:57">
      <c r="A43" s="45"/>
      <c r="B43" s="49">
        <v>4</v>
      </c>
      <c r="C43" s="215" t="e">
        <v>#N/A</v>
      </c>
      <c r="D43" t="s">
        <v>251</v>
      </c>
      <c r="E43" t="s">
        <v>212</v>
      </c>
      <c r="F43" t="s">
        <v>212</v>
      </c>
      <c r="G43" s="215" t="e">
        <v>#N/A</v>
      </c>
      <c r="H43" t="s">
        <v>212</v>
      </c>
      <c r="I43" t="s">
        <v>271</v>
      </c>
      <c r="J43" s="215" t="s">
        <v>308</v>
      </c>
      <c r="K43" s="215" t="e">
        <v>#N/A</v>
      </c>
      <c r="L43" t="s">
        <v>212</v>
      </c>
      <c r="M43" t="s">
        <v>212</v>
      </c>
      <c r="N43" t="s">
        <v>212</v>
      </c>
      <c r="O43" t="s">
        <v>212</v>
      </c>
      <c r="P43" t="s">
        <v>212</v>
      </c>
      <c r="Q43" t="s">
        <v>270</v>
      </c>
      <c r="R43" t="s">
        <v>212</v>
      </c>
      <c r="S43" s="215" t="s">
        <v>308</v>
      </c>
      <c r="T43" t="s">
        <v>212</v>
      </c>
      <c r="U43" s="215" t="e">
        <v>#N/A</v>
      </c>
      <c r="V43" t="s">
        <v>286</v>
      </c>
      <c r="W43" t="s">
        <v>212</v>
      </c>
      <c r="X43" t="s">
        <v>212</v>
      </c>
      <c r="Y43" t="s">
        <v>253</v>
      </c>
      <c r="Z43" t="s">
        <v>212</v>
      </c>
      <c r="AA43" t="s">
        <v>273</v>
      </c>
      <c r="AB43" t="s">
        <v>299</v>
      </c>
      <c r="AC43" t="s">
        <v>245</v>
      </c>
      <c r="AD43" t="s">
        <v>216</v>
      </c>
      <c r="AE43" t="s">
        <v>262</v>
      </c>
      <c r="AF43" t="s">
        <v>265</v>
      </c>
      <c r="AG43" t="s">
        <v>274</v>
      </c>
      <c r="AH43" t="s">
        <v>235</v>
      </c>
      <c r="AI43" t="s">
        <v>283</v>
      </c>
      <c r="AJ43" t="s">
        <v>259</v>
      </c>
      <c r="AK43" t="s">
        <v>222</v>
      </c>
      <c r="AL43" t="s">
        <v>228</v>
      </c>
      <c r="AM43" t="s">
        <v>212</v>
      </c>
      <c r="AN43" t="s">
        <v>212</v>
      </c>
      <c r="AO43" t="s">
        <v>212</v>
      </c>
      <c r="AP43" t="s">
        <v>212</v>
      </c>
      <c r="AQ43" t="s">
        <v>212</v>
      </c>
      <c r="AR43" t="s">
        <v>212</v>
      </c>
      <c r="AS43" t="s">
        <v>212</v>
      </c>
      <c r="AT43" t="s">
        <v>212</v>
      </c>
      <c r="AU43" t="s">
        <v>212</v>
      </c>
      <c r="AV43" s="215" t="e">
        <v>#N/A</v>
      </c>
      <c r="AW43" t="s">
        <v>212</v>
      </c>
      <c r="AX43" s="215" t="e">
        <v>#N/A</v>
      </c>
      <c r="AY43" t="s">
        <v>298</v>
      </c>
      <c r="AZ43" t="s">
        <v>212</v>
      </c>
      <c r="BA43" t="s">
        <v>212</v>
      </c>
      <c r="BB43" t="s">
        <v>212</v>
      </c>
      <c r="BC43" t="s">
        <v>212</v>
      </c>
      <c r="BD43" t="s">
        <v>212</v>
      </c>
      <c r="BE43" t="s">
        <v>212</v>
      </c>
    </row>
    <row r="44" spans="1:57" ht="16" thickBot="1">
      <c r="A44" s="50"/>
      <c r="B44" s="51">
        <v>5</v>
      </c>
      <c r="C44" t="s">
        <v>212</v>
      </c>
      <c r="D44" t="s">
        <v>212</v>
      </c>
      <c r="E44" t="s">
        <v>212</v>
      </c>
      <c r="F44" t="s">
        <v>212</v>
      </c>
      <c r="G44" t="s">
        <v>212</v>
      </c>
      <c r="H44" t="s">
        <v>212</v>
      </c>
      <c r="I44" t="s">
        <v>212</v>
      </c>
      <c r="J44" t="s">
        <v>212</v>
      </c>
      <c r="K44" t="s">
        <v>212</v>
      </c>
      <c r="L44" t="s">
        <v>212</v>
      </c>
      <c r="M44" t="s">
        <v>212</v>
      </c>
      <c r="N44" t="s">
        <v>212</v>
      </c>
      <c r="O44" t="s">
        <v>212</v>
      </c>
      <c r="P44" t="s">
        <v>212</v>
      </c>
      <c r="Q44" t="s">
        <v>212</v>
      </c>
      <c r="R44" t="s">
        <v>212</v>
      </c>
      <c r="S44" t="s">
        <v>212</v>
      </c>
      <c r="T44" t="s">
        <v>212</v>
      </c>
      <c r="U44" t="s">
        <v>212</v>
      </c>
      <c r="V44" t="s">
        <v>212</v>
      </c>
      <c r="W44" t="s">
        <v>212</v>
      </c>
      <c r="X44" t="s">
        <v>212</v>
      </c>
      <c r="Y44" t="s">
        <v>212</v>
      </c>
      <c r="Z44" t="s">
        <v>212</v>
      </c>
      <c r="AA44" t="s">
        <v>212</v>
      </c>
      <c r="AB44" t="s">
        <v>212</v>
      </c>
      <c r="AC44" t="s">
        <v>212</v>
      </c>
      <c r="AD44" t="s">
        <v>212</v>
      </c>
      <c r="AE44" t="s">
        <v>212</v>
      </c>
      <c r="AF44" t="s">
        <v>212</v>
      </c>
      <c r="AG44" t="s">
        <v>212</v>
      </c>
      <c r="AH44" t="s">
        <v>212</v>
      </c>
      <c r="AI44" t="s">
        <v>212</v>
      </c>
      <c r="AJ44" t="s">
        <v>212</v>
      </c>
      <c r="AK44" t="s">
        <v>212</v>
      </c>
      <c r="AL44" t="s">
        <v>212</v>
      </c>
      <c r="AM44" t="s">
        <v>212</v>
      </c>
      <c r="AN44" t="s">
        <v>212</v>
      </c>
      <c r="AO44" t="s">
        <v>212</v>
      </c>
      <c r="AP44" t="s">
        <v>212</v>
      </c>
      <c r="AQ44" t="s">
        <v>212</v>
      </c>
      <c r="AR44" t="s">
        <v>212</v>
      </c>
      <c r="AS44" t="s">
        <v>212</v>
      </c>
      <c r="AT44" t="s">
        <v>212</v>
      </c>
      <c r="AU44" t="s">
        <v>212</v>
      </c>
      <c r="AV44" t="s">
        <v>212</v>
      </c>
      <c r="AW44" t="s">
        <v>212</v>
      </c>
      <c r="AX44" t="s">
        <v>212</v>
      </c>
      <c r="AY44" t="s">
        <v>212</v>
      </c>
      <c r="AZ44" t="s">
        <v>212</v>
      </c>
      <c r="BA44" t="s">
        <v>212</v>
      </c>
      <c r="BB44" t="s">
        <v>212</v>
      </c>
      <c r="BC44" t="s">
        <v>212</v>
      </c>
      <c r="BD44" t="s">
        <v>212</v>
      </c>
      <c r="BE44" t="s">
        <v>212</v>
      </c>
    </row>
    <row r="45" spans="1:57">
      <c r="A45" s="53" t="s">
        <v>191</v>
      </c>
      <c r="B45" s="54">
        <v>1</v>
      </c>
      <c r="C45" t="s">
        <v>261</v>
      </c>
      <c r="D45" t="s">
        <v>212</v>
      </c>
      <c r="E45" t="s">
        <v>239</v>
      </c>
      <c r="F45" s="215" t="e">
        <v>#N/A</v>
      </c>
      <c r="G45" s="58" t="e">
        <v>#N/A</v>
      </c>
      <c r="H45" t="s">
        <v>286</v>
      </c>
      <c r="I45" t="s">
        <v>212</v>
      </c>
      <c r="J45" t="s">
        <v>212</v>
      </c>
      <c r="K45" t="s">
        <v>278</v>
      </c>
      <c r="L45" t="s">
        <v>263</v>
      </c>
      <c r="M45" t="s">
        <v>244</v>
      </c>
      <c r="N45" s="215" t="e">
        <v>#N/A</v>
      </c>
      <c r="O45" s="215" t="s">
        <v>308</v>
      </c>
      <c r="P45" t="s">
        <v>220</v>
      </c>
      <c r="Q45" s="215" t="e">
        <v>#N/A</v>
      </c>
      <c r="R45" t="s">
        <v>257</v>
      </c>
      <c r="S45" t="s">
        <v>311</v>
      </c>
      <c r="T45" t="s">
        <v>276</v>
      </c>
      <c r="U45" t="s">
        <v>312</v>
      </c>
      <c r="V45" t="s">
        <v>212</v>
      </c>
      <c r="W45" t="s">
        <v>212</v>
      </c>
      <c r="X45" t="s">
        <v>212</v>
      </c>
      <c r="Y45" t="s">
        <v>285</v>
      </c>
      <c r="Z45" t="s">
        <v>280</v>
      </c>
      <c r="AA45" t="s">
        <v>215</v>
      </c>
      <c r="AB45" t="s">
        <v>254</v>
      </c>
      <c r="AC45" t="s">
        <v>291</v>
      </c>
      <c r="AD45" t="s">
        <v>288</v>
      </c>
      <c r="AE45" t="s">
        <v>277</v>
      </c>
      <c r="AF45" t="s">
        <v>294</v>
      </c>
      <c r="AG45" t="s">
        <v>294</v>
      </c>
      <c r="AH45" t="s">
        <v>292</v>
      </c>
      <c r="AI45" t="s">
        <v>212</v>
      </c>
      <c r="AJ45" t="s">
        <v>290</v>
      </c>
      <c r="AK45" t="s">
        <v>269</v>
      </c>
      <c r="AL45" t="s">
        <v>268</v>
      </c>
      <c r="AM45" t="s">
        <v>225</v>
      </c>
      <c r="AN45" t="s">
        <v>212</v>
      </c>
      <c r="AO45" t="s">
        <v>212</v>
      </c>
      <c r="AP45" t="s">
        <v>212</v>
      </c>
      <c r="AQ45" t="s">
        <v>212</v>
      </c>
      <c r="AR45" s="58" t="e">
        <v>#N/A</v>
      </c>
      <c r="AS45" t="s">
        <v>224</v>
      </c>
      <c r="AT45" t="s">
        <v>212</v>
      </c>
      <c r="AU45" t="s">
        <v>228</v>
      </c>
      <c r="AV45" t="s">
        <v>212</v>
      </c>
      <c r="AW45" t="s">
        <v>234</v>
      </c>
      <c r="AX45" t="s">
        <v>212</v>
      </c>
      <c r="AY45" t="s">
        <v>208</v>
      </c>
      <c r="AZ45" t="s">
        <v>212</v>
      </c>
      <c r="BA45" s="58" t="e">
        <v>#N/A</v>
      </c>
      <c r="BB45" t="s">
        <v>212</v>
      </c>
      <c r="BC45" t="s">
        <v>310</v>
      </c>
      <c r="BD45" t="s">
        <v>212</v>
      </c>
      <c r="BE45" t="s">
        <v>212</v>
      </c>
    </row>
    <row r="46" spans="1:57">
      <c r="A46" s="45" t="s">
        <v>192</v>
      </c>
      <c r="B46" s="56">
        <v>2</v>
      </c>
      <c r="C46" t="s">
        <v>261</v>
      </c>
      <c r="D46" t="s">
        <v>270</v>
      </c>
      <c r="E46" t="s">
        <v>239</v>
      </c>
      <c r="F46" s="215" t="e">
        <v>#N/A</v>
      </c>
      <c r="G46" s="58" t="e">
        <v>#N/A</v>
      </c>
      <c r="H46" t="s">
        <v>286</v>
      </c>
      <c r="I46" t="s">
        <v>212</v>
      </c>
      <c r="J46" t="s">
        <v>212</v>
      </c>
      <c r="K46" t="s">
        <v>234</v>
      </c>
      <c r="L46" t="s">
        <v>263</v>
      </c>
      <c r="M46" t="s">
        <v>244</v>
      </c>
      <c r="N46" s="215" t="e">
        <v>#N/A</v>
      </c>
      <c r="O46" s="215" t="s">
        <v>308</v>
      </c>
      <c r="P46" t="s">
        <v>220</v>
      </c>
      <c r="Q46" s="215" t="e">
        <v>#N/A</v>
      </c>
      <c r="R46" s="215" t="e">
        <v>#N/A</v>
      </c>
      <c r="S46" t="s">
        <v>311</v>
      </c>
      <c r="T46" t="s">
        <v>276</v>
      </c>
      <c r="U46" t="s">
        <v>312</v>
      </c>
      <c r="V46" t="s">
        <v>225</v>
      </c>
      <c r="W46" t="s">
        <v>231</v>
      </c>
      <c r="X46" t="s">
        <v>212</v>
      </c>
      <c r="Y46" t="s">
        <v>278</v>
      </c>
      <c r="Z46" t="s">
        <v>280</v>
      </c>
      <c r="AA46" t="s">
        <v>215</v>
      </c>
      <c r="AB46" t="s">
        <v>268</v>
      </c>
      <c r="AC46" t="s">
        <v>291</v>
      </c>
      <c r="AD46" t="s">
        <v>210</v>
      </c>
      <c r="AE46" t="s">
        <v>277</v>
      </c>
      <c r="AF46" t="s">
        <v>294</v>
      </c>
      <c r="AG46" t="s">
        <v>294</v>
      </c>
      <c r="AH46" t="s">
        <v>292</v>
      </c>
      <c r="AI46" t="s">
        <v>212</v>
      </c>
      <c r="AJ46" t="s">
        <v>290</v>
      </c>
      <c r="AK46" t="s">
        <v>218</v>
      </c>
      <c r="AL46" t="s">
        <v>288</v>
      </c>
      <c r="AM46" t="s">
        <v>285</v>
      </c>
      <c r="AN46" t="s">
        <v>212</v>
      </c>
      <c r="AO46" t="s">
        <v>212</v>
      </c>
      <c r="AP46" t="s">
        <v>212</v>
      </c>
      <c r="AQ46" t="s">
        <v>212</v>
      </c>
      <c r="AR46" s="58" t="e">
        <v>#N/A</v>
      </c>
      <c r="AS46" t="s">
        <v>224</v>
      </c>
      <c r="AT46" t="s">
        <v>212</v>
      </c>
      <c r="AU46" t="s">
        <v>228</v>
      </c>
      <c r="AV46" t="s">
        <v>212</v>
      </c>
      <c r="AW46" t="s">
        <v>227</v>
      </c>
      <c r="AX46" t="s">
        <v>212</v>
      </c>
      <c r="AY46" t="s">
        <v>269</v>
      </c>
      <c r="AZ46" t="s">
        <v>212</v>
      </c>
      <c r="BA46" s="58" t="e">
        <v>#N/A</v>
      </c>
      <c r="BB46" t="s">
        <v>212</v>
      </c>
      <c r="BC46" t="s">
        <v>310</v>
      </c>
      <c r="BD46" t="s">
        <v>212</v>
      </c>
      <c r="BE46" t="s">
        <v>212</v>
      </c>
    </row>
    <row r="47" spans="1:57">
      <c r="A47" s="45" t="s">
        <v>191</v>
      </c>
      <c r="B47" s="56">
        <v>3</v>
      </c>
      <c r="C47" t="s">
        <v>299</v>
      </c>
      <c r="D47" t="s">
        <v>208</v>
      </c>
      <c r="E47" t="s">
        <v>309</v>
      </c>
      <c r="F47" t="s">
        <v>212</v>
      </c>
      <c r="G47" t="s">
        <v>212</v>
      </c>
      <c r="H47" s="215" t="e">
        <v>#N/A</v>
      </c>
      <c r="I47" t="s">
        <v>231</v>
      </c>
      <c r="J47" t="s">
        <v>212</v>
      </c>
      <c r="K47" s="215" t="s">
        <v>308</v>
      </c>
      <c r="L47" t="s">
        <v>288</v>
      </c>
      <c r="M47" s="215" t="s">
        <v>308</v>
      </c>
      <c r="N47" t="s">
        <v>212</v>
      </c>
      <c r="O47" s="58" t="e">
        <v>#N/A</v>
      </c>
      <c r="P47" t="s">
        <v>263</v>
      </c>
      <c r="Q47" s="215" t="e">
        <v>#N/A</v>
      </c>
      <c r="R47" t="s">
        <v>311</v>
      </c>
      <c r="S47" t="s">
        <v>257</v>
      </c>
      <c r="T47" t="s">
        <v>227</v>
      </c>
      <c r="U47" t="s">
        <v>212</v>
      </c>
      <c r="V47" t="s">
        <v>225</v>
      </c>
      <c r="W47" t="s">
        <v>239</v>
      </c>
      <c r="X47" t="s">
        <v>212</v>
      </c>
      <c r="Y47" t="s">
        <v>278</v>
      </c>
      <c r="Z47" t="s">
        <v>292</v>
      </c>
      <c r="AA47" t="s">
        <v>277</v>
      </c>
      <c r="AB47" t="s">
        <v>270</v>
      </c>
      <c r="AC47" t="s">
        <v>269</v>
      </c>
      <c r="AD47" t="s">
        <v>289</v>
      </c>
      <c r="AE47" t="s">
        <v>210</v>
      </c>
      <c r="AF47" t="s">
        <v>220</v>
      </c>
      <c r="AG47" t="s">
        <v>224</v>
      </c>
      <c r="AH47" t="s">
        <v>254</v>
      </c>
      <c r="AI47" t="s">
        <v>292</v>
      </c>
      <c r="AJ47" t="s">
        <v>268</v>
      </c>
      <c r="AK47" t="s">
        <v>218</v>
      </c>
      <c r="AL47" t="s">
        <v>291</v>
      </c>
      <c r="AM47" t="s">
        <v>291</v>
      </c>
      <c r="AN47" t="s">
        <v>212</v>
      </c>
      <c r="AO47" t="s">
        <v>212</v>
      </c>
      <c r="AP47" t="s">
        <v>212</v>
      </c>
      <c r="AQ47" t="s">
        <v>212</v>
      </c>
      <c r="AR47" s="215" t="e">
        <v>#N/A</v>
      </c>
      <c r="AS47" t="s">
        <v>285</v>
      </c>
      <c r="AT47" s="215" t="e">
        <v>#N/A</v>
      </c>
      <c r="AU47" t="s">
        <v>212</v>
      </c>
      <c r="AV47" s="215" t="e">
        <v>#N/A</v>
      </c>
      <c r="AW47" s="215" t="e">
        <v>#N/A</v>
      </c>
      <c r="AX47" s="215" t="e">
        <v>#N/A</v>
      </c>
      <c r="AY47" t="s">
        <v>234</v>
      </c>
      <c r="AZ47" s="215" t="e">
        <v>#N/A</v>
      </c>
      <c r="BA47" s="215" t="e">
        <v>#N/A</v>
      </c>
      <c r="BB47" s="215" t="e">
        <v>#N/A</v>
      </c>
      <c r="BC47" t="s">
        <v>212</v>
      </c>
      <c r="BD47" s="215" t="e">
        <v>#N/A</v>
      </c>
      <c r="BE47" s="215" t="e">
        <v>#N/A</v>
      </c>
    </row>
    <row r="48" spans="1:57">
      <c r="A48" s="45"/>
      <c r="B48" s="56">
        <v>4</v>
      </c>
      <c r="C48" t="s">
        <v>299</v>
      </c>
      <c r="D48" t="s">
        <v>212</v>
      </c>
      <c r="E48" t="s">
        <v>309</v>
      </c>
      <c r="F48" t="s">
        <v>212</v>
      </c>
      <c r="G48" t="s">
        <v>212</v>
      </c>
      <c r="H48" s="215" t="e">
        <v>#N/A</v>
      </c>
      <c r="I48" t="s">
        <v>231</v>
      </c>
      <c r="J48" t="s">
        <v>212</v>
      </c>
      <c r="K48" s="215" t="s">
        <v>308</v>
      </c>
      <c r="L48" t="s">
        <v>288</v>
      </c>
      <c r="M48" s="215" t="s">
        <v>308</v>
      </c>
      <c r="N48" t="s">
        <v>212</v>
      </c>
      <c r="O48" s="58" t="e">
        <v>#N/A</v>
      </c>
      <c r="P48" t="s">
        <v>263</v>
      </c>
      <c r="Q48" s="215" t="e">
        <v>#N/A</v>
      </c>
      <c r="R48" t="s">
        <v>311</v>
      </c>
      <c r="S48" t="s">
        <v>207</v>
      </c>
      <c r="T48" t="s">
        <v>208</v>
      </c>
      <c r="U48" t="s">
        <v>212</v>
      </c>
      <c r="V48" t="s">
        <v>212</v>
      </c>
      <c r="W48" t="s">
        <v>239</v>
      </c>
      <c r="X48" t="s">
        <v>212</v>
      </c>
      <c r="Y48" t="s">
        <v>212</v>
      </c>
      <c r="Z48" t="s">
        <v>292</v>
      </c>
      <c r="AA48" t="s">
        <v>277</v>
      </c>
      <c r="AB48" t="s">
        <v>225</v>
      </c>
      <c r="AC48" t="s">
        <v>269</v>
      </c>
      <c r="AD48" t="s">
        <v>289</v>
      </c>
      <c r="AE48" t="s">
        <v>285</v>
      </c>
      <c r="AF48" t="s">
        <v>220</v>
      </c>
      <c r="AG48" t="s">
        <v>224</v>
      </c>
      <c r="AH48" t="s">
        <v>254</v>
      </c>
      <c r="AI48" t="s">
        <v>292</v>
      </c>
      <c r="AJ48" t="s">
        <v>270</v>
      </c>
      <c r="AK48" t="s">
        <v>212</v>
      </c>
      <c r="AL48" t="s">
        <v>291</v>
      </c>
      <c r="AM48" t="s">
        <v>291</v>
      </c>
      <c r="AN48" t="s">
        <v>212</v>
      </c>
      <c r="AO48" t="s">
        <v>212</v>
      </c>
      <c r="AP48" t="s">
        <v>212</v>
      </c>
      <c r="AQ48" t="s">
        <v>212</v>
      </c>
      <c r="AR48" s="215" t="e">
        <v>#N/A</v>
      </c>
      <c r="AS48" t="s">
        <v>212</v>
      </c>
      <c r="AT48" s="215" t="e">
        <v>#N/A</v>
      </c>
      <c r="AU48" t="s">
        <v>212</v>
      </c>
      <c r="AV48" s="215" t="e">
        <v>#N/A</v>
      </c>
      <c r="AW48" s="215" t="e">
        <v>#N/A</v>
      </c>
      <c r="AX48" s="215" t="e">
        <v>#N/A</v>
      </c>
      <c r="AY48" t="s">
        <v>212</v>
      </c>
      <c r="AZ48" s="215" t="e">
        <v>#N/A</v>
      </c>
      <c r="BA48" s="215" t="e">
        <v>#N/A</v>
      </c>
      <c r="BB48" s="215" t="e">
        <v>#N/A</v>
      </c>
      <c r="BC48" t="s">
        <v>212</v>
      </c>
      <c r="BD48" s="215" t="e">
        <v>#N/A</v>
      </c>
      <c r="BE48" s="215" t="e">
        <v>#N/A</v>
      </c>
    </row>
    <row r="49" spans="1:57" ht="16" thickBot="1">
      <c r="A49" s="50"/>
      <c r="B49" s="57">
        <v>5</v>
      </c>
      <c r="C49" t="s">
        <v>212</v>
      </c>
      <c r="D49" t="s">
        <v>212</v>
      </c>
      <c r="E49" t="s">
        <v>212</v>
      </c>
      <c r="F49" t="s">
        <v>212</v>
      </c>
      <c r="G49" t="s">
        <v>212</v>
      </c>
      <c r="H49" t="s">
        <v>212</v>
      </c>
      <c r="I49" t="s">
        <v>212</v>
      </c>
      <c r="J49" t="s">
        <v>212</v>
      </c>
      <c r="K49" t="s">
        <v>212</v>
      </c>
      <c r="L49" t="s">
        <v>212</v>
      </c>
      <c r="M49" t="s">
        <v>212</v>
      </c>
      <c r="N49" t="s">
        <v>212</v>
      </c>
      <c r="O49" t="s">
        <v>212</v>
      </c>
      <c r="P49" t="s">
        <v>212</v>
      </c>
      <c r="Q49" t="s">
        <v>212</v>
      </c>
      <c r="R49" t="s">
        <v>212</v>
      </c>
      <c r="S49" t="s">
        <v>212</v>
      </c>
      <c r="T49" t="s">
        <v>212</v>
      </c>
      <c r="U49" t="s">
        <v>212</v>
      </c>
      <c r="V49" t="s">
        <v>212</v>
      </c>
      <c r="W49" t="s">
        <v>212</v>
      </c>
      <c r="X49" t="s">
        <v>212</v>
      </c>
      <c r="Y49" t="s">
        <v>212</v>
      </c>
      <c r="Z49" t="s">
        <v>212</v>
      </c>
      <c r="AA49" t="s">
        <v>212</v>
      </c>
      <c r="AB49" t="s">
        <v>212</v>
      </c>
      <c r="AC49" t="s">
        <v>212</v>
      </c>
      <c r="AD49" t="s">
        <v>212</v>
      </c>
      <c r="AE49" t="s">
        <v>212</v>
      </c>
      <c r="AF49" t="s">
        <v>212</v>
      </c>
      <c r="AG49" t="s">
        <v>212</v>
      </c>
      <c r="AH49" t="s">
        <v>212</v>
      </c>
      <c r="AI49" t="s">
        <v>212</v>
      </c>
      <c r="AJ49" t="s">
        <v>212</v>
      </c>
      <c r="AK49" t="s">
        <v>212</v>
      </c>
      <c r="AL49" t="s">
        <v>212</v>
      </c>
      <c r="AM49" t="s">
        <v>212</v>
      </c>
      <c r="AN49" t="s">
        <v>212</v>
      </c>
      <c r="AO49" t="s">
        <v>212</v>
      </c>
      <c r="AP49" t="s">
        <v>212</v>
      </c>
      <c r="AQ49" t="s">
        <v>212</v>
      </c>
      <c r="AR49" t="s">
        <v>212</v>
      </c>
      <c r="AS49" t="s">
        <v>212</v>
      </c>
      <c r="AT49" t="s">
        <v>212</v>
      </c>
      <c r="AU49" t="s">
        <v>212</v>
      </c>
      <c r="AV49" t="s">
        <v>212</v>
      </c>
      <c r="AW49" t="s">
        <v>212</v>
      </c>
      <c r="AX49" t="s">
        <v>212</v>
      </c>
      <c r="AY49" t="s">
        <v>212</v>
      </c>
      <c r="AZ49" t="s">
        <v>212</v>
      </c>
      <c r="BA49" t="s">
        <v>212</v>
      </c>
      <c r="BB49" t="s">
        <v>212</v>
      </c>
      <c r="BC49" t="s">
        <v>212</v>
      </c>
      <c r="BD49" t="s">
        <v>212</v>
      </c>
      <c r="BE49" t="s">
        <v>212</v>
      </c>
    </row>
    <row r="50" spans="1:57">
      <c r="A50" s="53" t="s">
        <v>193</v>
      </c>
      <c r="B50" s="54">
        <v>1</v>
      </c>
      <c r="C50" t="s">
        <v>309</v>
      </c>
      <c r="D50" t="s">
        <v>212</v>
      </c>
      <c r="E50" s="215" t="e">
        <v>#N/A</v>
      </c>
      <c r="F50" s="215" t="s">
        <v>308</v>
      </c>
      <c r="G50" s="215" t="e">
        <v>#N/A</v>
      </c>
      <c r="H50" s="215" t="e">
        <v>#N/A</v>
      </c>
      <c r="I50" s="215" t="s">
        <v>308</v>
      </c>
      <c r="J50" t="s">
        <v>276</v>
      </c>
      <c r="K50" s="215" t="e">
        <v>#N/A</v>
      </c>
      <c r="L50" t="s">
        <v>313</v>
      </c>
      <c r="M50" t="s">
        <v>279</v>
      </c>
      <c r="N50" t="s">
        <v>247</v>
      </c>
      <c r="O50" t="s">
        <v>288</v>
      </c>
      <c r="P50" t="s">
        <v>311</v>
      </c>
      <c r="Q50" t="s">
        <v>270</v>
      </c>
      <c r="R50" t="s">
        <v>206</v>
      </c>
      <c r="S50" s="58" t="e">
        <v>#N/A</v>
      </c>
      <c r="T50" s="215" t="e">
        <v>#N/A</v>
      </c>
      <c r="U50" s="215" t="e">
        <v>#N/A</v>
      </c>
      <c r="V50" s="215" t="e">
        <v>#N/A</v>
      </c>
      <c r="W50" s="215" t="e">
        <v>#N/A</v>
      </c>
      <c r="X50" t="s">
        <v>212</v>
      </c>
      <c r="Y50" t="s">
        <v>232</v>
      </c>
      <c r="Z50" t="s">
        <v>214</v>
      </c>
      <c r="AA50" t="s">
        <v>269</v>
      </c>
      <c r="AB50" t="s">
        <v>212</v>
      </c>
      <c r="AC50" t="s">
        <v>217</v>
      </c>
      <c r="AD50" t="s">
        <v>218</v>
      </c>
      <c r="AE50" t="s">
        <v>297</v>
      </c>
      <c r="AF50" t="s">
        <v>268</v>
      </c>
      <c r="AG50" t="s">
        <v>314</v>
      </c>
      <c r="AH50" s="58" t="e">
        <v>#N/A</v>
      </c>
      <c r="AI50" t="s">
        <v>272</v>
      </c>
      <c r="AJ50" t="s">
        <v>271</v>
      </c>
      <c r="AK50" t="s">
        <v>249</v>
      </c>
      <c r="AL50" t="s">
        <v>236</v>
      </c>
      <c r="AM50" t="s">
        <v>285</v>
      </c>
      <c r="AN50" t="s">
        <v>212</v>
      </c>
      <c r="AO50" t="s">
        <v>212</v>
      </c>
      <c r="AP50" t="s">
        <v>212</v>
      </c>
      <c r="AQ50" t="s">
        <v>212</v>
      </c>
      <c r="AR50" t="s">
        <v>212</v>
      </c>
      <c r="AS50" t="s">
        <v>212</v>
      </c>
      <c r="AT50" t="s">
        <v>212</v>
      </c>
      <c r="AU50" t="s">
        <v>212</v>
      </c>
      <c r="AV50" t="s">
        <v>212</v>
      </c>
      <c r="AW50" t="s">
        <v>212</v>
      </c>
      <c r="AX50" t="s">
        <v>212</v>
      </c>
      <c r="AY50" t="s">
        <v>212</v>
      </c>
      <c r="AZ50" t="s">
        <v>296</v>
      </c>
      <c r="BA50" t="s">
        <v>289</v>
      </c>
      <c r="BB50" t="s">
        <v>290</v>
      </c>
      <c r="BC50" t="s">
        <v>291</v>
      </c>
      <c r="BD50" t="s">
        <v>281</v>
      </c>
      <c r="BE50" t="s">
        <v>212</v>
      </c>
    </row>
    <row r="51" spans="1:57">
      <c r="A51" s="45" t="s">
        <v>192</v>
      </c>
      <c r="B51" s="56">
        <v>2</v>
      </c>
      <c r="C51" t="s">
        <v>309</v>
      </c>
      <c r="D51" t="s">
        <v>212</v>
      </c>
      <c r="E51" s="215" t="e">
        <v>#N/A</v>
      </c>
      <c r="F51" s="215" t="s">
        <v>308</v>
      </c>
      <c r="G51" s="215" t="e">
        <v>#N/A</v>
      </c>
      <c r="H51" s="215" t="e">
        <v>#N/A</v>
      </c>
      <c r="I51" s="215" t="s">
        <v>308</v>
      </c>
      <c r="J51" t="s">
        <v>229</v>
      </c>
      <c r="K51" s="215" t="e">
        <v>#N/A</v>
      </c>
      <c r="L51" t="s">
        <v>313</v>
      </c>
      <c r="M51" t="s">
        <v>247</v>
      </c>
      <c r="N51" t="s">
        <v>293</v>
      </c>
      <c r="O51" t="s">
        <v>281</v>
      </c>
      <c r="P51" t="s">
        <v>311</v>
      </c>
      <c r="Q51" t="s">
        <v>251</v>
      </c>
      <c r="R51" t="s">
        <v>206</v>
      </c>
      <c r="S51" s="58" t="e">
        <v>#N/A</v>
      </c>
      <c r="T51" s="215" t="e">
        <v>#N/A</v>
      </c>
      <c r="U51" s="215" t="e">
        <v>#N/A</v>
      </c>
      <c r="V51" s="215" t="e">
        <v>#N/A</v>
      </c>
      <c r="W51" s="215" t="e">
        <v>#N/A</v>
      </c>
      <c r="X51" t="s">
        <v>212</v>
      </c>
      <c r="Y51" t="s">
        <v>232</v>
      </c>
      <c r="Z51" t="s">
        <v>214</v>
      </c>
      <c r="AA51" t="s">
        <v>269</v>
      </c>
      <c r="AB51" t="s">
        <v>270</v>
      </c>
      <c r="AC51" t="s">
        <v>288</v>
      </c>
      <c r="AD51" t="s">
        <v>218</v>
      </c>
      <c r="AE51" t="s">
        <v>297</v>
      </c>
      <c r="AF51" t="s">
        <v>268</v>
      </c>
      <c r="AG51" t="s">
        <v>314</v>
      </c>
      <c r="AH51" s="58" t="e">
        <v>#N/A</v>
      </c>
      <c r="AI51" t="s">
        <v>272</v>
      </c>
      <c r="AJ51" t="s">
        <v>271</v>
      </c>
      <c r="AK51" t="s">
        <v>249</v>
      </c>
      <c r="AL51" t="s">
        <v>236</v>
      </c>
      <c r="AM51" t="s">
        <v>285</v>
      </c>
      <c r="AN51" t="s">
        <v>212</v>
      </c>
      <c r="AO51" t="s">
        <v>212</v>
      </c>
      <c r="AP51" t="s">
        <v>212</v>
      </c>
      <c r="AQ51" t="s">
        <v>212</v>
      </c>
      <c r="AR51" t="s">
        <v>212</v>
      </c>
      <c r="AS51" t="s">
        <v>212</v>
      </c>
      <c r="AT51" t="s">
        <v>212</v>
      </c>
      <c r="AU51" t="s">
        <v>212</v>
      </c>
      <c r="AV51" t="s">
        <v>212</v>
      </c>
      <c r="AW51" t="s">
        <v>212</v>
      </c>
      <c r="AX51" t="s">
        <v>212</v>
      </c>
      <c r="AY51" t="s">
        <v>212</v>
      </c>
      <c r="AZ51" t="s">
        <v>296</v>
      </c>
      <c r="BA51" t="s">
        <v>289</v>
      </c>
      <c r="BB51" t="s">
        <v>290</v>
      </c>
      <c r="BC51" t="s">
        <v>291</v>
      </c>
      <c r="BD51" t="s">
        <v>276</v>
      </c>
      <c r="BE51" t="s">
        <v>212</v>
      </c>
    </row>
    <row r="52" spans="1:57">
      <c r="A52" s="45" t="s">
        <v>194</v>
      </c>
      <c r="B52" s="56">
        <v>3</v>
      </c>
      <c r="C52" t="s">
        <v>218</v>
      </c>
      <c r="D52" s="215" t="e">
        <v>#N/A</v>
      </c>
      <c r="E52" s="215" t="e">
        <v>#N/A</v>
      </c>
      <c r="F52" t="s">
        <v>311</v>
      </c>
      <c r="G52" t="s">
        <v>229</v>
      </c>
      <c r="H52" t="s">
        <v>293</v>
      </c>
      <c r="I52" t="s">
        <v>309</v>
      </c>
      <c r="J52" s="215" t="e">
        <v>#N/A</v>
      </c>
      <c r="K52" t="s">
        <v>261</v>
      </c>
      <c r="L52" s="215" t="e">
        <v>#N/A</v>
      </c>
      <c r="M52" t="s">
        <v>212</v>
      </c>
      <c r="N52" s="215" t="e">
        <v>#N/A</v>
      </c>
      <c r="O52" s="215" t="e">
        <v>#N/A</v>
      </c>
      <c r="P52" s="215" t="e">
        <v>#N/A</v>
      </c>
      <c r="Q52" t="s">
        <v>212</v>
      </c>
      <c r="R52" s="215" t="e">
        <v>#N/A</v>
      </c>
      <c r="S52" t="s">
        <v>212</v>
      </c>
      <c r="T52" t="s">
        <v>217</v>
      </c>
      <c r="U52" s="215" t="e">
        <v>#N/A</v>
      </c>
      <c r="V52" t="s">
        <v>212</v>
      </c>
      <c r="W52" t="s">
        <v>212</v>
      </c>
      <c r="X52" t="s">
        <v>212</v>
      </c>
      <c r="Y52" t="s">
        <v>251</v>
      </c>
      <c r="Z52" s="58" t="e">
        <v>#N/A</v>
      </c>
      <c r="AA52" t="s">
        <v>315</v>
      </c>
      <c r="AB52" t="s">
        <v>236</v>
      </c>
      <c r="AC52" t="s">
        <v>281</v>
      </c>
      <c r="AD52" s="58" t="e">
        <v>#N/A</v>
      </c>
      <c r="AE52" t="s">
        <v>314</v>
      </c>
      <c r="AF52" t="s">
        <v>297</v>
      </c>
      <c r="AG52" t="s">
        <v>279</v>
      </c>
      <c r="AH52" t="s">
        <v>271</v>
      </c>
      <c r="AI52" t="s">
        <v>249</v>
      </c>
      <c r="AJ52" t="s">
        <v>268</v>
      </c>
      <c r="AK52" t="s">
        <v>272</v>
      </c>
      <c r="AL52" t="s">
        <v>232</v>
      </c>
      <c r="AM52" t="s">
        <v>209</v>
      </c>
      <c r="AN52" t="s">
        <v>212</v>
      </c>
      <c r="AO52" t="s">
        <v>212</v>
      </c>
      <c r="AP52" t="s">
        <v>212</v>
      </c>
      <c r="AQ52" t="s">
        <v>212</v>
      </c>
      <c r="AR52" t="s">
        <v>294</v>
      </c>
      <c r="AS52" t="s">
        <v>292</v>
      </c>
      <c r="AT52" t="s">
        <v>296</v>
      </c>
      <c r="AU52" t="s">
        <v>212</v>
      </c>
      <c r="AV52" t="s">
        <v>212</v>
      </c>
      <c r="AW52" t="s">
        <v>212</v>
      </c>
      <c r="AX52" t="s">
        <v>294</v>
      </c>
      <c r="AY52" t="s">
        <v>212</v>
      </c>
      <c r="AZ52" t="s">
        <v>212</v>
      </c>
      <c r="BA52" t="s">
        <v>212</v>
      </c>
      <c r="BB52" t="s">
        <v>212</v>
      </c>
      <c r="BC52" t="s">
        <v>212</v>
      </c>
      <c r="BD52" t="s">
        <v>247</v>
      </c>
      <c r="BE52" t="s">
        <v>292</v>
      </c>
    </row>
    <row r="53" spans="1:57">
      <c r="A53" s="45"/>
      <c r="B53" s="56">
        <v>4</v>
      </c>
      <c r="C53" t="s">
        <v>281</v>
      </c>
      <c r="D53" s="215" t="e">
        <v>#N/A</v>
      </c>
      <c r="E53" s="215" t="e">
        <v>#N/A</v>
      </c>
      <c r="F53" t="s">
        <v>311</v>
      </c>
      <c r="G53" t="s">
        <v>229</v>
      </c>
      <c r="H53" t="s">
        <v>279</v>
      </c>
      <c r="I53" t="s">
        <v>309</v>
      </c>
      <c r="J53" s="215" t="e">
        <v>#N/A</v>
      </c>
      <c r="K53" t="s">
        <v>261</v>
      </c>
      <c r="L53" s="215" t="e">
        <v>#N/A</v>
      </c>
      <c r="M53" t="s">
        <v>212</v>
      </c>
      <c r="N53" s="215" t="e">
        <v>#N/A</v>
      </c>
      <c r="O53" s="215" t="e">
        <v>#N/A</v>
      </c>
      <c r="P53" s="215" t="e">
        <v>#N/A</v>
      </c>
      <c r="Q53" t="s">
        <v>212</v>
      </c>
      <c r="R53" s="215" t="e">
        <v>#N/A</v>
      </c>
      <c r="S53" t="s">
        <v>212</v>
      </c>
      <c r="T53" t="s">
        <v>217</v>
      </c>
      <c r="U53" s="215" t="e">
        <v>#N/A</v>
      </c>
      <c r="V53" t="s">
        <v>212</v>
      </c>
      <c r="W53" t="s">
        <v>212</v>
      </c>
      <c r="X53" t="s">
        <v>212</v>
      </c>
      <c r="Y53" t="s">
        <v>251</v>
      </c>
      <c r="Z53" s="58" t="e">
        <v>#N/A</v>
      </c>
      <c r="AA53" t="s">
        <v>315</v>
      </c>
      <c r="AB53" t="s">
        <v>236</v>
      </c>
      <c r="AC53" t="s">
        <v>212</v>
      </c>
      <c r="AD53" s="58" t="e">
        <v>#N/A</v>
      </c>
      <c r="AE53" t="s">
        <v>314</v>
      </c>
      <c r="AF53" t="s">
        <v>297</v>
      </c>
      <c r="AG53" t="s">
        <v>212</v>
      </c>
      <c r="AH53" t="s">
        <v>212</v>
      </c>
      <c r="AI53" t="s">
        <v>270</v>
      </c>
      <c r="AJ53" t="s">
        <v>212</v>
      </c>
      <c r="AK53" t="s">
        <v>272</v>
      </c>
      <c r="AL53" t="s">
        <v>212</v>
      </c>
      <c r="AM53" t="s">
        <v>209</v>
      </c>
      <c r="AN53" t="s">
        <v>212</v>
      </c>
      <c r="AO53" t="s">
        <v>212</v>
      </c>
      <c r="AP53" t="s">
        <v>212</v>
      </c>
      <c r="AQ53" t="s">
        <v>212</v>
      </c>
      <c r="AR53" t="s">
        <v>294</v>
      </c>
      <c r="AS53" t="s">
        <v>292</v>
      </c>
      <c r="AT53" t="s">
        <v>296</v>
      </c>
      <c r="AU53" t="s">
        <v>212</v>
      </c>
      <c r="AV53" t="s">
        <v>212</v>
      </c>
      <c r="AW53" t="s">
        <v>212</v>
      </c>
      <c r="AX53" t="s">
        <v>294</v>
      </c>
      <c r="AY53" t="s">
        <v>212</v>
      </c>
      <c r="AZ53" t="s">
        <v>212</v>
      </c>
      <c r="BA53" t="s">
        <v>212</v>
      </c>
      <c r="BB53" t="s">
        <v>212</v>
      </c>
      <c r="BC53" t="s">
        <v>212</v>
      </c>
      <c r="BD53" t="s">
        <v>212</v>
      </c>
      <c r="BE53" t="s">
        <v>292</v>
      </c>
    </row>
    <row r="54" spans="1:57" ht="16" thickBot="1">
      <c r="A54" s="50"/>
      <c r="B54" s="57">
        <v>5</v>
      </c>
      <c r="C54" t="s">
        <v>212</v>
      </c>
      <c r="D54" t="s">
        <v>212</v>
      </c>
      <c r="E54" t="s">
        <v>212</v>
      </c>
      <c r="F54" t="s">
        <v>212</v>
      </c>
      <c r="G54" t="s">
        <v>212</v>
      </c>
      <c r="H54" t="s">
        <v>212</v>
      </c>
      <c r="I54" t="s">
        <v>212</v>
      </c>
      <c r="J54" t="s">
        <v>212</v>
      </c>
      <c r="K54" t="s">
        <v>212</v>
      </c>
      <c r="L54" t="s">
        <v>212</v>
      </c>
      <c r="M54" t="s">
        <v>212</v>
      </c>
      <c r="N54" t="s">
        <v>212</v>
      </c>
      <c r="O54" t="s">
        <v>212</v>
      </c>
      <c r="P54" t="s">
        <v>212</v>
      </c>
      <c r="Q54" t="s">
        <v>212</v>
      </c>
      <c r="R54" t="s">
        <v>212</v>
      </c>
      <c r="S54" t="s">
        <v>212</v>
      </c>
      <c r="T54" t="s">
        <v>212</v>
      </c>
      <c r="U54" t="s">
        <v>212</v>
      </c>
      <c r="V54" t="s">
        <v>212</v>
      </c>
      <c r="W54" t="s">
        <v>212</v>
      </c>
      <c r="X54" t="s">
        <v>212</v>
      </c>
      <c r="Y54" t="s">
        <v>212</v>
      </c>
      <c r="Z54" t="s">
        <v>212</v>
      </c>
      <c r="AA54" t="s">
        <v>212</v>
      </c>
      <c r="AB54" t="s">
        <v>212</v>
      </c>
      <c r="AC54" t="s">
        <v>212</v>
      </c>
      <c r="AD54" t="s">
        <v>212</v>
      </c>
      <c r="AE54" t="s">
        <v>212</v>
      </c>
      <c r="AF54" t="s">
        <v>212</v>
      </c>
      <c r="AG54" t="s">
        <v>212</v>
      </c>
      <c r="AH54" t="s">
        <v>212</v>
      </c>
      <c r="AI54" t="s">
        <v>212</v>
      </c>
      <c r="AJ54" t="s">
        <v>212</v>
      </c>
      <c r="AK54" t="s">
        <v>212</v>
      </c>
      <c r="AL54" t="s">
        <v>212</v>
      </c>
      <c r="AM54" t="s">
        <v>212</v>
      </c>
      <c r="AN54" t="s">
        <v>212</v>
      </c>
      <c r="AO54" t="s">
        <v>212</v>
      </c>
      <c r="AP54" t="s">
        <v>212</v>
      </c>
      <c r="AQ54" t="s">
        <v>212</v>
      </c>
      <c r="AR54" t="s">
        <v>212</v>
      </c>
      <c r="AS54" t="s">
        <v>212</v>
      </c>
      <c r="AT54" t="s">
        <v>212</v>
      </c>
      <c r="AU54" t="s">
        <v>212</v>
      </c>
      <c r="AV54" t="s">
        <v>212</v>
      </c>
      <c r="AW54" t="s">
        <v>212</v>
      </c>
      <c r="AX54" t="s">
        <v>212</v>
      </c>
      <c r="AY54" t="s">
        <v>212</v>
      </c>
      <c r="AZ54" t="s">
        <v>212</v>
      </c>
      <c r="BA54" t="s">
        <v>212</v>
      </c>
      <c r="BB54" t="s">
        <v>212</v>
      </c>
      <c r="BC54" t="s">
        <v>212</v>
      </c>
      <c r="BD54" t="s">
        <v>212</v>
      </c>
      <c r="BE54" t="s">
        <v>212</v>
      </c>
    </row>
    <row r="55" spans="1:57">
      <c r="A55" s="53" t="s">
        <v>195</v>
      </c>
      <c r="B55" s="54">
        <v>1</v>
      </c>
      <c r="C55" t="s">
        <v>212</v>
      </c>
      <c r="D55" t="s">
        <v>270</v>
      </c>
      <c r="E55" t="s">
        <v>263</v>
      </c>
      <c r="F55" t="s">
        <v>289</v>
      </c>
      <c r="G55" t="s">
        <v>279</v>
      </c>
      <c r="H55" t="s">
        <v>252</v>
      </c>
      <c r="I55" t="s">
        <v>243</v>
      </c>
      <c r="J55" t="s">
        <v>299</v>
      </c>
      <c r="K55" t="s">
        <v>212</v>
      </c>
      <c r="L55" t="s">
        <v>212</v>
      </c>
      <c r="M55" t="s">
        <v>275</v>
      </c>
      <c r="N55" t="s">
        <v>212</v>
      </c>
      <c r="O55" t="s">
        <v>215</v>
      </c>
      <c r="P55" t="s">
        <v>212</v>
      </c>
      <c r="Q55" t="s">
        <v>212</v>
      </c>
      <c r="R55" t="s">
        <v>296</v>
      </c>
      <c r="S55" t="s">
        <v>212</v>
      </c>
      <c r="T55" t="s">
        <v>291</v>
      </c>
      <c r="U55" t="s">
        <v>292</v>
      </c>
      <c r="V55" t="s">
        <v>212</v>
      </c>
      <c r="W55" t="s">
        <v>289</v>
      </c>
      <c r="X55" t="s">
        <v>212</v>
      </c>
      <c r="Y55" t="s">
        <v>278</v>
      </c>
      <c r="Z55" t="s">
        <v>220</v>
      </c>
      <c r="AA55" t="s">
        <v>230</v>
      </c>
      <c r="AB55" t="s">
        <v>252</v>
      </c>
      <c r="AC55" t="s">
        <v>217</v>
      </c>
      <c r="AD55" t="s">
        <v>266</v>
      </c>
      <c r="AE55" t="s">
        <v>225</v>
      </c>
      <c r="AF55" t="s">
        <v>232</v>
      </c>
      <c r="AG55" t="s">
        <v>235</v>
      </c>
      <c r="AH55" t="s">
        <v>254</v>
      </c>
      <c r="AI55" t="s">
        <v>272</v>
      </c>
      <c r="AJ55" t="s">
        <v>259</v>
      </c>
      <c r="AK55" t="s">
        <v>269</v>
      </c>
      <c r="AL55" t="s">
        <v>288</v>
      </c>
      <c r="AM55" t="s">
        <v>285</v>
      </c>
      <c r="AN55" t="s">
        <v>212</v>
      </c>
      <c r="AO55" t="s">
        <v>212</v>
      </c>
      <c r="AP55" t="s">
        <v>212</v>
      </c>
      <c r="AQ55" t="s">
        <v>212</v>
      </c>
      <c r="AR55" s="215" t="e">
        <v>#N/A</v>
      </c>
      <c r="AS55" s="215" t="s">
        <v>308</v>
      </c>
      <c r="AT55" t="s">
        <v>213</v>
      </c>
      <c r="AU55" t="s">
        <v>247</v>
      </c>
      <c r="AV55" t="s">
        <v>256</v>
      </c>
      <c r="AW55" t="s">
        <v>242</v>
      </c>
      <c r="AX55" t="s">
        <v>298</v>
      </c>
      <c r="AY55" t="s">
        <v>226</v>
      </c>
      <c r="AZ55" t="s">
        <v>237</v>
      </c>
      <c r="BA55" t="s">
        <v>258</v>
      </c>
      <c r="BB55" t="s">
        <v>227</v>
      </c>
      <c r="BC55" t="s">
        <v>239</v>
      </c>
      <c r="BD55" t="s">
        <v>276</v>
      </c>
      <c r="BE55" t="s">
        <v>222</v>
      </c>
    </row>
    <row r="56" spans="1:57">
      <c r="A56" s="45" t="s">
        <v>192</v>
      </c>
      <c r="B56" s="56">
        <v>2</v>
      </c>
      <c r="C56" t="s">
        <v>212</v>
      </c>
      <c r="D56" t="s">
        <v>293</v>
      </c>
      <c r="E56" t="s">
        <v>263</v>
      </c>
      <c r="F56" t="s">
        <v>289</v>
      </c>
      <c r="G56" t="s">
        <v>279</v>
      </c>
      <c r="H56" t="s">
        <v>252</v>
      </c>
      <c r="I56" t="s">
        <v>243</v>
      </c>
      <c r="J56" t="s">
        <v>299</v>
      </c>
      <c r="K56" t="s">
        <v>212</v>
      </c>
      <c r="L56" t="s">
        <v>212</v>
      </c>
      <c r="M56" t="s">
        <v>275</v>
      </c>
      <c r="N56" t="s">
        <v>212</v>
      </c>
      <c r="O56" t="s">
        <v>215</v>
      </c>
      <c r="P56" t="s">
        <v>212</v>
      </c>
      <c r="Q56" t="s">
        <v>212</v>
      </c>
      <c r="R56" t="s">
        <v>296</v>
      </c>
      <c r="S56" t="s">
        <v>212</v>
      </c>
      <c r="T56" t="s">
        <v>291</v>
      </c>
      <c r="U56" t="s">
        <v>292</v>
      </c>
      <c r="V56" t="s">
        <v>212</v>
      </c>
      <c r="W56" t="s">
        <v>289</v>
      </c>
      <c r="X56" t="s">
        <v>212</v>
      </c>
      <c r="Y56" t="s">
        <v>278</v>
      </c>
      <c r="Z56" t="s">
        <v>220</v>
      </c>
      <c r="AA56" t="s">
        <v>230</v>
      </c>
      <c r="AB56" t="s">
        <v>252</v>
      </c>
      <c r="AC56" t="s">
        <v>217</v>
      </c>
      <c r="AD56" t="s">
        <v>266</v>
      </c>
      <c r="AE56" t="s">
        <v>225</v>
      </c>
      <c r="AF56" t="s">
        <v>232</v>
      </c>
      <c r="AG56" t="s">
        <v>235</v>
      </c>
      <c r="AH56" t="s">
        <v>254</v>
      </c>
      <c r="AI56" t="s">
        <v>272</v>
      </c>
      <c r="AJ56" t="s">
        <v>259</v>
      </c>
      <c r="AK56" t="s">
        <v>269</v>
      </c>
      <c r="AL56" t="s">
        <v>288</v>
      </c>
      <c r="AM56" t="s">
        <v>285</v>
      </c>
      <c r="AN56" t="s">
        <v>212</v>
      </c>
      <c r="AO56" t="s">
        <v>212</v>
      </c>
      <c r="AP56" t="s">
        <v>212</v>
      </c>
      <c r="AQ56" t="s">
        <v>212</v>
      </c>
      <c r="AR56" s="215" t="e">
        <v>#N/A</v>
      </c>
      <c r="AS56" s="215" t="s">
        <v>308</v>
      </c>
      <c r="AT56" t="s">
        <v>213</v>
      </c>
      <c r="AU56" t="s">
        <v>269</v>
      </c>
      <c r="AV56" t="s">
        <v>256</v>
      </c>
      <c r="AW56" t="s">
        <v>242</v>
      </c>
      <c r="AX56" t="s">
        <v>222</v>
      </c>
      <c r="AY56" t="s">
        <v>226</v>
      </c>
      <c r="AZ56" t="s">
        <v>237</v>
      </c>
      <c r="BA56" t="s">
        <v>258</v>
      </c>
      <c r="BB56" t="s">
        <v>247</v>
      </c>
      <c r="BC56" t="s">
        <v>239</v>
      </c>
      <c r="BD56" t="s">
        <v>227</v>
      </c>
      <c r="BE56" t="s">
        <v>276</v>
      </c>
    </row>
    <row r="57" spans="1:57">
      <c r="A57" s="45" t="s">
        <v>196</v>
      </c>
      <c r="B57" s="56">
        <v>3</v>
      </c>
      <c r="C57" t="s">
        <v>212</v>
      </c>
      <c r="D57" s="215" t="s">
        <v>308</v>
      </c>
      <c r="E57" t="s">
        <v>299</v>
      </c>
      <c r="F57" t="s">
        <v>212</v>
      </c>
      <c r="G57" t="s">
        <v>212</v>
      </c>
      <c r="H57" s="215" t="e">
        <v>#N/A</v>
      </c>
      <c r="I57" t="s">
        <v>212</v>
      </c>
      <c r="J57" t="s">
        <v>315</v>
      </c>
      <c r="K57" t="s">
        <v>212</v>
      </c>
      <c r="L57" t="s">
        <v>289</v>
      </c>
      <c r="M57" s="58" t="e">
        <v>#N/A</v>
      </c>
      <c r="N57" t="s">
        <v>291</v>
      </c>
      <c r="O57" t="s">
        <v>212</v>
      </c>
      <c r="P57" t="s">
        <v>292</v>
      </c>
      <c r="Q57" s="215" t="e">
        <v>#N/A</v>
      </c>
      <c r="R57" t="s">
        <v>212</v>
      </c>
      <c r="S57" t="s">
        <v>256</v>
      </c>
      <c r="T57" t="s">
        <v>212</v>
      </c>
      <c r="U57" t="s">
        <v>212</v>
      </c>
      <c r="V57" t="s">
        <v>289</v>
      </c>
      <c r="W57" t="s">
        <v>212</v>
      </c>
      <c r="X57" t="s">
        <v>212</v>
      </c>
      <c r="Y57" t="s">
        <v>213</v>
      </c>
      <c r="Z57" t="s">
        <v>283</v>
      </c>
      <c r="AA57" t="s">
        <v>259</v>
      </c>
      <c r="AB57" t="s">
        <v>225</v>
      </c>
      <c r="AC57" t="s">
        <v>279</v>
      </c>
      <c r="AD57" t="s">
        <v>218</v>
      </c>
      <c r="AE57" t="s">
        <v>266</v>
      </c>
      <c r="AF57" t="s">
        <v>220</v>
      </c>
      <c r="AG57" t="s">
        <v>263</v>
      </c>
      <c r="AH57" t="s">
        <v>287</v>
      </c>
      <c r="AI57" t="s">
        <v>235</v>
      </c>
      <c r="AJ57" t="s">
        <v>270</v>
      </c>
      <c r="AK57" t="s">
        <v>274</v>
      </c>
      <c r="AL57" t="s">
        <v>232</v>
      </c>
      <c r="AM57" t="s">
        <v>262</v>
      </c>
      <c r="AN57" t="s">
        <v>212</v>
      </c>
      <c r="AO57" t="s">
        <v>212</v>
      </c>
      <c r="AP57" t="s">
        <v>212</v>
      </c>
      <c r="AQ57" t="s">
        <v>212</v>
      </c>
      <c r="AR57" t="s">
        <v>212</v>
      </c>
      <c r="AS57" t="s">
        <v>212</v>
      </c>
      <c r="AT57" s="58" t="e">
        <v>#N/A</v>
      </c>
      <c r="AU57" s="58" t="e">
        <v>#N/A</v>
      </c>
      <c r="AV57" t="s">
        <v>313</v>
      </c>
      <c r="AW57" t="s">
        <v>227</v>
      </c>
      <c r="AX57" t="s">
        <v>222</v>
      </c>
      <c r="AY57" s="58" t="e">
        <v>#N/A</v>
      </c>
      <c r="AZ57" t="s">
        <v>269</v>
      </c>
      <c r="BA57" t="s">
        <v>247</v>
      </c>
      <c r="BB57" t="s">
        <v>293</v>
      </c>
      <c r="BC57" t="s">
        <v>285</v>
      </c>
      <c r="BD57" s="58" t="e">
        <v>#N/A</v>
      </c>
      <c r="BE57" t="s">
        <v>298</v>
      </c>
    </row>
    <row r="58" spans="1:57">
      <c r="A58" s="45"/>
      <c r="B58" s="56">
        <v>4</v>
      </c>
      <c r="C58" t="s">
        <v>212</v>
      </c>
      <c r="D58" s="215" t="s">
        <v>308</v>
      </c>
      <c r="E58" t="s">
        <v>299</v>
      </c>
      <c r="F58" t="s">
        <v>212</v>
      </c>
      <c r="G58" t="s">
        <v>212</v>
      </c>
      <c r="H58" s="215" t="e">
        <v>#N/A</v>
      </c>
      <c r="I58" t="s">
        <v>212</v>
      </c>
      <c r="J58" t="s">
        <v>315</v>
      </c>
      <c r="K58" t="s">
        <v>212</v>
      </c>
      <c r="L58" t="s">
        <v>289</v>
      </c>
      <c r="M58" s="58" t="e">
        <v>#N/A</v>
      </c>
      <c r="N58" t="s">
        <v>291</v>
      </c>
      <c r="O58" t="s">
        <v>212</v>
      </c>
      <c r="P58" t="s">
        <v>292</v>
      </c>
      <c r="Q58" s="215" t="e">
        <v>#N/A</v>
      </c>
      <c r="R58" t="s">
        <v>212</v>
      </c>
      <c r="S58" t="s">
        <v>256</v>
      </c>
      <c r="T58" t="s">
        <v>212</v>
      </c>
      <c r="U58" t="s">
        <v>212</v>
      </c>
      <c r="V58" t="s">
        <v>289</v>
      </c>
      <c r="W58" t="s">
        <v>212</v>
      </c>
      <c r="X58" t="s">
        <v>212</v>
      </c>
      <c r="Y58" t="s">
        <v>213</v>
      </c>
      <c r="Z58" t="s">
        <v>283</v>
      </c>
      <c r="AA58" t="s">
        <v>259</v>
      </c>
      <c r="AB58" t="s">
        <v>225</v>
      </c>
      <c r="AC58" t="s">
        <v>279</v>
      </c>
      <c r="AD58" t="s">
        <v>218</v>
      </c>
      <c r="AE58" t="s">
        <v>266</v>
      </c>
      <c r="AF58" t="s">
        <v>220</v>
      </c>
      <c r="AG58" t="s">
        <v>263</v>
      </c>
      <c r="AH58" t="s">
        <v>287</v>
      </c>
      <c r="AI58" t="s">
        <v>235</v>
      </c>
      <c r="AJ58" t="s">
        <v>270</v>
      </c>
      <c r="AK58" t="s">
        <v>274</v>
      </c>
      <c r="AL58" t="s">
        <v>232</v>
      </c>
      <c r="AM58" t="s">
        <v>262</v>
      </c>
      <c r="AN58" t="s">
        <v>212</v>
      </c>
      <c r="AO58" t="s">
        <v>212</v>
      </c>
      <c r="AP58" t="s">
        <v>212</v>
      </c>
      <c r="AQ58" t="s">
        <v>212</v>
      </c>
      <c r="AR58" t="s">
        <v>212</v>
      </c>
      <c r="AS58" t="s">
        <v>212</v>
      </c>
      <c r="AT58" s="58" t="e">
        <v>#N/A</v>
      </c>
      <c r="AU58" s="58" t="e">
        <v>#N/A</v>
      </c>
      <c r="AV58" t="s">
        <v>313</v>
      </c>
      <c r="AW58" t="s">
        <v>212</v>
      </c>
      <c r="AX58" t="s">
        <v>212</v>
      </c>
      <c r="AY58" s="58" t="e">
        <v>#N/A</v>
      </c>
      <c r="AZ58" t="s">
        <v>212</v>
      </c>
      <c r="BA58" t="s">
        <v>212</v>
      </c>
      <c r="BB58" t="s">
        <v>212</v>
      </c>
      <c r="BC58" t="s">
        <v>212</v>
      </c>
      <c r="BD58" s="58" t="e">
        <v>#N/A</v>
      </c>
      <c r="BE58" t="s">
        <v>212</v>
      </c>
    </row>
    <row r="59" spans="1:57" ht="16" thickBot="1">
      <c r="A59" s="50"/>
      <c r="B59" s="57">
        <v>5</v>
      </c>
      <c r="C59" t="s">
        <v>212</v>
      </c>
      <c r="D59" t="s">
        <v>212</v>
      </c>
      <c r="E59" t="s">
        <v>212</v>
      </c>
      <c r="F59" t="s">
        <v>212</v>
      </c>
      <c r="G59" t="s">
        <v>212</v>
      </c>
      <c r="H59" t="s">
        <v>212</v>
      </c>
      <c r="I59" t="s">
        <v>212</v>
      </c>
      <c r="J59" t="s">
        <v>212</v>
      </c>
      <c r="K59" t="s">
        <v>212</v>
      </c>
      <c r="L59" t="s">
        <v>212</v>
      </c>
      <c r="M59" t="s">
        <v>212</v>
      </c>
      <c r="N59" t="s">
        <v>212</v>
      </c>
      <c r="O59" t="s">
        <v>212</v>
      </c>
      <c r="P59" t="s">
        <v>212</v>
      </c>
      <c r="Q59" t="s">
        <v>212</v>
      </c>
      <c r="R59" t="s">
        <v>212</v>
      </c>
      <c r="S59" t="s">
        <v>212</v>
      </c>
      <c r="T59" t="s">
        <v>212</v>
      </c>
      <c r="U59" t="s">
        <v>212</v>
      </c>
      <c r="V59" t="s">
        <v>212</v>
      </c>
      <c r="W59" t="s">
        <v>212</v>
      </c>
      <c r="X59" t="s">
        <v>212</v>
      </c>
      <c r="Y59" t="s">
        <v>212</v>
      </c>
      <c r="Z59" t="s">
        <v>212</v>
      </c>
      <c r="AA59" t="s">
        <v>212</v>
      </c>
      <c r="AB59" t="s">
        <v>212</v>
      </c>
      <c r="AC59" t="s">
        <v>212</v>
      </c>
      <c r="AD59" t="s">
        <v>212</v>
      </c>
      <c r="AE59" t="s">
        <v>212</v>
      </c>
      <c r="AF59" t="s">
        <v>212</v>
      </c>
      <c r="AG59" t="s">
        <v>212</v>
      </c>
      <c r="AH59" t="s">
        <v>212</v>
      </c>
      <c r="AI59" t="s">
        <v>212</v>
      </c>
      <c r="AJ59" t="s">
        <v>212</v>
      </c>
      <c r="AK59" t="s">
        <v>212</v>
      </c>
      <c r="AL59" t="s">
        <v>212</v>
      </c>
      <c r="AM59" t="s">
        <v>212</v>
      </c>
      <c r="AN59" t="s">
        <v>212</v>
      </c>
      <c r="AO59" t="s">
        <v>212</v>
      </c>
      <c r="AP59" t="s">
        <v>212</v>
      </c>
      <c r="AQ59" t="s">
        <v>212</v>
      </c>
      <c r="AR59" t="s">
        <v>212</v>
      </c>
      <c r="AS59" t="s">
        <v>212</v>
      </c>
      <c r="AT59" t="s">
        <v>212</v>
      </c>
      <c r="AU59" t="s">
        <v>212</v>
      </c>
      <c r="AV59" t="s">
        <v>212</v>
      </c>
      <c r="AW59" t="s">
        <v>212</v>
      </c>
      <c r="AX59" t="s">
        <v>212</v>
      </c>
      <c r="AY59" t="s">
        <v>212</v>
      </c>
      <c r="AZ59" t="s">
        <v>212</v>
      </c>
      <c r="BA59" t="s">
        <v>212</v>
      </c>
      <c r="BB59" t="s">
        <v>212</v>
      </c>
      <c r="BC59" t="s">
        <v>212</v>
      </c>
      <c r="BD59" t="s">
        <v>212</v>
      </c>
      <c r="BE59" t="s">
        <v>212</v>
      </c>
    </row>
    <row r="60" spans="1:57">
      <c r="A60" s="53" t="s">
        <v>197</v>
      </c>
      <c r="B60" s="54">
        <v>1</v>
      </c>
      <c r="C60" t="s">
        <v>212</v>
      </c>
      <c r="D60" t="s">
        <v>212</v>
      </c>
      <c r="E60" t="s">
        <v>212</v>
      </c>
      <c r="F60" t="s">
        <v>210</v>
      </c>
      <c r="G60" t="s">
        <v>212</v>
      </c>
      <c r="H60" t="s">
        <v>291</v>
      </c>
      <c r="I60" t="s">
        <v>294</v>
      </c>
      <c r="J60" t="s">
        <v>292</v>
      </c>
      <c r="K60" t="s">
        <v>296</v>
      </c>
      <c r="L60" t="s">
        <v>212</v>
      </c>
      <c r="M60" t="s">
        <v>212</v>
      </c>
      <c r="N60" t="s">
        <v>211</v>
      </c>
      <c r="O60" t="s">
        <v>294</v>
      </c>
      <c r="P60" s="215" t="s">
        <v>308</v>
      </c>
      <c r="Q60" t="s">
        <v>315</v>
      </c>
      <c r="R60" t="s">
        <v>206</v>
      </c>
      <c r="S60" t="s">
        <v>289</v>
      </c>
      <c r="T60" s="215" t="e">
        <v>#N/A</v>
      </c>
      <c r="U60" t="s">
        <v>279</v>
      </c>
      <c r="V60" t="s">
        <v>262</v>
      </c>
      <c r="W60" s="58" t="e">
        <v>#N/A</v>
      </c>
      <c r="X60" t="s">
        <v>212</v>
      </c>
      <c r="Y60" t="s">
        <v>212</v>
      </c>
      <c r="Z60" t="s">
        <v>286</v>
      </c>
      <c r="AA60" t="s">
        <v>212</v>
      </c>
      <c r="AB60" t="s">
        <v>216</v>
      </c>
      <c r="AC60" t="s">
        <v>221</v>
      </c>
      <c r="AD60" t="s">
        <v>288</v>
      </c>
      <c r="AE60" t="s">
        <v>219</v>
      </c>
      <c r="AF60" t="s">
        <v>212</v>
      </c>
      <c r="AG60" t="s">
        <v>263</v>
      </c>
      <c r="AH60" t="s">
        <v>209</v>
      </c>
      <c r="AI60" t="s">
        <v>265</v>
      </c>
      <c r="AJ60" t="s">
        <v>223</v>
      </c>
      <c r="AK60" t="s">
        <v>249</v>
      </c>
      <c r="AL60" t="s">
        <v>314</v>
      </c>
      <c r="AM60" s="58" t="e">
        <v>#N/A</v>
      </c>
      <c r="AN60" t="s">
        <v>212</v>
      </c>
      <c r="AO60" t="s">
        <v>212</v>
      </c>
      <c r="AP60" t="s">
        <v>212</v>
      </c>
      <c r="AQ60" t="s">
        <v>212</v>
      </c>
      <c r="AR60" t="s">
        <v>273</v>
      </c>
      <c r="AS60" s="215" t="e">
        <v>#N/A</v>
      </c>
      <c r="AT60" s="215" t="e">
        <v>#N/A</v>
      </c>
      <c r="AU60" t="s">
        <v>241</v>
      </c>
      <c r="AV60" t="s">
        <v>240</v>
      </c>
      <c r="AW60" s="215" t="e">
        <v>#N/A</v>
      </c>
      <c r="AX60" t="s">
        <v>313</v>
      </c>
      <c r="AY60" s="215" t="e">
        <v>#N/A</v>
      </c>
      <c r="AZ60" s="58" t="e">
        <v>#N/A</v>
      </c>
      <c r="BA60" s="215" t="e">
        <v>#N/A</v>
      </c>
      <c r="BB60" t="s">
        <v>274</v>
      </c>
      <c r="BC60" s="215" t="e">
        <v>#N/A</v>
      </c>
      <c r="BD60" t="s">
        <v>212</v>
      </c>
      <c r="BE60" t="s">
        <v>222</v>
      </c>
    </row>
    <row r="61" spans="1:57">
      <c r="A61" s="45" t="s">
        <v>192</v>
      </c>
      <c r="B61" s="56">
        <v>2</v>
      </c>
      <c r="C61" t="s">
        <v>212</v>
      </c>
      <c r="D61" t="s">
        <v>212</v>
      </c>
      <c r="E61" t="s">
        <v>212</v>
      </c>
      <c r="F61" t="s">
        <v>265</v>
      </c>
      <c r="G61" t="s">
        <v>212</v>
      </c>
      <c r="H61" t="s">
        <v>291</v>
      </c>
      <c r="I61" t="s">
        <v>294</v>
      </c>
      <c r="J61" t="s">
        <v>292</v>
      </c>
      <c r="K61" t="s">
        <v>296</v>
      </c>
      <c r="L61" t="s">
        <v>212</v>
      </c>
      <c r="M61" t="s">
        <v>212</v>
      </c>
      <c r="N61" t="s">
        <v>211</v>
      </c>
      <c r="O61" t="s">
        <v>294</v>
      </c>
      <c r="P61" s="215" t="s">
        <v>308</v>
      </c>
      <c r="Q61" t="s">
        <v>315</v>
      </c>
      <c r="R61" t="s">
        <v>233</v>
      </c>
      <c r="S61" t="s">
        <v>289</v>
      </c>
      <c r="T61" s="215" t="e">
        <v>#N/A</v>
      </c>
      <c r="U61" t="s">
        <v>262</v>
      </c>
      <c r="V61" t="s">
        <v>210</v>
      </c>
      <c r="W61" s="58" t="e">
        <v>#N/A</v>
      </c>
      <c r="X61" t="s">
        <v>212</v>
      </c>
      <c r="Y61" t="s">
        <v>212</v>
      </c>
      <c r="Z61" t="s">
        <v>286</v>
      </c>
      <c r="AA61" t="s">
        <v>267</v>
      </c>
      <c r="AB61" t="s">
        <v>216</v>
      </c>
      <c r="AC61" t="s">
        <v>221</v>
      </c>
      <c r="AD61" t="s">
        <v>285</v>
      </c>
      <c r="AE61" t="s">
        <v>219</v>
      </c>
      <c r="AF61" t="s">
        <v>263</v>
      </c>
      <c r="AG61" t="s">
        <v>224</v>
      </c>
      <c r="AH61" t="s">
        <v>209</v>
      </c>
      <c r="AI61" t="s">
        <v>249</v>
      </c>
      <c r="AJ61" t="s">
        <v>223</v>
      </c>
      <c r="AK61" t="s">
        <v>273</v>
      </c>
      <c r="AL61" t="s">
        <v>314</v>
      </c>
      <c r="AM61" s="58" t="e">
        <v>#N/A</v>
      </c>
      <c r="AN61" t="s">
        <v>212</v>
      </c>
      <c r="AO61" t="s">
        <v>212</v>
      </c>
      <c r="AP61" t="s">
        <v>212</v>
      </c>
      <c r="AQ61" t="s">
        <v>212</v>
      </c>
      <c r="AR61" t="s">
        <v>243</v>
      </c>
      <c r="AS61" s="215" t="e">
        <v>#N/A</v>
      </c>
      <c r="AT61" s="215" t="e">
        <v>#N/A</v>
      </c>
      <c r="AU61" t="s">
        <v>241</v>
      </c>
      <c r="AV61" t="s">
        <v>240</v>
      </c>
      <c r="AW61" s="215" t="e">
        <v>#N/A</v>
      </c>
      <c r="AX61" t="s">
        <v>313</v>
      </c>
      <c r="AY61" s="215" t="e">
        <v>#N/A</v>
      </c>
      <c r="AZ61" s="58" t="e">
        <v>#N/A</v>
      </c>
      <c r="BA61" s="215" t="e">
        <v>#N/A</v>
      </c>
      <c r="BB61" t="s">
        <v>274</v>
      </c>
      <c r="BC61" s="215" t="e">
        <v>#N/A</v>
      </c>
      <c r="BD61" t="s">
        <v>212</v>
      </c>
      <c r="BE61" t="s">
        <v>222</v>
      </c>
    </row>
    <row r="62" spans="1:57">
      <c r="A62" s="45" t="s">
        <v>198</v>
      </c>
      <c r="B62" s="56">
        <v>3</v>
      </c>
      <c r="C62" t="s">
        <v>294</v>
      </c>
      <c r="D62" t="s">
        <v>292</v>
      </c>
      <c r="E62" t="s">
        <v>296</v>
      </c>
      <c r="F62" t="s">
        <v>240</v>
      </c>
      <c r="G62" t="s">
        <v>290</v>
      </c>
      <c r="H62" t="s">
        <v>212</v>
      </c>
      <c r="I62" t="s">
        <v>212</v>
      </c>
      <c r="J62" t="s">
        <v>212</v>
      </c>
      <c r="K62" t="s">
        <v>212</v>
      </c>
      <c r="L62" s="215" t="s">
        <v>308</v>
      </c>
      <c r="M62" t="s">
        <v>290</v>
      </c>
      <c r="N62" t="s">
        <v>262</v>
      </c>
      <c r="O62" t="s">
        <v>212</v>
      </c>
      <c r="P62" t="s">
        <v>212</v>
      </c>
      <c r="Q62" t="s">
        <v>212</v>
      </c>
      <c r="R62" t="s">
        <v>273</v>
      </c>
      <c r="S62" t="s">
        <v>212</v>
      </c>
      <c r="T62" t="s">
        <v>212</v>
      </c>
      <c r="U62" t="s">
        <v>212</v>
      </c>
      <c r="V62" s="215" t="e">
        <v>#N/A</v>
      </c>
      <c r="W62" t="s">
        <v>212</v>
      </c>
      <c r="X62" t="s">
        <v>212</v>
      </c>
      <c r="Y62" t="s">
        <v>219</v>
      </c>
      <c r="Z62" t="s">
        <v>263</v>
      </c>
      <c r="AA62" t="s">
        <v>223</v>
      </c>
      <c r="AB62" s="58" t="e">
        <v>#N/A</v>
      </c>
      <c r="AC62" s="58" t="e">
        <v>#N/A</v>
      </c>
      <c r="AD62" t="s">
        <v>210</v>
      </c>
      <c r="AE62" t="s">
        <v>285</v>
      </c>
      <c r="AF62" t="s">
        <v>314</v>
      </c>
      <c r="AG62" t="s">
        <v>286</v>
      </c>
      <c r="AH62" t="s">
        <v>279</v>
      </c>
      <c r="AI62" t="s">
        <v>288</v>
      </c>
      <c r="AJ62" t="s">
        <v>315</v>
      </c>
      <c r="AK62" t="s">
        <v>212</v>
      </c>
      <c r="AL62" t="s">
        <v>224</v>
      </c>
      <c r="AM62" t="s">
        <v>267</v>
      </c>
      <c r="AN62" t="s">
        <v>212</v>
      </c>
      <c r="AO62" t="s">
        <v>212</v>
      </c>
      <c r="AP62" t="s">
        <v>212</v>
      </c>
      <c r="AQ62" t="s">
        <v>212</v>
      </c>
      <c r="AR62" t="s">
        <v>233</v>
      </c>
      <c r="AS62" t="s">
        <v>274</v>
      </c>
      <c r="AT62" t="s">
        <v>212</v>
      </c>
      <c r="AU62" t="s">
        <v>211</v>
      </c>
      <c r="AV62" t="s">
        <v>265</v>
      </c>
      <c r="AW62" t="s">
        <v>313</v>
      </c>
      <c r="AX62" t="s">
        <v>206</v>
      </c>
      <c r="AY62" t="s">
        <v>212</v>
      </c>
      <c r="AZ62" t="s">
        <v>243</v>
      </c>
      <c r="BA62" t="s">
        <v>212</v>
      </c>
      <c r="BB62" s="215" t="s">
        <v>308</v>
      </c>
      <c r="BC62" s="215" t="e">
        <v>#N/A</v>
      </c>
      <c r="BD62" s="215" t="e">
        <v>#N/A</v>
      </c>
      <c r="BE62" s="58" t="e">
        <v>#N/A</v>
      </c>
    </row>
    <row r="63" spans="1:57">
      <c r="A63" s="45"/>
      <c r="B63" s="56">
        <v>4</v>
      </c>
      <c r="C63" t="s">
        <v>294</v>
      </c>
      <c r="D63" t="s">
        <v>292</v>
      </c>
      <c r="E63" t="s">
        <v>296</v>
      </c>
      <c r="F63" t="s">
        <v>212</v>
      </c>
      <c r="G63" t="s">
        <v>290</v>
      </c>
      <c r="H63" t="s">
        <v>212</v>
      </c>
      <c r="I63" t="s">
        <v>212</v>
      </c>
      <c r="J63" t="s">
        <v>212</v>
      </c>
      <c r="K63" t="s">
        <v>212</v>
      </c>
      <c r="L63" s="215" t="s">
        <v>308</v>
      </c>
      <c r="M63" t="s">
        <v>290</v>
      </c>
      <c r="N63" t="s">
        <v>262</v>
      </c>
      <c r="O63" t="s">
        <v>212</v>
      </c>
      <c r="P63" t="s">
        <v>212</v>
      </c>
      <c r="Q63" t="s">
        <v>212</v>
      </c>
      <c r="R63" t="s">
        <v>212</v>
      </c>
      <c r="S63" t="s">
        <v>212</v>
      </c>
      <c r="T63" t="s">
        <v>212</v>
      </c>
      <c r="U63" t="s">
        <v>212</v>
      </c>
      <c r="V63" s="215" t="e">
        <v>#N/A</v>
      </c>
      <c r="W63" t="s">
        <v>212</v>
      </c>
      <c r="X63" t="s">
        <v>212</v>
      </c>
      <c r="Y63" t="s">
        <v>219</v>
      </c>
      <c r="Z63" t="s">
        <v>263</v>
      </c>
      <c r="AA63" t="s">
        <v>273</v>
      </c>
      <c r="AB63" s="58" t="e">
        <v>#N/A</v>
      </c>
      <c r="AC63" s="58" t="e">
        <v>#N/A</v>
      </c>
      <c r="AD63" t="s">
        <v>212</v>
      </c>
      <c r="AE63" t="s">
        <v>212</v>
      </c>
      <c r="AF63" t="s">
        <v>314</v>
      </c>
      <c r="AG63" t="s">
        <v>286</v>
      </c>
      <c r="AH63" t="s">
        <v>279</v>
      </c>
      <c r="AI63" t="s">
        <v>212</v>
      </c>
      <c r="AJ63" t="s">
        <v>315</v>
      </c>
      <c r="AK63" t="s">
        <v>212</v>
      </c>
      <c r="AL63" t="s">
        <v>224</v>
      </c>
      <c r="AM63" t="s">
        <v>210</v>
      </c>
      <c r="AN63" t="s">
        <v>212</v>
      </c>
      <c r="AO63" t="s">
        <v>212</v>
      </c>
      <c r="AP63" t="s">
        <v>212</v>
      </c>
      <c r="AQ63" t="s">
        <v>212</v>
      </c>
      <c r="AR63" t="s">
        <v>212</v>
      </c>
      <c r="AS63" t="s">
        <v>274</v>
      </c>
      <c r="AT63" t="s">
        <v>212</v>
      </c>
      <c r="AU63" t="s">
        <v>212</v>
      </c>
      <c r="AV63" t="s">
        <v>212</v>
      </c>
      <c r="AW63" t="s">
        <v>313</v>
      </c>
      <c r="AX63" t="s">
        <v>206</v>
      </c>
      <c r="AY63" t="s">
        <v>212</v>
      </c>
      <c r="AZ63" t="s">
        <v>233</v>
      </c>
      <c r="BA63" t="s">
        <v>212</v>
      </c>
      <c r="BB63" s="215" t="s">
        <v>308</v>
      </c>
      <c r="BC63" s="215" t="e">
        <v>#N/A</v>
      </c>
      <c r="BD63" s="215" t="e">
        <v>#N/A</v>
      </c>
      <c r="BE63" s="58" t="e">
        <v>#N/A</v>
      </c>
    </row>
    <row r="64" spans="1:57" ht="16" thickBot="1">
      <c r="A64" s="50"/>
      <c r="B64" s="57">
        <v>5</v>
      </c>
      <c r="C64" t="s">
        <v>212</v>
      </c>
      <c r="D64" t="s">
        <v>212</v>
      </c>
      <c r="E64" t="s">
        <v>212</v>
      </c>
      <c r="F64" t="s">
        <v>212</v>
      </c>
      <c r="G64" t="s">
        <v>212</v>
      </c>
      <c r="H64" t="s">
        <v>212</v>
      </c>
      <c r="I64" t="s">
        <v>212</v>
      </c>
      <c r="J64" t="s">
        <v>212</v>
      </c>
      <c r="K64" t="s">
        <v>212</v>
      </c>
      <c r="L64" t="s">
        <v>212</v>
      </c>
      <c r="M64" t="s">
        <v>212</v>
      </c>
      <c r="N64" t="s">
        <v>212</v>
      </c>
      <c r="O64" t="s">
        <v>212</v>
      </c>
      <c r="P64" t="s">
        <v>212</v>
      </c>
      <c r="Q64" t="s">
        <v>212</v>
      </c>
      <c r="R64" t="s">
        <v>212</v>
      </c>
      <c r="S64" t="s">
        <v>212</v>
      </c>
      <c r="T64" t="s">
        <v>212</v>
      </c>
      <c r="U64" t="s">
        <v>212</v>
      </c>
      <c r="V64" t="s">
        <v>212</v>
      </c>
      <c r="W64" t="s">
        <v>212</v>
      </c>
      <c r="X64" t="s">
        <v>212</v>
      </c>
      <c r="Y64" t="s">
        <v>212</v>
      </c>
      <c r="Z64" t="s">
        <v>212</v>
      </c>
      <c r="AA64" t="s">
        <v>212</v>
      </c>
      <c r="AB64" t="s">
        <v>212</v>
      </c>
      <c r="AC64" t="s">
        <v>212</v>
      </c>
      <c r="AD64" t="s">
        <v>212</v>
      </c>
      <c r="AE64" t="s">
        <v>212</v>
      </c>
      <c r="AF64" t="s">
        <v>212</v>
      </c>
      <c r="AG64" t="s">
        <v>212</v>
      </c>
      <c r="AH64" t="s">
        <v>212</v>
      </c>
      <c r="AI64" t="s">
        <v>212</v>
      </c>
      <c r="AJ64" t="s">
        <v>212</v>
      </c>
      <c r="AK64" t="s">
        <v>212</v>
      </c>
      <c r="AL64" t="s">
        <v>212</v>
      </c>
      <c r="AM64" t="s">
        <v>212</v>
      </c>
      <c r="AN64" t="s">
        <v>212</v>
      </c>
      <c r="AO64" t="s">
        <v>212</v>
      </c>
      <c r="AP64" t="s">
        <v>212</v>
      </c>
      <c r="AQ64" t="s">
        <v>212</v>
      </c>
      <c r="AR64" t="s">
        <v>212</v>
      </c>
      <c r="AS64" t="s">
        <v>212</v>
      </c>
      <c r="AT64" t="s">
        <v>212</v>
      </c>
      <c r="AU64" t="s">
        <v>212</v>
      </c>
      <c r="AV64" t="s">
        <v>212</v>
      </c>
      <c r="AW64" t="s">
        <v>212</v>
      </c>
      <c r="AX64" t="s">
        <v>212</v>
      </c>
      <c r="AY64" t="s">
        <v>212</v>
      </c>
      <c r="AZ64" t="s">
        <v>212</v>
      </c>
      <c r="BA64" t="s">
        <v>212</v>
      </c>
      <c r="BB64" t="s">
        <v>212</v>
      </c>
      <c r="BC64" t="s">
        <v>212</v>
      </c>
      <c r="BD64" t="s">
        <v>212</v>
      </c>
      <c r="BE64" t="s">
        <v>212</v>
      </c>
    </row>
    <row r="65" spans="1:2">
      <c r="A65" s="53" t="s">
        <v>199</v>
      </c>
      <c r="B65" s="54">
        <v>1</v>
      </c>
    </row>
    <row r="66" spans="1:2">
      <c r="A66" s="45" t="s">
        <v>192</v>
      </c>
      <c r="B66" s="56">
        <v>2</v>
      </c>
    </row>
    <row r="67" spans="1:2">
      <c r="A67" s="45" t="s">
        <v>200</v>
      </c>
      <c r="B67" s="56">
        <v>3</v>
      </c>
    </row>
    <row r="68" spans="1:2">
      <c r="A68" s="45"/>
      <c r="B68" s="56">
        <v>4</v>
      </c>
    </row>
    <row r="69" spans="1:2" ht="16" thickBot="1">
      <c r="A69" s="50"/>
      <c r="B69" s="57">
        <v>5</v>
      </c>
    </row>
  </sheetData>
  <mergeCells count="12">
    <mergeCell ref="A40:A44"/>
    <mergeCell ref="A45:A49"/>
    <mergeCell ref="A50:A54"/>
    <mergeCell ref="A55:A59"/>
    <mergeCell ref="A60:A64"/>
    <mergeCell ref="A65:A69"/>
    <mergeCell ref="A3:A7"/>
    <mergeCell ref="A8:A12"/>
    <mergeCell ref="A13:A17"/>
    <mergeCell ref="A18:A22"/>
    <mergeCell ref="A23:A27"/>
    <mergeCell ref="A28:A3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0C36E-1316-CC44-BCA0-E86955C3C343}">
  <dimension ref="A1"/>
  <sheetViews>
    <sheetView topLeftCell="A3" workbookViewId="0"/>
  </sheetViews>
  <sheetFormatPr baseColWidth="10"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8E939-63C8-4E44-BC37-7EC5BB68B000}">
  <dimension ref="A1:F206"/>
  <sheetViews>
    <sheetView workbookViewId="0">
      <selection activeCell="G17" sqref="G17"/>
    </sheetView>
  </sheetViews>
  <sheetFormatPr baseColWidth="10" defaultRowHeight="15"/>
  <sheetData>
    <row r="1" spans="1:6">
      <c r="A1" s="78" t="s">
        <v>401</v>
      </c>
      <c r="B1" s="78" t="s">
        <v>402</v>
      </c>
      <c r="C1" s="78" t="s">
        <v>403</v>
      </c>
      <c r="D1" s="78" t="s">
        <v>404</v>
      </c>
      <c r="E1" s="78" t="s">
        <v>405</v>
      </c>
      <c r="F1" s="78" t="s">
        <v>406</v>
      </c>
    </row>
    <row r="2" spans="1:6">
      <c r="A2" s="79" t="s">
        <v>407</v>
      </c>
      <c r="B2" s="80" t="s">
        <v>408</v>
      </c>
      <c r="C2" s="80" t="s">
        <v>409</v>
      </c>
      <c r="D2" s="80" t="s">
        <v>247</v>
      </c>
      <c r="E2" s="81" t="s">
        <v>410</v>
      </c>
      <c r="F2" s="79" t="s">
        <v>69</v>
      </c>
    </row>
    <row r="3" spans="1:6">
      <c r="A3" s="82" t="s">
        <v>411</v>
      </c>
      <c r="B3" s="83" t="s">
        <v>412</v>
      </c>
      <c r="C3" s="83" t="s">
        <v>233</v>
      </c>
      <c r="D3" s="83" t="s">
        <v>233</v>
      </c>
      <c r="E3" s="83" t="s">
        <v>233</v>
      </c>
      <c r="F3" s="82" t="s">
        <v>69</v>
      </c>
    </row>
    <row r="4" spans="1:6">
      <c r="A4" s="84" t="s">
        <v>413</v>
      </c>
      <c r="B4" s="85" t="s">
        <v>414</v>
      </c>
      <c r="C4" s="85" t="s">
        <v>415</v>
      </c>
      <c r="D4" s="86" t="s">
        <v>232</v>
      </c>
      <c r="E4" s="86" t="s">
        <v>416</v>
      </c>
      <c r="F4" s="84" t="s">
        <v>69</v>
      </c>
    </row>
    <row r="5" spans="1:6">
      <c r="A5" s="82" t="s">
        <v>417</v>
      </c>
      <c r="B5" s="83" t="s">
        <v>418</v>
      </c>
      <c r="C5" s="83" t="s">
        <v>419</v>
      </c>
      <c r="D5" s="87" t="s">
        <v>259</v>
      </c>
      <c r="E5" s="88" t="s">
        <v>420</v>
      </c>
      <c r="F5" s="82" t="s">
        <v>69</v>
      </c>
    </row>
    <row r="6" spans="1:6">
      <c r="A6" s="84" t="s">
        <v>421</v>
      </c>
      <c r="B6" s="85" t="s">
        <v>422</v>
      </c>
      <c r="C6" s="85" t="s">
        <v>423</v>
      </c>
      <c r="D6" s="89" t="s">
        <v>225</v>
      </c>
      <c r="E6" s="86" t="s">
        <v>424</v>
      </c>
      <c r="F6" s="84" t="s">
        <v>69</v>
      </c>
    </row>
    <row r="7" spans="1:6">
      <c r="A7" s="90" t="s">
        <v>425</v>
      </c>
      <c r="B7" s="83" t="s">
        <v>426</v>
      </c>
      <c r="C7" s="83" t="s">
        <v>426</v>
      </c>
      <c r="D7" s="91" t="s">
        <v>427</v>
      </c>
      <c r="E7" s="91" t="s">
        <v>427</v>
      </c>
      <c r="F7" s="82" t="s">
        <v>69</v>
      </c>
    </row>
    <row r="8" spans="1:6">
      <c r="A8" s="92" t="s">
        <v>428</v>
      </c>
      <c r="B8" s="85" t="s">
        <v>429</v>
      </c>
      <c r="C8" s="85" t="s">
        <v>429</v>
      </c>
      <c r="D8" s="86" t="s">
        <v>430</v>
      </c>
      <c r="E8" s="86" t="s">
        <v>430</v>
      </c>
      <c r="F8" s="84" t="s">
        <v>69</v>
      </c>
    </row>
    <row r="9" spans="1:6">
      <c r="A9" s="82" t="s">
        <v>431</v>
      </c>
      <c r="B9" s="83" t="s">
        <v>432</v>
      </c>
      <c r="C9" s="83" t="s">
        <v>432</v>
      </c>
      <c r="D9" s="93" t="s">
        <v>229</v>
      </c>
      <c r="E9" s="88" t="s">
        <v>433</v>
      </c>
      <c r="F9" s="94" t="s">
        <v>69</v>
      </c>
    </row>
    <row r="10" spans="1:6">
      <c r="A10" s="84" t="s">
        <v>434</v>
      </c>
      <c r="B10" s="95" t="s">
        <v>435</v>
      </c>
      <c r="C10" s="96" t="s">
        <v>436</v>
      </c>
      <c r="D10" s="97" t="s">
        <v>235</v>
      </c>
      <c r="E10" s="98" t="s">
        <v>235</v>
      </c>
      <c r="F10" s="84" t="s">
        <v>69</v>
      </c>
    </row>
    <row r="11" spans="1:6">
      <c r="A11" s="82" t="s">
        <v>437</v>
      </c>
      <c r="B11" s="99" t="s">
        <v>438</v>
      </c>
      <c r="C11" s="83" t="s">
        <v>439</v>
      </c>
      <c r="D11" s="100" t="s">
        <v>255</v>
      </c>
      <c r="E11" s="88" t="s">
        <v>255</v>
      </c>
      <c r="F11" s="82" t="s">
        <v>69</v>
      </c>
    </row>
    <row r="12" spans="1:6">
      <c r="A12" s="101" t="s">
        <v>440</v>
      </c>
      <c r="B12" s="102" t="s">
        <v>365</v>
      </c>
      <c r="C12" s="102" t="s">
        <v>365</v>
      </c>
      <c r="D12" s="103" t="s">
        <v>441</v>
      </c>
      <c r="E12" s="104" t="s">
        <v>441</v>
      </c>
      <c r="F12" s="101" t="s">
        <v>308</v>
      </c>
    </row>
    <row r="13" spans="1:6">
      <c r="A13" s="105" t="s">
        <v>442</v>
      </c>
      <c r="B13" s="106" t="s">
        <v>350</v>
      </c>
      <c r="C13" s="106" t="s">
        <v>350</v>
      </c>
      <c r="D13" s="107" t="s">
        <v>443</v>
      </c>
      <c r="E13" s="107" t="s">
        <v>443</v>
      </c>
      <c r="F13" s="105" t="s">
        <v>308</v>
      </c>
    </row>
    <row r="14" spans="1:6">
      <c r="A14" s="108" t="s">
        <v>444</v>
      </c>
      <c r="B14" s="102" t="s">
        <v>374</v>
      </c>
      <c r="C14" s="102" t="s">
        <v>374</v>
      </c>
      <c r="D14" s="104" t="s">
        <v>445</v>
      </c>
      <c r="E14" s="104" t="s">
        <v>445</v>
      </c>
      <c r="F14" s="108" t="s">
        <v>308</v>
      </c>
    </row>
    <row r="15" spans="1:6">
      <c r="A15" s="82" t="s">
        <v>446</v>
      </c>
      <c r="B15" s="83" t="s">
        <v>447</v>
      </c>
      <c r="C15" s="83" t="s">
        <v>308</v>
      </c>
      <c r="D15" s="109" t="s">
        <v>308</v>
      </c>
      <c r="E15" s="91" t="s">
        <v>308</v>
      </c>
      <c r="F15" s="82" t="s">
        <v>308</v>
      </c>
    </row>
    <row r="16" spans="1:6">
      <c r="A16" s="90" t="s">
        <v>448</v>
      </c>
      <c r="B16" s="110" t="s">
        <v>449</v>
      </c>
      <c r="C16" s="110" t="s">
        <v>450</v>
      </c>
      <c r="D16" s="111" t="s">
        <v>273</v>
      </c>
      <c r="E16" s="110" t="s">
        <v>451</v>
      </c>
      <c r="F16" s="82" t="s">
        <v>452</v>
      </c>
    </row>
    <row r="17" spans="1:6">
      <c r="A17" s="84" t="s">
        <v>453</v>
      </c>
      <c r="B17" s="112" t="s">
        <v>454</v>
      </c>
      <c r="C17" s="112" t="s">
        <v>454</v>
      </c>
      <c r="D17" s="86" t="s">
        <v>287</v>
      </c>
      <c r="E17" s="113" t="s">
        <v>287</v>
      </c>
      <c r="F17" s="84" t="s">
        <v>452</v>
      </c>
    </row>
    <row r="18" spans="1:6">
      <c r="A18" s="90" t="s">
        <v>455</v>
      </c>
      <c r="B18" s="114" t="s">
        <v>456</v>
      </c>
      <c r="C18" s="115" t="s">
        <v>457</v>
      </c>
      <c r="D18" s="114" t="s">
        <v>298</v>
      </c>
      <c r="E18" s="116" t="s">
        <v>298</v>
      </c>
      <c r="F18" s="82" t="s">
        <v>452</v>
      </c>
    </row>
    <row r="19" spans="1:6">
      <c r="A19" s="82" t="s">
        <v>458</v>
      </c>
      <c r="B19" s="83" t="s">
        <v>459</v>
      </c>
      <c r="C19" s="83" t="s">
        <v>459</v>
      </c>
      <c r="D19" s="83" t="s">
        <v>274</v>
      </c>
      <c r="E19" s="91" t="s">
        <v>460</v>
      </c>
      <c r="F19" s="82" t="s">
        <v>78</v>
      </c>
    </row>
    <row r="20" spans="1:6">
      <c r="A20" s="84" t="s">
        <v>461</v>
      </c>
      <c r="B20" s="117" t="s">
        <v>462</v>
      </c>
      <c r="C20" s="117" t="s">
        <v>463</v>
      </c>
      <c r="D20" s="117" t="s">
        <v>276</v>
      </c>
      <c r="E20" s="97" t="s">
        <v>464</v>
      </c>
      <c r="F20" s="84" t="s">
        <v>78</v>
      </c>
    </row>
    <row r="21" spans="1:6">
      <c r="A21" s="82" t="s">
        <v>465</v>
      </c>
      <c r="B21" s="118" t="s">
        <v>466</v>
      </c>
      <c r="C21" s="118" t="s">
        <v>467</v>
      </c>
      <c r="D21" s="118" t="s">
        <v>288</v>
      </c>
      <c r="E21" s="109" t="s">
        <v>468</v>
      </c>
      <c r="F21" s="82" t="s">
        <v>78</v>
      </c>
    </row>
    <row r="22" spans="1:6">
      <c r="A22" s="84" t="s">
        <v>469</v>
      </c>
      <c r="B22" s="85" t="s">
        <v>470</v>
      </c>
      <c r="C22" s="85" t="s">
        <v>471</v>
      </c>
      <c r="D22" s="85" t="s">
        <v>262</v>
      </c>
      <c r="E22" s="86" t="s">
        <v>472</v>
      </c>
      <c r="F22" s="84" t="s">
        <v>78</v>
      </c>
    </row>
    <row r="23" spans="1:6">
      <c r="A23" s="84" t="s">
        <v>473</v>
      </c>
      <c r="B23" s="85" t="s">
        <v>462</v>
      </c>
      <c r="C23" s="85" t="s">
        <v>463</v>
      </c>
      <c r="D23" s="85" t="s">
        <v>276</v>
      </c>
      <c r="E23" s="86" t="s">
        <v>464</v>
      </c>
      <c r="F23" s="119" t="s">
        <v>474</v>
      </c>
    </row>
    <row r="24" spans="1:6">
      <c r="A24" s="119" t="s">
        <v>475</v>
      </c>
      <c r="B24" s="120" t="s">
        <v>454</v>
      </c>
      <c r="C24" s="120" t="s">
        <v>454</v>
      </c>
      <c r="D24" s="86" t="s">
        <v>287</v>
      </c>
      <c r="E24" s="79" t="s">
        <v>287</v>
      </c>
      <c r="F24" s="119" t="s">
        <v>474</v>
      </c>
    </row>
    <row r="25" spans="1:6">
      <c r="A25" s="90" t="s">
        <v>476</v>
      </c>
      <c r="B25" s="121" t="s">
        <v>477</v>
      </c>
      <c r="C25" s="111" t="s">
        <v>478</v>
      </c>
      <c r="D25" s="83" t="s">
        <v>479</v>
      </c>
      <c r="E25" s="91" t="s">
        <v>480</v>
      </c>
      <c r="F25" s="94" t="s">
        <v>474</v>
      </c>
    </row>
    <row r="26" spans="1:6">
      <c r="A26" s="82" t="s">
        <v>481</v>
      </c>
      <c r="B26" s="83" t="s">
        <v>482</v>
      </c>
      <c r="C26" s="83" t="s">
        <v>483</v>
      </c>
      <c r="D26" s="83" t="s">
        <v>228</v>
      </c>
      <c r="E26" s="91" t="s">
        <v>483</v>
      </c>
      <c r="F26" s="119" t="s">
        <v>474</v>
      </c>
    </row>
    <row r="27" spans="1:6">
      <c r="A27" s="90" t="s">
        <v>484</v>
      </c>
      <c r="B27" s="83" t="s">
        <v>485</v>
      </c>
      <c r="C27" s="116" t="s">
        <v>486</v>
      </c>
      <c r="D27" s="116" t="s">
        <v>251</v>
      </c>
      <c r="E27" s="116" t="s">
        <v>251</v>
      </c>
      <c r="F27" s="90" t="s">
        <v>81</v>
      </c>
    </row>
    <row r="28" spans="1:6" ht="68">
      <c r="A28" s="90" t="s">
        <v>487</v>
      </c>
      <c r="B28" s="122" t="s">
        <v>164</v>
      </c>
      <c r="C28" s="116" t="s">
        <v>237</v>
      </c>
      <c r="D28" s="116" t="s">
        <v>237</v>
      </c>
      <c r="E28" s="116" t="s">
        <v>237</v>
      </c>
      <c r="F28" s="90" t="s">
        <v>81</v>
      </c>
    </row>
    <row r="29" spans="1:6" ht="16">
      <c r="A29" s="92" t="s">
        <v>488</v>
      </c>
      <c r="B29" s="123" t="s">
        <v>489</v>
      </c>
      <c r="C29" s="124" t="s">
        <v>490</v>
      </c>
      <c r="D29" s="85" t="s">
        <v>257</v>
      </c>
      <c r="E29" s="85" t="s">
        <v>491</v>
      </c>
      <c r="F29" s="90" t="s">
        <v>81</v>
      </c>
    </row>
    <row r="30" spans="1:6">
      <c r="A30" s="90" t="s">
        <v>492</v>
      </c>
      <c r="B30" s="125" t="s">
        <v>493</v>
      </c>
      <c r="C30" s="126" t="s">
        <v>494</v>
      </c>
      <c r="D30" s="127" t="s">
        <v>284</v>
      </c>
      <c r="E30" s="127" t="s">
        <v>495</v>
      </c>
      <c r="F30" s="94" t="s">
        <v>474</v>
      </c>
    </row>
    <row r="31" spans="1:6" ht="51">
      <c r="A31" s="90" t="s">
        <v>496</v>
      </c>
      <c r="B31" s="122" t="s">
        <v>134</v>
      </c>
      <c r="C31" s="116" t="s">
        <v>497</v>
      </c>
      <c r="D31" s="116" t="s">
        <v>497</v>
      </c>
      <c r="E31" s="116" t="s">
        <v>497</v>
      </c>
      <c r="F31" s="90" t="s">
        <v>81</v>
      </c>
    </row>
    <row r="32" spans="1:6">
      <c r="A32" s="90" t="s">
        <v>498</v>
      </c>
      <c r="B32" s="91" t="s">
        <v>499</v>
      </c>
      <c r="C32" s="91" t="s">
        <v>500</v>
      </c>
      <c r="D32" s="83" t="s">
        <v>501</v>
      </c>
      <c r="E32" s="91" t="s">
        <v>501</v>
      </c>
      <c r="F32" s="94" t="s">
        <v>474</v>
      </c>
    </row>
    <row r="33" spans="1:6">
      <c r="A33" s="90" t="s">
        <v>502</v>
      </c>
      <c r="B33" s="83" t="s">
        <v>503</v>
      </c>
      <c r="C33" s="83" t="s">
        <v>503</v>
      </c>
      <c r="D33" s="91" t="s">
        <v>238</v>
      </c>
      <c r="E33" s="91" t="s">
        <v>504</v>
      </c>
      <c r="F33" s="90" t="s">
        <v>81</v>
      </c>
    </row>
    <row r="34" spans="1:6">
      <c r="A34" s="90" t="s">
        <v>505</v>
      </c>
      <c r="B34" s="83" t="s">
        <v>506</v>
      </c>
      <c r="C34" s="83" t="s">
        <v>507</v>
      </c>
      <c r="D34" s="83" t="s">
        <v>248</v>
      </c>
      <c r="E34" s="91" t="s">
        <v>508</v>
      </c>
      <c r="F34" s="90" t="s">
        <v>81</v>
      </c>
    </row>
    <row r="35" spans="1:6">
      <c r="A35" s="92" t="s">
        <v>509</v>
      </c>
      <c r="B35" s="85" t="s">
        <v>510</v>
      </c>
      <c r="C35" s="85" t="s">
        <v>293</v>
      </c>
      <c r="D35" s="85" t="s">
        <v>293</v>
      </c>
      <c r="E35" s="86" t="s">
        <v>511</v>
      </c>
      <c r="F35" s="119" t="s">
        <v>474</v>
      </c>
    </row>
    <row r="36" spans="1:6" ht="34">
      <c r="A36" s="128" t="s">
        <v>512</v>
      </c>
      <c r="B36" s="122" t="s">
        <v>135</v>
      </c>
      <c r="C36" s="116" t="s">
        <v>513</v>
      </c>
      <c r="D36" s="116" t="s">
        <v>513</v>
      </c>
      <c r="E36" s="116" t="s">
        <v>513</v>
      </c>
      <c r="F36" s="90" t="s">
        <v>81</v>
      </c>
    </row>
    <row r="37" spans="1:6">
      <c r="A37" s="92" t="s">
        <v>514</v>
      </c>
      <c r="B37" s="121" t="s">
        <v>515</v>
      </c>
      <c r="C37" s="85" t="s">
        <v>516</v>
      </c>
      <c r="D37" s="85" t="s">
        <v>281</v>
      </c>
      <c r="E37" s="86" t="s">
        <v>517</v>
      </c>
      <c r="F37" s="119" t="s">
        <v>474</v>
      </c>
    </row>
    <row r="38" spans="1:6">
      <c r="A38" s="92" t="s">
        <v>518</v>
      </c>
      <c r="B38" s="129" t="s">
        <v>519</v>
      </c>
      <c r="C38" s="85" t="s">
        <v>520</v>
      </c>
      <c r="D38" s="85" t="s">
        <v>521</v>
      </c>
      <c r="E38" s="130" t="s">
        <v>522</v>
      </c>
      <c r="F38" s="119" t="s">
        <v>474</v>
      </c>
    </row>
    <row r="39" spans="1:6">
      <c r="A39" s="90" t="s">
        <v>523</v>
      </c>
      <c r="B39" s="131" t="s">
        <v>524</v>
      </c>
      <c r="C39" s="83" t="s">
        <v>525</v>
      </c>
      <c r="D39" s="83" t="s">
        <v>526</v>
      </c>
      <c r="E39" s="132" t="s">
        <v>527</v>
      </c>
      <c r="F39" s="90" t="s">
        <v>81</v>
      </c>
    </row>
    <row r="40" spans="1:6">
      <c r="A40" s="90" t="s">
        <v>528</v>
      </c>
      <c r="B40" s="83" t="s">
        <v>529</v>
      </c>
      <c r="C40" s="83" t="s">
        <v>529</v>
      </c>
      <c r="D40" s="83" t="s">
        <v>530</v>
      </c>
      <c r="E40" s="91" t="s">
        <v>531</v>
      </c>
      <c r="F40" s="94" t="s">
        <v>474</v>
      </c>
    </row>
    <row r="41" spans="1:6">
      <c r="A41" s="92" t="s">
        <v>532</v>
      </c>
      <c r="B41" s="83" t="s">
        <v>533</v>
      </c>
      <c r="C41" s="83" t="s">
        <v>533</v>
      </c>
      <c r="D41" s="83" t="s">
        <v>534</v>
      </c>
      <c r="E41" s="91" t="s">
        <v>535</v>
      </c>
      <c r="F41" s="92" t="s">
        <v>81</v>
      </c>
    </row>
    <row r="42" spans="1:6">
      <c r="A42" s="90" t="s">
        <v>536</v>
      </c>
      <c r="B42" s="83" t="s">
        <v>537</v>
      </c>
      <c r="C42" s="83" t="s">
        <v>538</v>
      </c>
      <c r="D42" s="83" t="s">
        <v>312</v>
      </c>
      <c r="E42" s="91" t="s">
        <v>312</v>
      </c>
      <c r="F42" s="94" t="s">
        <v>474</v>
      </c>
    </row>
    <row r="43" spans="1:6">
      <c r="A43" s="92" t="s">
        <v>539</v>
      </c>
      <c r="B43" s="133" t="s">
        <v>540</v>
      </c>
      <c r="C43" s="133" t="s">
        <v>541</v>
      </c>
      <c r="D43" s="85" t="s">
        <v>542</v>
      </c>
      <c r="E43" s="133" t="s">
        <v>543</v>
      </c>
      <c r="F43" s="119" t="s">
        <v>474</v>
      </c>
    </row>
    <row r="44" spans="1:6">
      <c r="A44" s="84" t="s">
        <v>544</v>
      </c>
      <c r="B44" s="85" t="s">
        <v>545</v>
      </c>
      <c r="C44" s="85" t="s">
        <v>546</v>
      </c>
      <c r="D44" s="85" t="s">
        <v>267</v>
      </c>
      <c r="E44" s="86" t="s">
        <v>547</v>
      </c>
      <c r="F44" s="84" t="s">
        <v>548</v>
      </c>
    </row>
    <row r="45" spans="1:6">
      <c r="A45" s="84" t="s">
        <v>549</v>
      </c>
      <c r="B45" s="85" t="s">
        <v>545</v>
      </c>
      <c r="C45" s="85" t="s">
        <v>546</v>
      </c>
      <c r="D45" s="85" t="s">
        <v>267</v>
      </c>
      <c r="E45" s="86" t="s">
        <v>547</v>
      </c>
      <c r="F45" s="84" t="s">
        <v>548</v>
      </c>
    </row>
    <row r="46" spans="1:6">
      <c r="A46" s="82" t="s">
        <v>550</v>
      </c>
      <c r="B46" s="83" t="s">
        <v>551</v>
      </c>
      <c r="C46" s="83" t="s">
        <v>552</v>
      </c>
      <c r="D46" s="91" t="s">
        <v>265</v>
      </c>
      <c r="E46" s="91" t="s">
        <v>553</v>
      </c>
      <c r="F46" s="82" t="s">
        <v>548</v>
      </c>
    </row>
    <row r="47" spans="1:6">
      <c r="A47" s="92" t="s">
        <v>554</v>
      </c>
      <c r="B47" s="85" t="s">
        <v>555</v>
      </c>
      <c r="C47" s="85" t="s">
        <v>555</v>
      </c>
      <c r="D47" s="85" t="s">
        <v>556</v>
      </c>
      <c r="E47" s="86" t="s">
        <v>556</v>
      </c>
      <c r="F47" s="92" t="s">
        <v>548</v>
      </c>
    </row>
    <row r="48" spans="1:6">
      <c r="A48" s="92" t="s">
        <v>557</v>
      </c>
      <c r="B48" s="85" t="s">
        <v>555</v>
      </c>
      <c r="C48" s="85" t="s">
        <v>555</v>
      </c>
      <c r="D48" s="85" t="s">
        <v>556</v>
      </c>
      <c r="E48" s="86" t="s">
        <v>556</v>
      </c>
      <c r="F48" s="92" t="s">
        <v>548</v>
      </c>
    </row>
    <row r="49" spans="1:6">
      <c r="A49" s="84" t="s">
        <v>558</v>
      </c>
      <c r="B49" s="85" t="s">
        <v>559</v>
      </c>
      <c r="C49" s="85" t="s">
        <v>559</v>
      </c>
      <c r="D49" s="85" t="s">
        <v>254</v>
      </c>
      <c r="E49" s="86" t="s">
        <v>560</v>
      </c>
      <c r="F49" s="84" t="s">
        <v>79</v>
      </c>
    </row>
    <row r="50" spans="1:6">
      <c r="A50" s="82" t="s">
        <v>561</v>
      </c>
      <c r="B50" s="83" t="s">
        <v>562</v>
      </c>
      <c r="C50" s="83" t="s">
        <v>563</v>
      </c>
      <c r="D50" s="83" t="s">
        <v>231</v>
      </c>
      <c r="E50" s="91" t="s">
        <v>564</v>
      </c>
      <c r="F50" s="82" t="s">
        <v>79</v>
      </c>
    </row>
    <row r="51" spans="1:6">
      <c r="A51" s="82" t="s">
        <v>565</v>
      </c>
      <c r="B51" s="83" t="s">
        <v>566</v>
      </c>
      <c r="C51" s="83" t="s">
        <v>567</v>
      </c>
      <c r="D51" s="83" t="s">
        <v>283</v>
      </c>
      <c r="E51" s="91" t="s">
        <v>209</v>
      </c>
      <c r="F51" s="82" t="s">
        <v>79</v>
      </c>
    </row>
    <row r="52" spans="1:6">
      <c r="A52" s="84" t="s">
        <v>568</v>
      </c>
      <c r="B52" s="85" t="s">
        <v>569</v>
      </c>
      <c r="C52" s="85" t="s">
        <v>570</v>
      </c>
      <c r="D52" s="86" t="s">
        <v>230</v>
      </c>
      <c r="E52" s="86" t="s">
        <v>571</v>
      </c>
      <c r="F52" s="84" t="s">
        <v>79</v>
      </c>
    </row>
    <row r="53" spans="1:6">
      <c r="A53" s="82" t="s">
        <v>572</v>
      </c>
      <c r="B53" s="83" t="s">
        <v>573</v>
      </c>
      <c r="C53" s="83" t="s">
        <v>574</v>
      </c>
      <c r="D53" s="91" t="s">
        <v>575</v>
      </c>
      <c r="E53" s="91" t="s">
        <v>576</v>
      </c>
      <c r="F53" s="82" t="s">
        <v>79</v>
      </c>
    </row>
    <row r="54" spans="1:6">
      <c r="A54" s="92" t="s">
        <v>577</v>
      </c>
      <c r="B54" s="85" t="s">
        <v>578</v>
      </c>
      <c r="C54" s="85" t="s">
        <v>579</v>
      </c>
      <c r="D54" s="134" t="s">
        <v>213</v>
      </c>
      <c r="E54" s="134" t="s">
        <v>580</v>
      </c>
      <c r="F54" s="84" t="s">
        <v>79</v>
      </c>
    </row>
    <row r="55" spans="1:6">
      <c r="A55" s="84" t="s">
        <v>581</v>
      </c>
      <c r="B55" s="85" t="s">
        <v>582</v>
      </c>
      <c r="C55" s="85" t="s">
        <v>583</v>
      </c>
      <c r="D55" s="85" t="s">
        <v>260</v>
      </c>
      <c r="E55" s="86" t="s">
        <v>416</v>
      </c>
      <c r="F55" s="84" t="s">
        <v>79</v>
      </c>
    </row>
    <row r="56" spans="1:6">
      <c r="A56" s="82" t="s">
        <v>584</v>
      </c>
      <c r="B56" s="83" t="s">
        <v>585</v>
      </c>
      <c r="C56" s="83" t="s">
        <v>586</v>
      </c>
      <c r="D56" s="83" t="s">
        <v>587</v>
      </c>
      <c r="E56" s="91" t="s">
        <v>588</v>
      </c>
      <c r="F56" s="94" t="s">
        <v>589</v>
      </c>
    </row>
    <row r="57" spans="1:6">
      <c r="A57" s="84" t="s">
        <v>590</v>
      </c>
      <c r="B57" s="85" t="s">
        <v>591</v>
      </c>
      <c r="C57" s="85" t="s">
        <v>592</v>
      </c>
      <c r="D57" s="85" t="s">
        <v>593</v>
      </c>
      <c r="E57" s="86" t="s">
        <v>594</v>
      </c>
      <c r="F57" s="119" t="s">
        <v>589</v>
      </c>
    </row>
    <row r="58" spans="1:6">
      <c r="A58" s="90" t="s">
        <v>595</v>
      </c>
      <c r="B58" s="83" t="s">
        <v>596</v>
      </c>
      <c r="C58" s="83" t="s">
        <v>596</v>
      </c>
      <c r="D58" s="83" t="s">
        <v>597</v>
      </c>
      <c r="E58" s="91" t="s">
        <v>597</v>
      </c>
      <c r="F58" s="94" t="s">
        <v>589</v>
      </c>
    </row>
    <row r="59" spans="1:6">
      <c r="A59" s="84" t="s">
        <v>598</v>
      </c>
      <c r="B59" s="85" t="s">
        <v>599</v>
      </c>
      <c r="C59" s="85" t="s">
        <v>599</v>
      </c>
      <c r="D59" s="85" t="s">
        <v>600</v>
      </c>
      <c r="E59" s="86" t="s">
        <v>600</v>
      </c>
      <c r="F59" s="119" t="s">
        <v>589</v>
      </c>
    </row>
    <row r="60" spans="1:6">
      <c r="A60" s="82" t="s">
        <v>601</v>
      </c>
      <c r="B60" s="83" t="s">
        <v>503</v>
      </c>
      <c r="C60" s="83" t="s">
        <v>503</v>
      </c>
      <c r="D60" s="91" t="s">
        <v>238</v>
      </c>
      <c r="E60" s="91" t="s">
        <v>504</v>
      </c>
      <c r="F60" s="82" t="s">
        <v>72</v>
      </c>
    </row>
    <row r="61" spans="1:6">
      <c r="A61" s="84" t="s">
        <v>602</v>
      </c>
      <c r="B61" s="85" t="s">
        <v>603</v>
      </c>
      <c r="C61" s="85" t="s">
        <v>604</v>
      </c>
      <c r="D61" s="86" t="s">
        <v>605</v>
      </c>
      <c r="E61" s="85" t="s">
        <v>606</v>
      </c>
      <c r="F61" s="84" t="s">
        <v>72</v>
      </c>
    </row>
    <row r="62" spans="1:6">
      <c r="A62" s="82" t="s">
        <v>607</v>
      </c>
      <c r="B62" s="83" t="s">
        <v>608</v>
      </c>
      <c r="C62" s="83" t="s">
        <v>609</v>
      </c>
      <c r="D62" s="83" t="s">
        <v>252</v>
      </c>
      <c r="E62" s="91" t="s">
        <v>610</v>
      </c>
      <c r="F62" s="82" t="s">
        <v>72</v>
      </c>
    </row>
    <row r="63" spans="1:6">
      <c r="A63" s="92" t="s">
        <v>611</v>
      </c>
      <c r="B63" s="86" t="s">
        <v>499</v>
      </c>
      <c r="C63" s="86" t="s">
        <v>500</v>
      </c>
      <c r="D63" s="85" t="s">
        <v>501</v>
      </c>
      <c r="E63" s="86" t="s">
        <v>501</v>
      </c>
      <c r="F63" s="84" t="s">
        <v>72</v>
      </c>
    </row>
    <row r="64" spans="1:6">
      <c r="A64" s="82" t="s">
        <v>612</v>
      </c>
      <c r="B64" s="83" t="s">
        <v>506</v>
      </c>
      <c r="C64" s="83" t="s">
        <v>507</v>
      </c>
      <c r="D64" s="83" t="s">
        <v>248</v>
      </c>
      <c r="E64" s="91" t="s">
        <v>508</v>
      </c>
      <c r="F64" s="82" t="s">
        <v>72</v>
      </c>
    </row>
    <row r="65" spans="1:6">
      <c r="A65" s="119" t="s">
        <v>613</v>
      </c>
      <c r="B65" s="85" t="s">
        <v>614</v>
      </c>
      <c r="C65" s="85" t="s">
        <v>615</v>
      </c>
      <c r="D65" s="85" t="s">
        <v>616</v>
      </c>
      <c r="E65" s="86" t="s">
        <v>617</v>
      </c>
      <c r="F65" s="84" t="s">
        <v>72</v>
      </c>
    </row>
    <row r="66" spans="1:6">
      <c r="A66" s="94" t="s">
        <v>618</v>
      </c>
      <c r="B66" s="83" t="s">
        <v>510</v>
      </c>
      <c r="C66" s="83" t="s">
        <v>293</v>
      </c>
      <c r="D66" s="83" t="s">
        <v>619</v>
      </c>
      <c r="E66" s="91" t="s">
        <v>293</v>
      </c>
      <c r="F66" s="82" t="s">
        <v>72</v>
      </c>
    </row>
    <row r="67" spans="1:6">
      <c r="A67" s="119" t="s">
        <v>620</v>
      </c>
      <c r="B67" s="85" t="s">
        <v>621</v>
      </c>
      <c r="C67" s="85" t="s">
        <v>622</v>
      </c>
      <c r="D67" s="85" t="s">
        <v>623</v>
      </c>
      <c r="E67" s="86" t="s">
        <v>624</v>
      </c>
      <c r="F67" s="84" t="s">
        <v>72</v>
      </c>
    </row>
    <row r="68" spans="1:6">
      <c r="A68" s="135" t="s">
        <v>625</v>
      </c>
      <c r="B68" s="127" t="s">
        <v>626</v>
      </c>
      <c r="C68" s="127" t="s">
        <v>627</v>
      </c>
      <c r="D68" s="83" t="s">
        <v>628</v>
      </c>
      <c r="E68" s="132" t="s">
        <v>629</v>
      </c>
      <c r="F68" s="136" t="s">
        <v>72</v>
      </c>
    </row>
    <row r="69" spans="1:6">
      <c r="A69" s="137" t="s">
        <v>630</v>
      </c>
      <c r="B69" s="138" t="s">
        <v>631</v>
      </c>
      <c r="C69" s="138" t="s">
        <v>632</v>
      </c>
      <c r="D69" s="85" t="s">
        <v>633</v>
      </c>
      <c r="E69" s="130" t="s">
        <v>634</v>
      </c>
      <c r="F69" s="84" t="s">
        <v>72</v>
      </c>
    </row>
    <row r="70" spans="1:6">
      <c r="A70" s="82" t="s">
        <v>635</v>
      </c>
      <c r="B70" s="83" t="s">
        <v>636</v>
      </c>
      <c r="C70" s="83" t="s">
        <v>637</v>
      </c>
      <c r="D70" s="91" t="s">
        <v>220</v>
      </c>
      <c r="E70" s="91" t="s">
        <v>638</v>
      </c>
      <c r="F70" s="82" t="s">
        <v>72</v>
      </c>
    </row>
    <row r="71" spans="1:6">
      <c r="A71" s="119" t="s">
        <v>639</v>
      </c>
      <c r="B71" s="139" t="s">
        <v>454</v>
      </c>
      <c r="C71" s="139" t="s">
        <v>454</v>
      </c>
      <c r="D71" s="86" t="s">
        <v>287</v>
      </c>
      <c r="E71" s="84" t="s">
        <v>287</v>
      </c>
      <c r="F71" s="84" t="s">
        <v>71</v>
      </c>
    </row>
    <row r="72" spans="1:6">
      <c r="A72" s="119" t="s">
        <v>640</v>
      </c>
      <c r="B72" s="85" t="s">
        <v>477</v>
      </c>
      <c r="C72" s="85" t="s">
        <v>478</v>
      </c>
      <c r="D72" s="86" t="s">
        <v>479</v>
      </c>
      <c r="E72" s="86" t="s">
        <v>641</v>
      </c>
      <c r="F72" s="84" t="s">
        <v>71</v>
      </c>
    </row>
    <row r="73" spans="1:6">
      <c r="A73" s="82" t="s">
        <v>642</v>
      </c>
      <c r="B73" s="83" t="s">
        <v>482</v>
      </c>
      <c r="C73" s="83" t="s">
        <v>483</v>
      </c>
      <c r="D73" s="83" t="s">
        <v>228</v>
      </c>
      <c r="E73" s="91" t="s">
        <v>483</v>
      </c>
      <c r="F73" s="82" t="s">
        <v>71</v>
      </c>
    </row>
    <row r="74" spans="1:6">
      <c r="A74" s="82" t="s">
        <v>643</v>
      </c>
      <c r="B74" s="125" t="s">
        <v>485</v>
      </c>
      <c r="C74" s="140" t="s">
        <v>486</v>
      </c>
      <c r="D74" s="83" t="s">
        <v>251</v>
      </c>
      <c r="E74" s="91" t="s">
        <v>644</v>
      </c>
      <c r="F74" s="82" t="s">
        <v>71</v>
      </c>
    </row>
    <row r="75" spans="1:6">
      <c r="A75" s="92" t="s">
        <v>645</v>
      </c>
      <c r="B75" s="141" t="s">
        <v>646</v>
      </c>
      <c r="C75" s="124" t="s">
        <v>646</v>
      </c>
      <c r="D75" s="85" t="s">
        <v>647</v>
      </c>
      <c r="E75" s="86" t="s">
        <v>647</v>
      </c>
      <c r="F75" s="142" t="s">
        <v>648</v>
      </c>
    </row>
    <row r="76" spans="1:6" ht="16">
      <c r="A76" s="92" t="s">
        <v>649</v>
      </c>
      <c r="B76" s="123" t="s">
        <v>489</v>
      </c>
      <c r="C76" s="85" t="s">
        <v>490</v>
      </c>
      <c r="D76" s="85" t="s">
        <v>257</v>
      </c>
      <c r="E76" s="85" t="s">
        <v>491</v>
      </c>
      <c r="F76" s="119" t="s">
        <v>71</v>
      </c>
    </row>
    <row r="77" spans="1:6">
      <c r="A77" s="82" t="s">
        <v>650</v>
      </c>
      <c r="B77" s="83" t="s">
        <v>651</v>
      </c>
      <c r="C77" s="83" t="s">
        <v>652</v>
      </c>
      <c r="D77" s="83" t="s">
        <v>653</v>
      </c>
      <c r="E77" s="91" t="s">
        <v>654</v>
      </c>
      <c r="F77" s="82" t="s">
        <v>76</v>
      </c>
    </row>
    <row r="78" spans="1:6">
      <c r="A78" s="84" t="s">
        <v>655</v>
      </c>
      <c r="B78" s="124" t="s">
        <v>519</v>
      </c>
      <c r="C78" s="124" t="s">
        <v>520</v>
      </c>
      <c r="D78" s="85" t="s">
        <v>521</v>
      </c>
      <c r="E78" s="86" t="s">
        <v>263</v>
      </c>
      <c r="F78" s="84" t="s">
        <v>76</v>
      </c>
    </row>
    <row r="79" spans="1:6">
      <c r="A79" s="82" t="s">
        <v>656</v>
      </c>
      <c r="B79" s="111" t="s">
        <v>524</v>
      </c>
      <c r="C79" s="127" t="s">
        <v>525</v>
      </c>
      <c r="D79" s="83" t="s">
        <v>526</v>
      </c>
      <c r="E79" s="91" t="s">
        <v>527</v>
      </c>
      <c r="F79" s="143" t="s">
        <v>76</v>
      </c>
    </row>
    <row r="80" spans="1:6">
      <c r="A80" s="84" t="s">
        <v>657</v>
      </c>
      <c r="B80" s="124" t="s">
        <v>658</v>
      </c>
      <c r="C80" s="138" t="s">
        <v>659</v>
      </c>
      <c r="D80" s="85" t="s">
        <v>660</v>
      </c>
      <c r="E80" s="86" t="s">
        <v>661</v>
      </c>
      <c r="F80" s="84" t="s">
        <v>76</v>
      </c>
    </row>
    <row r="81" spans="1:6">
      <c r="A81" s="92" t="s">
        <v>662</v>
      </c>
      <c r="B81" s="124" t="s">
        <v>529</v>
      </c>
      <c r="C81" s="138" t="s">
        <v>529</v>
      </c>
      <c r="D81" s="86" t="s">
        <v>530</v>
      </c>
      <c r="E81" s="86" t="s">
        <v>530</v>
      </c>
      <c r="F81" s="92" t="s">
        <v>663</v>
      </c>
    </row>
    <row r="82" spans="1:6">
      <c r="A82" s="82" t="s">
        <v>664</v>
      </c>
      <c r="B82" s="111" t="s">
        <v>665</v>
      </c>
      <c r="C82" s="127" t="s">
        <v>666</v>
      </c>
      <c r="D82" s="83" t="s">
        <v>294</v>
      </c>
      <c r="E82" s="91" t="s">
        <v>667</v>
      </c>
      <c r="F82" s="143" t="s">
        <v>668</v>
      </c>
    </row>
    <row r="83" spans="1:6">
      <c r="A83" s="84" t="s">
        <v>669</v>
      </c>
      <c r="B83" s="124" t="s">
        <v>670</v>
      </c>
      <c r="C83" s="85" t="s">
        <v>671</v>
      </c>
      <c r="D83" s="85" t="s">
        <v>292</v>
      </c>
      <c r="E83" s="86" t="s">
        <v>292</v>
      </c>
      <c r="F83" s="144" t="s">
        <v>668</v>
      </c>
    </row>
    <row r="84" spans="1:6">
      <c r="A84" s="82" t="s">
        <v>672</v>
      </c>
      <c r="B84" s="111" t="s">
        <v>673</v>
      </c>
      <c r="C84" s="83" t="s">
        <v>674</v>
      </c>
      <c r="D84" s="83" t="s">
        <v>296</v>
      </c>
      <c r="E84" s="91" t="s">
        <v>675</v>
      </c>
      <c r="F84" s="82" t="s">
        <v>668</v>
      </c>
    </row>
    <row r="85" spans="1:6">
      <c r="A85" s="84" t="s">
        <v>676</v>
      </c>
      <c r="B85" s="124" t="s">
        <v>677</v>
      </c>
      <c r="C85" s="85" t="s">
        <v>678</v>
      </c>
      <c r="D85" s="85" t="s">
        <v>679</v>
      </c>
      <c r="E85" s="86" t="s">
        <v>289</v>
      </c>
      <c r="F85" s="84" t="s">
        <v>668</v>
      </c>
    </row>
    <row r="86" spans="1:6" ht="16" thickBot="1">
      <c r="A86" s="82" t="s">
        <v>680</v>
      </c>
      <c r="B86" s="111" t="s">
        <v>681</v>
      </c>
      <c r="C86" s="83" t="s">
        <v>682</v>
      </c>
      <c r="D86" s="83" t="s">
        <v>683</v>
      </c>
      <c r="E86" s="91" t="s">
        <v>684</v>
      </c>
      <c r="F86" s="145" t="s">
        <v>668</v>
      </c>
    </row>
    <row r="87" spans="1:6">
      <c r="A87" s="84" t="s">
        <v>685</v>
      </c>
      <c r="B87" s="124" t="s">
        <v>686</v>
      </c>
      <c r="C87" s="85" t="s">
        <v>687</v>
      </c>
      <c r="D87" s="146" t="s">
        <v>688</v>
      </c>
      <c r="E87" s="147" t="s">
        <v>689</v>
      </c>
      <c r="F87" s="148" t="s">
        <v>668</v>
      </c>
    </row>
    <row r="88" spans="1:6">
      <c r="A88" s="92" t="s">
        <v>690</v>
      </c>
      <c r="B88" s="124" t="s">
        <v>691</v>
      </c>
      <c r="C88" s="85" t="s">
        <v>692</v>
      </c>
      <c r="D88" s="85" t="s">
        <v>693</v>
      </c>
      <c r="E88" s="86" t="s">
        <v>310</v>
      </c>
      <c r="F88" s="149" t="s">
        <v>319</v>
      </c>
    </row>
    <row r="89" spans="1:6">
      <c r="A89" s="90" t="s">
        <v>694</v>
      </c>
      <c r="B89" s="111" t="s">
        <v>695</v>
      </c>
      <c r="C89" s="131" t="s">
        <v>696</v>
      </c>
      <c r="D89" s="91" t="s">
        <v>697</v>
      </c>
      <c r="E89" s="150" t="s">
        <v>311</v>
      </c>
      <c r="F89" s="151" t="s">
        <v>319</v>
      </c>
    </row>
    <row r="90" spans="1:6">
      <c r="A90" s="92" t="s">
        <v>698</v>
      </c>
      <c r="B90" s="124" t="s">
        <v>699</v>
      </c>
      <c r="C90" s="85" t="s">
        <v>700</v>
      </c>
      <c r="D90" s="86" t="s">
        <v>701</v>
      </c>
      <c r="E90" s="86" t="s">
        <v>309</v>
      </c>
      <c r="F90" s="149" t="s">
        <v>319</v>
      </c>
    </row>
    <row r="91" spans="1:6">
      <c r="A91" s="90" t="s">
        <v>702</v>
      </c>
      <c r="B91" s="111" t="s">
        <v>703</v>
      </c>
      <c r="C91" s="83" t="s">
        <v>704</v>
      </c>
      <c r="D91" s="83" t="s">
        <v>315</v>
      </c>
      <c r="E91" s="91" t="s">
        <v>315</v>
      </c>
      <c r="F91" s="90" t="s">
        <v>319</v>
      </c>
    </row>
    <row r="92" spans="1:6">
      <c r="A92" s="90" t="s">
        <v>705</v>
      </c>
      <c r="B92" s="111" t="s">
        <v>706</v>
      </c>
      <c r="C92" s="152" t="s">
        <v>707</v>
      </c>
      <c r="D92" s="91" t="s">
        <v>708</v>
      </c>
      <c r="E92" s="91" t="s">
        <v>709</v>
      </c>
      <c r="F92" s="90" t="s">
        <v>319</v>
      </c>
    </row>
    <row r="93" spans="1:6">
      <c r="A93" s="92" t="s">
        <v>710</v>
      </c>
      <c r="B93" s="124" t="s">
        <v>711</v>
      </c>
      <c r="C93" s="138" t="s">
        <v>711</v>
      </c>
      <c r="D93" s="85" t="s">
        <v>712</v>
      </c>
      <c r="E93" s="86" t="s">
        <v>712</v>
      </c>
      <c r="F93" s="92" t="s">
        <v>319</v>
      </c>
    </row>
    <row r="94" spans="1:6">
      <c r="A94" s="82" t="s">
        <v>713</v>
      </c>
      <c r="B94" s="111" t="s">
        <v>691</v>
      </c>
      <c r="C94" s="83" t="s">
        <v>692</v>
      </c>
      <c r="D94" s="83" t="s">
        <v>714</v>
      </c>
      <c r="E94" s="91" t="s">
        <v>715</v>
      </c>
      <c r="F94" s="82" t="s">
        <v>716</v>
      </c>
    </row>
    <row r="95" spans="1:6">
      <c r="A95" s="84" t="s">
        <v>717</v>
      </c>
      <c r="B95" s="124" t="s">
        <v>699</v>
      </c>
      <c r="C95" s="85" t="s">
        <v>700</v>
      </c>
      <c r="D95" s="85" t="s">
        <v>718</v>
      </c>
      <c r="E95" s="86" t="s">
        <v>719</v>
      </c>
      <c r="F95" s="84" t="s">
        <v>716</v>
      </c>
    </row>
    <row r="96" spans="1:6">
      <c r="A96" s="82" t="s">
        <v>720</v>
      </c>
      <c r="B96" s="111" t="s">
        <v>703</v>
      </c>
      <c r="C96" s="83" t="s">
        <v>704</v>
      </c>
      <c r="D96" s="83" t="s">
        <v>721</v>
      </c>
      <c r="E96" s="91" t="s">
        <v>689</v>
      </c>
      <c r="F96" s="82" t="s">
        <v>716</v>
      </c>
    </row>
    <row r="97" spans="1:6">
      <c r="A97" s="92" t="s">
        <v>722</v>
      </c>
      <c r="B97" s="124" t="s">
        <v>723</v>
      </c>
      <c r="C97" s="85" t="s">
        <v>707</v>
      </c>
      <c r="D97" s="85" t="s">
        <v>709</v>
      </c>
      <c r="E97" s="85" t="s">
        <v>709</v>
      </c>
      <c r="F97" s="84" t="s">
        <v>716</v>
      </c>
    </row>
    <row r="98" spans="1:6">
      <c r="A98" s="90" t="s">
        <v>724</v>
      </c>
      <c r="B98" s="111" t="s">
        <v>711</v>
      </c>
      <c r="C98" s="83" t="s">
        <v>711</v>
      </c>
      <c r="D98" s="91" t="s">
        <v>725</v>
      </c>
      <c r="E98" s="91" t="s">
        <v>725</v>
      </c>
      <c r="F98" s="82" t="s">
        <v>716</v>
      </c>
    </row>
    <row r="99" spans="1:6">
      <c r="A99" s="82" t="s">
        <v>726</v>
      </c>
      <c r="B99" s="111" t="s">
        <v>727</v>
      </c>
      <c r="C99" s="153" t="s">
        <v>233</v>
      </c>
      <c r="D99" s="153" t="s">
        <v>233</v>
      </c>
      <c r="E99" s="153" t="s">
        <v>233</v>
      </c>
      <c r="F99" s="92" t="s">
        <v>205</v>
      </c>
    </row>
    <row r="100" spans="1:6">
      <c r="A100" s="84" t="s">
        <v>728</v>
      </c>
      <c r="B100" s="124" t="s">
        <v>414</v>
      </c>
      <c r="C100" s="85" t="s">
        <v>415</v>
      </c>
      <c r="D100" s="86" t="s">
        <v>232</v>
      </c>
      <c r="E100" s="86" t="s">
        <v>416</v>
      </c>
      <c r="F100" s="84" t="s">
        <v>205</v>
      </c>
    </row>
    <row r="101" spans="1:6">
      <c r="A101" s="92" t="s">
        <v>729</v>
      </c>
      <c r="B101" s="124" t="s">
        <v>408</v>
      </c>
      <c r="C101" s="85" t="s">
        <v>409</v>
      </c>
      <c r="D101" s="85" t="s">
        <v>247</v>
      </c>
      <c r="E101" s="153" t="s">
        <v>410</v>
      </c>
      <c r="F101" s="90" t="s">
        <v>205</v>
      </c>
    </row>
    <row r="102" spans="1:6">
      <c r="A102" s="82" t="s">
        <v>730</v>
      </c>
      <c r="B102" s="111" t="s">
        <v>418</v>
      </c>
      <c r="C102" s="85" t="s">
        <v>419</v>
      </c>
      <c r="D102" s="85" t="s">
        <v>259</v>
      </c>
      <c r="E102" s="85" t="s">
        <v>259</v>
      </c>
      <c r="F102" s="84" t="s">
        <v>731</v>
      </c>
    </row>
    <row r="103" spans="1:6">
      <c r="A103" s="82" t="s">
        <v>732</v>
      </c>
      <c r="B103" s="111" t="s">
        <v>733</v>
      </c>
      <c r="C103" s="154" t="s">
        <v>733</v>
      </c>
      <c r="D103" s="154" t="s">
        <v>217</v>
      </c>
      <c r="E103" s="154" t="s">
        <v>217</v>
      </c>
      <c r="F103" s="90" t="s">
        <v>205</v>
      </c>
    </row>
    <row r="104" spans="1:6">
      <c r="A104" s="92" t="s">
        <v>734</v>
      </c>
      <c r="B104" s="124" t="s">
        <v>429</v>
      </c>
      <c r="C104" s="80" t="s">
        <v>429</v>
      </c>
      <c r="D104" s="86" t="s">
        <v>430</v>
      </c>
      <c r="E104" s="86" t="s">
        <v>430</v>
      </c>
      <c r="F104" s="84" t="s">
        <v>205</v>
      </c>
    </row>
    <row r="105" spans="1:6">
      <c r="A105" s="82" t="s">
        <v>735</v>
      </c>
      <c r="B105" s="111" t="s">
        <v>435</v>
      </c>
      <c r="C105" s="116" t="s">
        <v>436</v>
      </c>
      <c r="D105" s="116" t="s">
        <v>235</v>
      </c>
      <c r="E105" s="116" t="s">
        <v>235</v>
      </c>
      <c r="F105" s="151" t="s">
        <v>205</v>
      </c>
    </row>
    <row r="106" spans="1:6">
      <c r="A106" s="82" t="s">
        <v>736</v>
      </c>
      <c r="B106" s="111" t="s">
        <v>438</v>
      </c>
      <c r="C106" s="154" t="s">
        <v>439</v>
      </c>
      <c r="D106" s="154" t="s">
        <v>255</v>
      </c>
      <c r="E106" s="154" t="s">
        <v>255</v>
      </c>
      <c r="F106" s="90" t="s">
        <v>205</v>
      </c>
    </row>
    <row r="107" spans="1:6">
      <c r="A107" s="119" t="s">
        <v>737</v>
      </c>
      <c r="B107" s="155" t="s">
        <v>454</v>
      </c>
      <c r="C107" s="139" t="s">
        <v>454</v>
      </c>
      <c r="D107" s="86" t="s">
        <v>287</v>
      </c>
      <c r="E107" s="84" t="s">
        <v>287</v>
      </c>
      <c r="F107" s="92" t="s">
        <v>205</v>
      </c>
    </row>
    <row r="108" spans="1:6">
      <c r="A108" s="119" t="s">
        <v>738</v>
      </c>
      <c r="B108" s="124" t="s">
        <v>477</v>
      </c>
      <c r="C108" s="85" t="s">
        <v>478</v>
      </c>
      <c r="D108" s="86" t="s">
        <v>479</v>
      </c>
      <c r="E108" s="86" t="s">
        <v>641</v>
      </c>
      <c r="F108" s="144" t="s">
        <v>205</v>
      </c>
    </row>
    <row r="109" spans="1:6">
      <c r="A109" s="82" t="s">
        <v>739</v>
      </c>
      <c r="B109" s="111" t="s">
        <v>482</v>
      </c>
      <c r="C109" s="156" t="s">
        <v>483</v>
      </c>
      <c r="D109" s="156" t="s">
        <v>228</v>
      </c>
      <c r="E109" s="156" t="s">
        <v>228</v>
      </c>
      <c r="F109" s="92" t="s">
        <v>205</v>
      </c>
    </row>
    <row r="110" spans="1:6">
      <c r="A110" s="82" t="s">
        <v>740</v>
      </c>
      <c r="B110" s="111" t="s">
        <v>485</v>
      </c>
      <c r="C110" s="116" t="s">
        <v>486</v>
      </c>
      <c r="D110" s="116" t="s">
        <v>251</v>
      </c>
      <c r="E110" s="116" t="s">
        <v>251</v>
      </c>
      <c r="F110" s="90" t="s">
        <v>205</v>
      </c>
    </row>
    <row r="111" spans="1:6">
      <c r="A111" s="82" t="s">
        <v>741</v>
      </c>
      <c r="B111" s="111" t="s">
        <v>742</v>
      </c>
      <c r="C111" s="153" t="s">
        <v>742</v>
      </c>
      <c r="D111" s="153" t="s">
        <v>237</v>
      </c>
      <c r="E111" s="153" t="s">
        <v>237</v>
      </c>
      <c r="F111" s="92" t="s">
        <v>205</v>
      </c>
    </row>
    <row r="112" spans="1:6" ht="16">
      <c r="A112" s="90" t="s">
        <v>743</v>
      </c>
      <c r="B112" s="157" t="s">
        <v>148</v>
      </c>
      <c r="C112" s="123" t="s">
        <v>148</v>
      </c>
      <c r="D112" s="114" t="s">
        <v>207</v>
      </c>
      <c r="E112" s="116" t="s">
        <v>744</v>
      </c>
      <c r="F112" s="84" t="s">
        <v>205</v>
      </c>
    </row>
    <row r="113" spans="1:6">
      <c r="A113" s="82" t="s">
        <v>745</v>
      </c>
      <c r="B113" s="111" t="s">
        <v>746</v>
      </c>
      <c r="C113" s="156" t="s">
        <v>746</v>
      </c>
      <c r="D113" s="156" t="s">
        <v>210</v>
      </c>
      <c r="E113" s="156" t="s">
        <v>210</v>
      </c>
      <c r="F113" s="92" t="s">
        <v>205</v>
      </c>
    </row>
    <row r="114" spans="1:6">
      <c r="A114" s="82" t="s">
        <v>747</v>
      </c>
      <c r="B114" s="111" t="s">
        <v>748</v>
      </c>
      <c r="C114" s="158" t="s">
        <v>748</v>
      </c>
      <c r="D114" s="159" t="s">
        <v>227</v>
      </c>
      <c r="E114" s="159" t="s">
        <v>227</v>
      </c>
      <c r="F114" s="160" t="s">
        <v>205</v>
      </c>
    </row>
    <row r="115" spans="1:6">
      <c r="A115" s="82" t="s">
        <v>749</v>
      </c>
      <c r="B115" s="111" t="s">
        <v>559</v>
      </c>
      <c r="C115" s="161" t="s">
        <v>559</v>
      </c>
      <c r="D115" s="162" t="s">
        <v>254</v>
      </c>
      <c r="E115" s="162" t="s">
        <v>254</v>
      </c>
      <c r="F115" s="160" t="s">
        <v>205</v>
      </c>
    </row>
    <row r="116" spans="1:6">
      <c r="A116" s="82" t="s">
        <v>750</v>
      </c>
      <c r="B116" s="111" t="s">
        <v>562</v>
      </c>
      <c r="C116" s="161" t="s">
        <v>563</v>
      </c>
      <c r="D116" s="162" t="s">
        <v>231</v>
      </c>
      <c r="E116" s="162" t="s">
        <v>231</v>
      </c>
      <c r="F116" s="160" t="s">
        <v>205</v>
      </c>
    </row>
    <row r="117" spans="1:6">
      <c r="A117" s="82" t="s">
        <v>751</v>
      </c>
      <c r="B117" s="111" t="s">
        <v>566</v>
      </c>
      <c r="C117" s="163" t="s">
        <v>567</v>
      </c>
      <c r="D117" s="127" t="s">
        <v>283</v>
      </c>
      <c r="E117" s="164" t="s">
        <v>209</v>
      </c>
      <c r="F117" s="165" t="s">
        <v>205</v>
      </c>
    </row>
    <row r="118" spans="1:6">
      <c r="A118" s="145" t="s">
        <v>752</v>
      </c>
      <c r="B118" s="125" t="s">
        <v>569</v>
      </c>
      <c r="C118" s="166" t="s">
        <v>570</v>
      </c>
      <c r="D118" s="167" t="s">
        <v>230</v>
      </c>
      <c r="E118" s="167" t="s">
        <v>230</v>
      </c>
      <c r="F118" s="160" t="s">
        <v>205</v>
      </c>
    </row>
    <row r="119" spans="1:6">
      <c r="A119" s="145" t="s">
        <v>753</v>
      </c>
      <c r="B119" s="125" t="s">
        <v>573</v>
      </c>
      <c r="C119" s="163" t="s">
        <v>574</v>
      </c>
      <c r="D119" s="127" t="s">
        <v>226</v>
      </c>
      <c r="E119" s="127" t="s">
        <v>226</v>
      </c>
      <c r="F119" s="136" t="s">
        <v>731</v>
      </c>
    </row>
    <row r="120" spans="1:6">
      <c r="A120" s="145" t="s">
        <v>754</v>
      </c>
      <c r="B120" s="125" t="s">
        <v>578</v>
      </c>
      <c r="C120" s="163" t="s">
        <v>579</v>
      </c>
      <c r="D120" s="127" t="s">
        <v>213</v>
      </c>
      <c r="E120" s="127" t="s">
        <v>213</v>
      </c>
      <c r="F120" s="136" t="s">
        <v>731</v>
      </c>
    </row>
    <row r="121" spans="1:6">
      <c r="A121" s="145" t="s">
        <v>755</v>
      </c>
      <c r="B121" s="125" t="s">
        <v>582</v>
      </c>
      <c r="C121" s="168" t="s">
        <v>583</v>
      </c>
      <c r="D121" s="169" t="s">
        <v>260</v>
      </c>
      <c r="E121" s="169" t="s">
        <v>260</v>
      </c>
      <c r="F121" s="165" t="s">
        <v>205</v>
      </c>
    </row>
    <row r="122" spans="1:6" ht="16">
      <c r="A122" s="170" t="s">
        <v>756</v>
      </c>
      <c r="B122" s="171" t="s">
        <v>757</v>
      </c>
      <c r="C122" s="172" t="s">
        <v>758</v>
      </c>
      <c r="D122" s="138" t="s">
        <v>282</v>
      </c>
      <c r="E122" s="138" t="s">
        <v>284</v>
      </c>
      <c r="F122" s="173" t="s">
        <v>205</v>
      </c>
    </row>
    <row r="123" spans="1:6">
      <c r="A123" s="145" t="s">
        <v>759</v>
      </c>
      <c r="B123" s="125" t="s">
        <v>603</v>
      </c>
      <c r="C123" s="174" t="s">
        <v>604</v>
      </c>
      <c r="D123" s="175" t="s">
        <v>264</v>
      </c>
      <c r="E123" s="175" t="s">
        <v>264</v>
      </c>
      <c r="F123" s="165" t="s">
        <v>205</v>
      </c>
    </row>
    <row r="124" spans="1:6">
      <c r="A124" s="151" t="s">
        <v>760</v>
      </c>
      <c r="B124" s="125" t="s">
        <v>506</v>
      </c>
      <c r="C124" s="163" t="s">
        <v>507</v>
      </c>
      <c r="D124" s="127" t="s">
        <v>248</v>
      </c>
      <c r="E124" s="162" t="s">
        <v>508</v>
      </c>
      <c r="F124" s="160" t="s">
        <v>205</v>
      </c>
    </row>
    <row r="125" spans="1:6">
      <c r="A125" s="145" t="s">
        <v>761</v>
      </c>
      <c r="B125" s="125" t="s">
        <v>614</v>
      </c>
      <c r="C125" s="163" t="s">
        <v>615</v>
      </c>
      <c r="D125" s="162" t="s">
        <v>240</v>
      </c>
      <c r="E125" s="162" t="s">
        <v>240</v>
      </c>
      <c r="F125" s="160" t="s">
        <v>205</v>
      </c>
    </row>
    <row r="126" spans="1:6">
      <c r="A126" s="145" t="s">
        <v>762</v>
      </c>
      <c r="B126" s="125" t="s">
        <v>510</v>
      </c>
      <c r="C126" s="163" t="s">
        <v>293</v>
      </c>
      <c r="D126" s="127" t="s">
        <v>293</v>
      </c>
      <c r="E126" s="127" t="s">
        <v>293</v>
      </c>
      <c r="F126" s="136" t="s">
        <v>731</v>
      </c>
    </row>
    <row r="127" spans="1:6">
      <c r="A127" s="145" t="s">
        <v>763</v>
      </c>
      <c r="B127" s="125" t="s">
        <v>621</v>
      </c>
      <c r="C127" s="172" t="s">
        <v>622</v>
      </c>
      <c r="D127" s="138" t="s">
        <v>278</v>
      </c>
      <c r="E127" s="138" t="s">
        <v>278</v>
      </c>
      <c r="F127" s="173" t="s">
        <v>731</v>
      </c>
    </row>
    <row r="128" spans="1:6">
      <c r="A128" s="145" t="s">
        <v>764</v>
      </c>
      <c r="B128" s="125" t="s">
        <v>626</v>
      </c>
      <c r="C128" s="174" t="s">
        <v>627</v>
      </c>
      <c r="D128" s="175" t="s">
        <v>243</v>
      </c>
      <c r="E128" s="175" t="s">
        <v>243</v>
      </c>
      <c r="F128" s="165" t="s">
        <v>205</v>
      </c>
    </row>
    <row r="129" spans="1:6">
      <c r="A129" s="151" t="s">
        <v>765</v>
      </c>
      <c r="B129" s="95" t="s">
        <v>631</v>
      </c>
      <c r="C129" s="172" t="s">
        <v>632</v>
      </c>
      <c r="D129" s="138" t="s">
        <v>633</v>
      </c>
      <c r="E129" s="176" t="s">
        <v>634</v>
      </c>
      <c r="F129" s="160" t="s">
        <v>205</v>
      </c>
    </row>
    <row r="130" spans="1:6">
      <c r="A130" s="145" t="s">
        <v>766</v>
      </c>
      <c r="B130" s="125" t="s">
        <v>636</v>
      </c>
      <c r="C130" s="163" t="s">
        <v>637</v>
      </c>
      <c r="D130" s="164" t="s">
        <v>220</v>
      </c>
      <c r="E130" s="164" t="s">
        <v>638</v>
      </c>
      <c r="F130" s="165" t="s">
        <v>205</v>
      </c>
    </row>
    <row r="131" spans="1:6">
      <c r="A131" s="151" t="s">
        <v>767</v>
      </c>
      <c r="B131" s="125" t="s">
        <v>515</v>
      </c>
      <c r="C131" s="163" t="s">
        <v>516</v>
      </c>
      <c r="D131" s="127" t="s">
        <v>295</v>
      </c>
      <c r="E131" s="164" t="s">
        <v>768</v>
      </c>
      <c r="F131" s="160" t="s">
        <v>205</v>
      </c>
    </row>
    <row r="132" spans="1:6">
      <c r="A132" s="149" t="s">
        <v>769</v>
      </c>
      <c r="B132" s="95" t="s">
        <v>699</v>
      </c>
      <c r="C132" s="172" t="s">
        <v>700</v>
      </c>
      <c r="D132" s="176" t="s">
        <v>701</v>
      </c>
      <c r="E132" s="176" t="s">
        <v>309</v>
      </c>
      <c r="F132" s="173" t="s">
        <v>205</v>
      </c>
    </row>
    <row r="133" spans="1:6">
      <c r="A133" s="151" t="s">
        <v>770</v>
      </c>
      <c r="B133" s="125" t="s">
        <v>706</v>
      </c>
      <c r="C133" s="177" t="s">
        <v>707</v>
      </c>
      <c r="D133" s="164" t="s">
        <v>708</v>
      </c>
      <c r="E133" s="164" t="s">
        <v>709</v>
      </c>
      <c r="F133" s="173" t="s">
        <v>205</v>
      </c>
    </row>
    <row r="134" spans="1:6">
      <c r="A134" s="149" t="s">
        <v>771</v>
      </c>
      <c r="B134" s="95" t="s">
        <v>711</v>
      </c>
      <c r="C134" s="172" t="s">
        <v>711</v>
      </c>
      <c r="D134" s="138" t="s">
        <v>712</v>
      </c>
      <c r="E134" s="176" t="s">
        <v>712</v>
      </c>
      <c r="F134" s="173" t="s">
        <v>205</v>
      </c>
    </row>
    <row r="135" spans="1:6">
      <c r="A135" s="144" t="s">
        <v>772</v>
      </c>
      <c r="B135" s="95" t="s">
        <v>545</v>
      </c>
      <c r="C135" s="172" t="s">
        <v>546</v>
      </c>
      <c r="D135" s="138" t="s">
        <v>267</v>
      </c>
      <c r="E135" s="176" t="s">
        <v>547</v>
      </c>
      <c r="F135" s="173" t="s">
        <v>205</v>
      </c>
    </row>
    <row r="136" spans="1:6">
      <c r="A136" s="145" t="s">
        <v>773</v>
      </c>
      <c r="B136" s="125" t="s">
        <v>774</v>
      </c>
      <c r="C136" s="174" t="s">
        <v>774</v>
      </c>
      <c r="D136" s="175" t="s">
        <v>234</v>
      </c>
      <c r="E136" s="175" t="s">
        <v>234</v>
      </c>
      <c r="F136" s="165" t="s">
        <v>205</v>
      </c>
    </row>
    <row r="137" spans="1:6">
      <c r="A137" s="145" t="s">
        <v>775</v>
      </c>
      <c r="B137" s="125" t="s">
        <v>776</v>
      </c>
      <c r="C137" s="163" t="s">
        <v>776</v>
      </c>
      <c r="D137" s="127" t="s">
        <v>261</v>
      </c>
      <c r="E137" s="127" t="s">
        <v>261</v>
      </c>
      <c r="F137" s="136" t="s">
        <v>731</v>
      </c>
    </row>
    <row r="138" spans="1:6">
      <c r="A138" s="145" t="s">
        <v>777</v>
      </c>
      <c r="B138" s="125" t="s">
        <v>778</v>
      </c>
      <c r="C138" s="163" t="s">
        <v>779</v>
      </c>
      <c r="D138" s="127" t="s">
        <v>780</v>
      </c>
      <c r="E138" s="164" t="s">
        <v>781</v>
      </c>
      <c r="F138" s="165" t="s">
        <v>205</v>
      </c>
    </row>
    <row r="139" spans="1:6">
      <c r="A139" s="145" t="s">
        <v>782</v>
      </c>
      <c r="B139" s="125" t="s">
        <v>783</v>
      </c>
      <c r="C139" s="172" t="s">
        <v>784</v>
      </c>
      <c r="D139" s="138" t="s">
        <v>223</v>
      </c>
      <c r="E139" s="138" t="s">
        <v>223</v>
      </c>
      <c r="F139" s="173" t="s">
        <v>731</v>
      </c>
    </row>
    <row r="140" spans="1:6">
      <c r="A140" s="145" t="s">
        <v>785</v>
      </c>
      <c r="B140" s="125" t="s">
        <v>786</v>
      </c>
      <c r="C140" s="168" t="s">
        <v>787</v>
      </c>
      <c r="D140" s="169" t="s">
        <v>256</v>
      </c>
      <c r="E140" s="169" t="s">
        <v>256</v>
      </c>
      <c r="F140" s="165" t="s">
        <v>205</v>
      </c>
    </row>
    <row r="141" spans="1:6">
      <c r="A141" s="145" t="s">
        <v>788</v>
      </c>
      <c r="B141" s="125" t="s">
        <v>789</v>
      </c>
      <c r="C141" s="163" t="s">
        <v>790</v>
      </c>
      <c r="D141" s="127" t="s">
        <v>249</v>
      </c>
      <c r="E141" s="127" t="s">
        <v>249</v>
      </c>
      <c r="F141" s="136" t="s">
        <v>731</v>
      </c>
    </row>
    <row r="142" spans="1:6">
      <c r="A142" s="145" t="s">
        <v>791</v>
      </c>
      <c r="B142" s="99" t="s">
        <v>792</v>
      </c>
      <c r="C142" s="156" t="s">
        <v>792</v>
      </c>
      <c r="D142" s="178" t="s">
        <v>211</v>
      </c>
      <c r="E142" s="169" t="s">
        <v>211</v>
      </c>
      <c r="F142" s="165" t="s">
        <v>205</v>
      </c>
    </row>
    <row r="143" spans="1:6">
      <c r="A143" s="145" t="s">
        <v>793</v>
      </c>
      <c r="B143" s="125" t="s">
        <v>794</v>
      </c>
      <c r="C143" s="140" t="s">
        <v>795</v>
      </c>
      <c r="D143" s="179" t="s">
        <v>253</v>
      </c>
      <c r="E143" s="179" t="s">
        <v>253</v>
      </c>
      <c r="F143" s="136" t="s">
        <v>731</v>
      </c>
    </row>
    <row r="144" spans="1:6">
      <c r="A144" s="145" t="s">
        <v>796</v>
      </c>
      <c r="B144" s="125" t="s">
        <v>797</v>
      </c>
      <c r="C144" s="163" t="s">
        <v>798</v>
      </c>
      <c r="D144" s="164" t="s">
        <v>214</v>
      </c>
      <c r="E144" s="164" t="s">
        <v>214</v>
      </c>
      <c r="F144" s="136" t="s">
        <v>731</v>
      </c>
    </row>
    <row r="145" spans="1:6">
      <c r="A145" s="149" t="s">
        <v>799</v>
      </c>
      <c r="B145" s="85" t="s">
        <v>147</v>
      </c>
      <c r="C145" s="85" t="s">
        <v>147</v>
      </c>
      <c r="D145" s="85" t="s">
        <v>208</v>
      </c>
      <c r="E145" s="153" t="s">
        <v>800</v>
      </c>
      <c r="F145" s="92" t="s">
        <v>205</v>
      </c>
    </row>
    <row r="146" spans="1:6">
      <c r="A146" s="145" t="s">
        <v>801</v>
      </c>
      <c r="B146" s="111" t="s">
        <v>802</v>
      </c>
      <c r="C146" s="85" t="s">
        <v>803</v>
      </c>
      <c r="D146" s="85" t="s">
        <v>221</v>
      </c>
      <c r="E146" s="85" t="s">
        <v>221</v>
      </c>
      <c r="F146" s="173" t="s">
        <v>731</v>
      </c>
    </row>
    <row r="147" spans="1:6">
      <c r="A147" s="145" t="s">
        <v>804</v>
      </c>
      <c r="B147" s="180" t="s">
        <v>805</v>
      </c>
      <c r="C147" s="181" t="s">
        <v>806</v>
      </c>
      <c r="D147" s="181" t="s">
        <v>209</v>
      </c>
      <c r="E147" s="181" t="s">
        <v>209</v>
      </c>
      <c r="F147" s="160" t="s">
        <v>205</v>
      </c>
    </row>
    <row r="148" spans="1:6">
      <c r="A148" s="145" t="s">
        <v>807</v>
      </c>
      <c r="B148" s="83" t="s">
        <v>808</v>
      </c>
      <c r="C148" s="154" t="s">
        <v>809</v>
      </c>
      <c r="D148" s="156" t="s">
        <v>72</v>
      </c>
      <c r="E148" s="156" t="s">
        <v>72</v>
      </c>
      <c r="F148" s="160" t="s">
        <v>205</v>
      </c>
    </row>
    <row r="149" spans="1:6">
      <c r="A149" s="145" t="s">
        <v>810</v>
      </c>
      <c r="B149" s="83" t="s">
        <v>811</v>
      </c>
      <c r="C149" s="116" t="s">
        <v>812</v>
      </c>
      <c r="D149" s="116" t="s">
        <v>250</v>
      </c>
      <c r="E149" s="116" t="s">
        <v>250</v>
      </c>
      <c r="F149" s="160" t="s">
        <v>205</v>
      </c>
    </row>
    <row r="150" spans="1:6">
      <c r="A150" s="145" t="s">
        <v>813</v>
      </c>
      <c r="B150" s="83" t="s">
        <v>814</v>
      </c>
      <c r="C150" s="85" t="s">
        <v>815</v>
      </c>
      <c r="D150" s="85" t="s">
        <v>246</v>
      </c>
      <c r="E150" s="85" t="s">
        <v>246</v>
      </c>
      <c r="F150" s="173" t="s">
        <v>731</v>
      </c>
    </row>
    <row r="151" spans="1:6">
      <c r="A151" s="82" t="s">
        <v>816</v>
      </c>
      <c r="B151" s="99" t="s">
        <v>817</v>
      </c>
      <c r="C151" s="154" t="s">
        <v>818</v>
      </c>
      <c r="D151" s="182" t="s">
        <v>219</v>
      </c>
      <c r="E151" s="154" t="s">
        <v>219</v>
      </c>
      <c r="F151" s="90" t="s">
        <v>205</v>
      </c>
    </row>
    <row r="152" spans="1:6">
      <c r="A152" s="136" t="s">
        <v>819</v>
      </c>
      <c r="B152" s="127" t="s">
        <v>820</v>
      </c>
      <c r="C152" s="175" t="s">
        <v>821</v>
      </c>
      <c r="D152" s="153" t="s">
        <v>224</v>
      </c>
      <c r="E152" s="183" t="s">
        <v>224</v>
      </c>
      <c r="F152" s="92" t="s">
        <v>205</v>
      </c>
    </row>
    <row r="153" spans="1:6">
      <c r="A153" s="82" t="s">
        <v>822</v>
      </c>
      <c r="B153" s="83" t="s">
        <v>823</v>
      </c>
      <c r="C153" s="83" t="s">
        <v>823</v>
      </c>
      <c r="D153" s="83" t="s">
        <v>239</v>
      </c>
      <c r="E153" s="83" t="s">
        <v>239</v>
      </c>
      <c r="F153" s="82" t="s">
        <v>731</v>
      </c>
    </row>
    <row r="154" spans="1:6">
      <c r="A154" s="165" t="s">
        <v>824</v>
      </c>
      <c r="B154" s="138" t="s">
        <v>825</v>
      </c>
      <c r="C154" s="138" t="s">
        <v>826</v>
      </c>
      <c r="D154" s="138" t="s">
        <v>827</v>
      </c>
      <c r="E154" s="138" t="s">
        <v>826</v>
      </c>
      <c r="F154" s="184" t="s">
        <v>205</v>
      </c>
    </row>
    <row r="155" spans="1:6">
      <c r="A155" s="136" t="s">
        <v>828</v>
      </c>
      <c r="B155" s="127" t="s">
        <v>829</v>
      </c>
      <c r="C155" s="169" t="s">
        <v>830</v>
      </c>
      <c r="D155" s="167" t="s">
        <v>215</v>
      </c>
      <c r="E155" s="167" t="s">
        <v>215</v>
      </c>
      <c r="F155" s="184" t="s">
        <v>205</v>
      </c>
    </row>
    <row r="156" spans="1:6">
      <c r="A156" s="90" t="s">
        <v>828</v>
      </c>
      <c r="B156" s="83" t="s">
        <v>829</v>
      </c>
      <c r="C156" s="154" t="s">
        <v>830</v>
      </c>
      <c r="D156" s="83" t="s">
        <v>831</v>
      </c>
      <c r="E156" s="185" t="s">
        <v>830</v>
      </c>
      <c r="F156" s="92" t="s">
        <v>205</v>
      </c>
    </row>
    <row r="157" spans="1:6">
      <c r="A157" s="145" t="s">
        <v>832</v>
      </c>
      <c r="B157" s="125" t="s">
        <v>833</v>
      </c>
      <c r="C157" s="163" t="s">
        <v>834</v>
      </c>
      <c r="D157" s="127" t="s">
        <v>244</v>
      </c>
      <c r="E157" s="127" t="s">
        <v>244</v>
      </c>
      <c r="F157" s="136" t="s">
        <v>731</v>
      </c>
    </row>
    <row r="158" spans="1:6">
      <c r="A158" s="145" t="s">
        <v>835</v>
      </c>
      <c r="B158" s="125" t="s">
        <v>836</v>
      </c>
      <c r="C158" s="174" t="s">
        <v>837</v>
      </c>
      <c r="D158" s="175" t="s">
        <v>245</v>
      </c>
      <c r="E158" s="175" t="s">
        <v>245</v>
      </c>
      <c r="F158" s="165" t="s">
        <v>205</v>
      </c>
    </row>
    <row r="159" spans="1:6">
      <c r="A159" s="145" t="s">
        <v>838</v>
      </c>
      <c r="B159" s="125" t="s">
        <v>839</v>
      </c>
      <c r="C159" s="163" t="s">
        <v>840</v>
      </c>
      <c r="D159" s="127" t="s">
        <v>841</v>
      </c>
      <c r="E159" s="127" t="s">
        <v>842</v>
      </c>
      <c r="F159" s="165" t="s">
        <v>205</v>
      </c>
    </row>
    <row r="160" spans="1:6">
      <c r="A160" s="144" t="s">
        <v>843</v>
      </c>
      <c r="B160" s="95" t="s">
        <v>844</v>
      </c>
      <c r="C160" s="172" t="s">
        <v>845</v>
      </c>
      <c r="D160" s="138" t="s">
        <v>846</v>
      </c>
      <c r="E160" s="138" t="s">
        <v>847</v>
      </c>
      <c r="F160" s="165" t="s">
        <v>205</v>
      </c>
    </row>
    <row r="161" spans="1:6">
      <c r="A161" s="144" t="s">
        <v>848</v>
      </c>
      <c r="B161" s="85" t="s">
        <v>849</v>
      </c>
      <c r="C161" s="124" t="s">
        <v>850</v>
      </c>
      <c r="D161" s="85" t="s">
        <v>851</v>
      </c>
      <c r="E161" s="86" t="s">
        <v>852</v>
      </c>
      <c r="F161" s="84" t="s">
        <v>70</v>
      </c>
    </row>
    <row r="162" spans="1:6">
      <c r="A162" s="186" t="s">
        <v>853</v>
      </c>
      <c r="B162" s="187" t="s">
        <v>778</v>
      </c>
      <c r="C162" s="188" t="s">
        <v>779</v>
      </c>
      <c r="D162" s="189" t="s">
        <v>780</v>
      </c>
      <c r="E162" s="190" t="s">
        <v>781</v>
      </c>
      <c r="F162" s="191" t="s">
        <v>70</v>
      </c>
    </row>
    <row r="163" spans="1:6">
      <c r="A163" s="84" t="s">
        <v>854</v>
      </c>
      <c r="B163" s="85" t="s">
        <v>783</v>
      </c>
      <c r="C163" s="85" t="s">
        <v>784</v>
      </c>
      <c r="D163" s="86" t="s">
        <v>855</v>
      </c>
      <c r="E163" s="86" t="s">
        <v>856</v>
      </c>
      <c r="F163" s="173" t="s">
        <v>70</v>
      </c>
    </row>
    <row r="164" spans="1:6">
      <c r="A164" s="145" t="s">
        <v>857</v>
      </c>
      <c r="B164" s="125" t="s">
        <v>786</v>
      </c>
      <c r="C164" s="163" t="s">
        <v>787</v>
      </c>
      <c r="D164" s="164" t="s">
        <v>858</v>
      </c>
      <c r="E164" s="164" t="s">
        <v>719</v>
      </c>
      <c r="F164" s="136" t="s">
        <v>70</v>
      </c>
    </row>
    <row r="165" spans="1:6">
      <c r="A165" s="119" t="s">
        <v>859</v>
      </c>
      <c r="B165" s="85" t="s">
        <v>789</v>
      </c>
      <c r="C165" s="85" t="s">
        <v>790</v>
      </c>
      <c r="D165" s="85" t="s">
        <v>249</v>
      </c>
      <c r="E165" s="86" t="s">
        <v>860</v>
      </c>
      <c r="F165" s="84" t="s">
        <v>70</v>
      </c>
    </row>
    <row r="166" spans="1:6">
      <c r="A166" s="82" t="s">
        <v>861</v>
      </c>
      <c r="B166" s="83" t="s">
        <v>792</v>
      </c>
      <c r="C166" s="83" t="s">
        <v>792</v>
      </c>
      <c r="D166" s="83" t="s">
        <v>862</v>
      </c>
      <c r="E166" s="91" t="s">
        <v>863</v>
      </c>
      <c r="F166" s="82" t="s">
        <v>70</v>
      </c>
    </row>
    <row r="167" spans="1:6">
      <c r="A167" s="84" t="s">
        <v>864</v>
      </c>
      <c r="B167" s="85" t="s">
        <v>794</v>
      </c>
      <c r="C167" s="85" t="s">
        <v>795</v>
      </c>
      <c r="D167" s="192" t="s">
        <v>253</v>
      </c>
      <c r="E167" s="86" t="s">
        <v>865</v>
      </c>
      <c r="F167" s="84" t="s">
        <v>70</v>
      </c>
    </row>
    <row r="168" spans="1:6">
      <c r="A168" s="82" t="s">
        <v>866</v>
      </c>
      <c r="B168" s="83" t="s">
        <v>797</v>
      </c>
      <c r="C168" s="83" t="s">
        <v>798</v>
      </c>
      <c r="D168" s="83" t="s">
        <v>867</v>
      </c>
      <c r="E168" s="91" t="s">
        <v>868</v>
      </c>
      <c r="F168" s="82" t="s">
        <v>70</v>
      </c>
    </row>
    <row r="169" spans="1:6">
      <c r="A169" s="79" t="s">
        <v>869</v>
      </c>
      <c r="B169" s="80" t="s">
        <v>870</v>
      </c>
      <c r="C169" s="80" t="s">
        <v>147</v>
      </c>
      <c r="D169" s="80" t="s">
        <v>208</v>
      </c>
      <c r="E169" s="81" t="s">
        <v>800</v>
      </c>
      <c r="F169" s="84" t="s">
        <v>70</v>
      </c>
    </row>
    <row r="170" spans="1:6">
      <c r="A170" s="84" t="s">
        <v>871</v>
      </c>
      <c r="B170" s="85" t="s">
        <v>802</v>
      </c>
      <c r="C170" s="85" t="s">
        <v>803</v>
      </c>
      <c r="D170" s="85" t="s">
        <v>872</v>
      </c>
      <c r="E170" s="86" t="s">
        <v>221</v>
      </c>
      <c r="F170" s="84" t="s">
        <v>70</v>
      </c>
    </row>
    <row r="171" spans="1:6">
      <c r="A171" s="82" t="s">
        <v>873</v>
      </c>
      <c r="B171" s="83" t="s">
        <v>533</v>
      </c>
      <c r="C171" s="83" t="s">
        <v>533</v>
      </c>
      <c r="D171" s="83" t="s">
        <v>534</v>
      </c>
      <c r="E171" s="91" t="s">
        <v>535</v>
      </c>
      <c r="F171" s="82" t="s">
        <v>70</v>
      </c>
    </row>
    <row r="172" spans="1:6">
      <c r="A172" s="84" t="s">
        <v>874</v>
      </c>
      <c r="B172" s="85" t="s">
        <v>805</v>
      </c>
      <c r="C172" s="85" t="s">
        <v>806</v>
      </c>
      <c r="D172" s="85" t="s">
        <v>875</v>
      </c>
      <c r="E172" s="86" t="s">
        <v>806</v>
      </c>
      <c r="F172" s="84" t="s">
        <v>70</v>
      </c>
    </row>
    <row r="173" spans="1:6">
      <c r="A173" s="82" t="s">
        <v>876</v>
      </c>
      <c r="B173" s="83" t="s">
        <v>808</v>
      </c>
      <c r="C173" s="83" t="s">
        <v>809</v>
      </c>
      <c r="D173" s="83" t="s">
        <v>877</v>
      </c>
      <c r="E173" s="91" t="s">
        <v>878</v>
      </c>
      <c r="F173" s="82" t="s">
        <v>70</v>
      </c>
    </row>
    <row r="174" spans="1:6">
      <c r="A174" s="84" t="s">
        <v>879</v>
      </c>
      <c r="B174" s="85" t="s">
        <v>811</v>
      </c>
      <c r="C174" s="85" t="s">
        <v>812</v>
      </c>
      <c r="D174" s="86" t="s">
        <v>880</v>
      </c>
      <c r="E174" s="86" t="s">
        <v>69</v>
      </c>
      <c r="F174" s="84" t="s">
        <v>70</v>
      </c>
    </row>
    <row r="175" spans="1:6">
      <c r="A175" s="136" t="s">
        <v>881</v>
      </c>
      <c r="B175" s="131" t="s">
        <v>814</v>
      </c>
      <c r="C175" s="131" t="s">
        <v>815</v>
      </c>
      <c r="D175" s="164" t="s">
        <v>882</v>
      </c>
      <c r="E175" s="164" t="s">
        <v>246</v>
      </c>
      <c r="F175" s="136" t="s">
        <v>70</v>
      </c>
    </row>
    <row r="176" spans="1:6">
      <c r="A176" s="193" t="s">
        <v>883</v>
      </c>
      <c r="B176" s="194" t="s">
        <v>823</v>
      </c>
      <c r="C176" s="194" t="s">
        <v>823</v>
      </c>
      <c r="D176" s="194" t="s">
        <v>239</v>
      </c>
      <c r="E176" s="195" t="s">
        <v>239</v>
      </c>
      <c r="F176" s="196" t="s">
        <v>75</v>
      </c>
    </row>
    <row r="177" spans="1:6">
      <c r="A177" s="145" t="s">
        <v>884</v>
      </c>
      <c r="B177" s="83" t="s">
        <v>817</v>
      </c>
      <c r="C177" s="83" t="s">
        <v>818</v>
      </c>
      <c r="D177" s="83" t="s">
        <v>885</v>
      </c>
      <c r="E177" s="91" t="s">
        <v>886</v>
      </c>
      <c r="F177" s="136" t="s">
        <v>75</v>
      </c>
    </row>
    <row r="178" spans="1:6">
      <c r="A178" s="144" t="s">
        <v>887</v>
      </c>
      <c r="B178" s="85" t="s">
        <v>537</v>
      </c>
      <c r="C178" s="85" t="s">
        <v>538</v>
      </c>
      <c r="D178" s="85" t="s">
        <v>312</v>
      </c>
      <c r="E178" s="86" t="s">
        <v>312</v>
      </c>
      <c r="F178" s="173" t="s">
        <v>75</v>
      </c>
    </row>
    <row r="179" spans="1:6">
      <c r="A179" s="119" t="s">
        <v>888</v>
      </c>
      <c r="B179" s="85" t="s">
        <v>820</v>
      </c>
      <c r="C179" s="85" t="s">
        <v>821</v>
      </c>
      <c r="D179" s="85" t="s">
        <v>889</v>
      </c>
      <c r="E179" s="86" t="s">
        <v>224</v>
      </c>
      <c r="F179" s="84" t="s">
        <v>75</v>
      </c>
    </row>
    <row r="180" spans="1:6">
      <c r="A180" s="197" t="s">
        <v>890</v>
      </c>
      <c r="B180" s="85" t="s">
        <v>891</v>
      </c>
      <c r="C180" s="85" t="s">
        <v>892</v>
      </c>
      <c r="D180" s="198" t="s">
        <v>242</v>
      </c>
      <c r="E180" s="198" t="s">
        <v>893</v>
      </c>
      <c r="F180" s="197" t="s">
        <v>75</v>
      </c>
    </row>
    <row r="181" spans="1:6">
      <c r="A181" s="186" t="s">
        <v>894</v>
      </c>
      <c r="B181" s="189" t="s">
        <v>895</v>
      </c>
      <c r="C181" s="189" t="s">
        <v>896</v>
      </c>
      <c r="D181" s="189" t="s">
        <v>897</v>
      </c>
      <c r="E181" s="190" t="s">
        <v>898</v>
      </c>
      <c r="F181" s="199" t="s">
        <v>75</v>
      </c>
    </row>
    <row r="182" spans="1:6">
      <c r="A182" s="149" t="s">
        <v>899</v>
      </c>
      <c r="B182" s="85" t="s">
        <v>825</v>
      </c>
      <c r="C182" s="85" t="s">
        <v>826</v>
      </c>
      <c r="D182" s="85" t="s">
        <v>827</v>
      </c>
      <c r="E182" s="85" t="s">
        <v>826</v>
      </c>
      <c r="F182" s="85" t="s">
        <v>75</v>
      </c>
    </row>
    <row r="183" spans="1:6">
      <c r="A183" s="151" t="s">
        <v>900</v>
      </c>
      <c r="B183" s="83" t="s">
        <v>829</v>
      </c>
      <c r="C183" s="154" t="s">
        <v>830</v>
      </c>
      <c r="D183" s="83" t="s">
        <v>831</v>
      </c>
      <c r="E183" s="185" t="s">
        <v>830</v>
      </c>
      <c r="F183" s="90" t="s">
        <v>75</v>
      </c>
    </row>
    <row r="184" spans="1:6">
      <c r="A184" s="92" t="s">
        <v>901</v>
      </c>
      <c r="B184" s="85" t="s">
        <v>833</v>
      </c>
      <c r="C184" s="85" t="s">
        <v>834</v>
      </c>
      <c r="D184" s="86" t="s">
        <v>902</v>
      </c>
      <c r="E184" s="134" t="s">
        <v>244</v>
      </c>
      <c r="F184" s="92" t="s">
        <v>75</v>
      </c>
    </row>
    <row r="185" spans="1:6">
      <c r="A185" s="82" t="s">
        <v>903</v>
      </c>
      <c r="B185" s="83" t="s">
        <v>904</v>
      </c>
      <c r="C185" s="83" t="s">
        <v>904</v>
      </c>
      <c r="D185" s="91" t="s">
        <v>905</v>
      </c>
      <c r="E185" s="91" t="s">
        <v>906</v>
      </c>
      <c r="F185" s="82" t="s">
        <v>75</v>
      </c>
    </row>
    <row r="186" spans="1:6">
      <c r="A186" s="92" t="s">
        <v>907</v>
      </c>
      <c r="B186" s="85" t="s">
        <v>836</v>
      </c>
      <c r="C186" s="85" t="s">
        <v>837</v>
      </c>
      <c r="D186" s="85" t="s">
        <v>908</v>
      </c>
      <c r="E186" s="85" t="s">
        <v>909</v>
      </c>
      <c r="F186" s="84" t="s">
        <v>75</v>
      </c>
    </row>
    <row r="187" spans="1:6">
      <c r="A187" s="82" t="s">
        <v>910</v>
      </c>
      <c r="B187" s="83" t="s">
        <v>839</v>
      </c>
      <c r="C187" s="83" t="s">
        <v>840</v>
      </c>
      <c r="D187" s="83" t="s">
        <v>841</v>
      </c>
      <c r="E187" s="83" t="s">
        <v>842</v>
      </c>
      <c r="F187" s="82" t="s">
        <v>75</v>
      </c>
    </row>
    <row r="188" spans="1:6">
      <c r="A188" s="84" t="s">
        <v>911</v>
      </c>
      <c r="B188" s="85" t="s">
        <v>844</v>
      </c>
      <c r="C188" s="85" t="s">
        <v>845</v>
      </c>
      <c r="D188" s="85" t="s">
        <v>846</v>
      </c>
      <c r="E188" s="85" t="s">
        <v>847</v>
      </c>
      <c r="F188" s="84" t="s">
        <v>75</v>
      </c>
    </row>
    <row r="189" spans="1:6">
      <c r="A189" s="92" t="s">
        <v>912</v>
      </c>
      <c r="B189" s="85" t="s">
        <v>913</v>
      </c>
      <c r="C189" s="85" t="s">
        <v>914</v>
      </c>
      <c r="D189" s="85" t="s">
        <v>915</v>
      </c>
      <c r="E189" s="86" t="s">
        <v>915</v>
      </c>
      <c r="F189" s="84" t="s">
        <v>79</v>
      </c>
    </row>
    <row r="190" spans="1:6">
      <c r="A190" s="145" t="s">
        <v>916</v>
      </c>
      <c r="B190" s="200" t="s">
        <v>917</v>
      </c>
      <c r="C190" s="127" t="s">
        <v>918</v>
      </c>
      <c r="D190" s="91" t="s">
        <v>919</v>
      </c>
      <c r="E190" s="132" t="s">
        <v>919</v>
      </c>
      <c r="F190" s="82" t="s">
        <v>79</v>
      </c>
    </row>
    <row r="191" spans="1:6">
      <c r="A191" s="137" t="s">
        <v>920</v>
      </c>
      <c r="B191" s="138" t="s">
        <v>921</v>
      </c>
      <c r="C191" s="138" t="s">
        <v>922</v>
      </c>
      <c r="D191" s="85" t="s">
        <v>923</v>
      </c>
      <c r="E191" s="129" t="s">
        <v>441</v>
      </c>
      <c r="F191" s="119" t="s">
        <v>589</v>
      </c>
    </row>
    <row r="192" spans="1:6">
      <c r="A192" s="84" t="s">
        <v>924</v>
      </c>
      <c r="B192" s="85" t="s">
        <v>925</v>
      </c>
      <c r="C192" s="85" t="s">
        <v>926</v>
      </c>
      <c r="D192" s="85" t="s">
        <v>927</v>
      </c>
      <c r="E192" s="86" t="s">
        <v>928</v>
      </c>
      <c r="F192" s="84" t="s">
        <v>71</v>
      </c>
    </row>
    <row r="193" spans="1:6">
      <c r="A193" s="82" t="s">
        <v>929</v>
      </c>
      <c r="B193" s="110" t="s">
        <v>930</v>
      </c>
      <c r="C193" s="110" t="s">
        <v>930</v>
      </c>
      <c r="D193" s="93" t="s">
        <v>931</v>
      </c>
      <c r="E193" s="93" t="s">
        <v>932</v>
      </c>
      <c r="F193" s="82" t="s">
        <v>76</v>
      </c>
    </row>
    <row r="194" spans="1:6">
      <c r="A194" s="90" t="s">
        <v>933</v>
      </c>
      <c r="B194" s="83" t="s">
        <v>934</v>
      </c>
      <c r="C194" s="83" t="s">
        <v>935</v>
      </c>
      <c r="D194" s="83" t="s">
        <v>936</v>
      </c>
      <c r="E194" s="91" t="s">
        <v>936</v>
      </c>
      <c r="F194" s="90" t="s">
        <v>319</v>
      </c>
    </row>
    <row r="195" spans="1:6">
      <c r="A195" s="84" t="s">
        <v>937</v>
      </c>
      <c r="B195" s="124" t="s">
        <v>515</v>
      </c>
      <c r="C195" s="129" t="s">
        <v>516</v>
      </c>
      <c r="D195" s="85" t="s">
        <v>938</v>
      </c>
      <c r="E195" s="86" t="s">
        <v>939</v>
      </c>
      <c r="F195" s="84" t="s">
        <v>716</v>
      </c>
    </row>
    <row r="196" spans="1:6" ht="16" thickBot="1">
      <c r="A196" s="92" t="s">
        <v>940</v>
      </c>
      <c r="B196" s="124" t="s">
        <v>941</v>
      </c>
      <c r="C196" s="85" t="s">
        <v>942</v>
      </c>
      <c r="D196" s="86" t="s">
        <v>943</v>
      </c>
      <c r="E196" s="85" t="s">
        <v>527</v>
      </c>
      <c r="F196" s="84" t="s">
        <v>716</v>
      </c>
    </row>
    <row r="197" spans="1:6">
      <c r="A197" s="90" t="s">
        <v>944</v>
      </c>
      <c r="B197" s="124" t="s">
        <v>925</v>
      </c>
      <c r="C197" s="85" t="s">
        <v>926</v>
      </c>
      <c r="D197" s="146" t="s">
        <v>927</v>
      </c>
      <c r="E197" s="147" t="s">
        <v>928</v>
      </c>
      <c r="F197" s="90" t="s">
        <v>205</v>
      </c>
    </row>
    <row r="198" spans="1:6">
      <c r="A198" s="201" t="s">
        <v>945</v>
      </c>
      <c r="B198" s="202" t="s">
        <v>540</v>
      </c>
      <c r="C198" s="202" t="s">
        <v>541</v>
      </c>
      <c r="D198" s="83" t="s">
        <v>542</v>
      </c>
      <c r="E198" s="202" t="s">
        <v>543</v>
      </c>
      <c r="F198" s="201" t="s">
        <v>75</v>
      </c>
    </row>
    <row r="199" spans="1:6">
      <c r="A199" s="82" t="s">
        <v>946</v>
      </c>
      <c r="B199" s="83" t="s">
        <v>608</v>
      </c>
      <c r="C199" s="83" t="s">
        <v>609</v>
      </c>
      <c r="D199" s="83" t="s">
        <v>252</v>
      </c>
      <c r="E199" s="91" t="s">
        <v>610</v>
      </c>
      <c r="F199" s="82" t="s">
        <v>205</v>
      </c>
    </row>
    <row r="200" spans="1:6">
      <c r="A200" s="203" t="s">
        <v>947</v>
      </c>
      <c r="B200" s="204" t="s">
        <v>540</v>
      </c>
      <c r="C200" s="204" t="s">
        <v>541</v>
      </c>
      <c r="D200" s="102" t="s">
        <v>542</v>
      </c>
      <c r="E200" s="204" t="s">
        <v>543</v>
      </c>
      <c r="F200" s="101" t="s">
        <v>205</v>
      </c>
    </row>
    <row r="201" spans="1:6">
      <c r="A201" s="108" t="s">
        <v>948</v>
      </c>
      <c r="B201" s="104" t="s">
        <v>499</v>
      </c>
      <c r="C201" s="104" t="s">
        <v>500</v>
      </c>
      <c r="D201" s="102" t="s">
        <v>501</v>
      </c>
      <c r="E201" s="104" t="s">
        <v>501</v>
      </c>
      <c r="F201" s="101" t="s">
        <v>205</v>
      </c>
    </row>
    <row r="202" spans="1:6">
      <c r="A202" s="101" t="s">
        <v>949</v>
      </c>
      <c r="B202" s="102" t="s">
        <v>432</v>
      </c>
      <c r="C202" s="102" t="s">
        <v>432</v>
      </c>
      <c r="D202" s="205" t="s">
        <v>229</v>
      </c>
      <c r="E202" s="206" t="s">
        <v>433</v>
      </c>
      <c r="F202" s="101" t="s">
        <v>205</v>
      </c>
    </row>
    <row r="203" spans="1:6">
      <c r="A203" s="101" t="s">
        <v>950</v>
      </c>
      <c r="B203" s="102" t="s">
        <v>503</v>
      </c>
      <c r="C203" s="102" t="s">
        <v>503</v>
      </c>
      <c r="D203" s="104" t="s">
        <v>238</v>
      </c>
      <c r="E203" s="104" t="s">
        <v>504</v>
      </c>
      <c r="F203" s="101" t="s">
        <v>205</v>
      </c>
    </row>
    <row r="204" spans="1:6">
      <c r="A204" s="207" t="s">
        <v>951</v>
      </c>
      <c r="B204" s="102" t="s">
        <v>533</v>
      </c>
      <c r="C204" s="102" t="s">
        <v>533</v>
      </c>
      <c r="D204" s="102" t="s">
        <v>534</v>
      </c>
      <c r="E204" s="104" t="s">
        <v>535</v>
      </c>
      <c r="F204" s="101" t="s">
        <v>205</v>
      </c>
    </row>
    <row r="205" spans="1:6">
      <c r="A205" s="208" t="s">
        <v>952</v>
      </c>
      <c r="B205" s="208" t="s">
        <v>387</v>
      </c>
      <c r="C205" s="209" t="s">
        <v>953</v>
      </c>
      <c r="D205" s="210" t="s">
        <v>953</v>
      </c>
      <c r="E205" s="211" t="s">
        <v>953</v>
      </c>
      <c r="F205" s="212" t="s">
        <v>383</v>
      </c>
    </row>
    <row r="206" spans="1:6">
      <c r="A206" s="208" t="s">
        <v>954</v>
      </c>
      <c r="B206" s="213" t="s">
        <v>392</v>
      </c>
      <c r="C206" s="209" t="s">
        <v>955</v>
      </c>
      <c r="D206" s="210" t="s">
        <v>955</v>
      </c>
      <c r="E206" s="211" t="s">
        <v>955</v>
      </c>
      <c r="F206" s="212" t="s">
        <v>383</v>
      </c>
    </row>
  </sheetData>
  <conditionalFormatting sqref="D5">
    <cfRule type="expression" dxfId="22" priority="23">
      <formula>D5=D$4</formula>
    </cfRule>
  </conditionalFormatting>
  <conditionalFormatting sqref="D23">
    <cfRule type="expression" dxfId="21" priority="5">
      <formula>D23=D$4</formula>
    </cfRule>
  </conditionalFormatting>
  <conditionalFormatting sqref="D29">
    <cfRule type="expression" dxfId="20" priority="6">
      <formula>D29=D$4</formula>
    </cfRule>
  </conditionalFormatting>
  <conditionalFormatting sqref="D36">
    <cfRule type="expression" dxfId="19" priority="21">
      <formula>D36=D$4</formula>
    </cfRule>
  </conditionalFormatting>
  <conditionalFormatting sqref="D43">
    <cfRule type="expression" dxfId="18" priority="22">
      <formula>D43=D$4</formula>
    </cfRule>
  </conditionalFormatting>
  <conditionalFormatting sqref="D48">
    <cfRule type="expression" dxfId="17" priority="20">
      <formula>D48=D$4</formula>
    </cfRule>
  </conditionalFormatting>
  <conditionalFormatting sqref="D53">
    <cfRule type="expression" dxfId="16" priority="19">
      <formula>D53=D$4</formula>
    </cfRule>
  </conditionalFormatting>
  <conditionalFormatting sqref="D58">
    <cfRule type="expression" dxfId="15" priority="18">
      <formula>D58=D$4</formula>
    </cfRule>
  </conditionalFormatting>
  <conditionalFormatting sqref="D63">
    <cfRule type="expression" dxfId="14" priority="17">
      <formula>D63=D$4</formula>
    </cfRule>
  </conditionalFormatting>
  <conditionalFormatting sqref="D71">
    <cfRule type="expression" dxfId="13" priority="16">
      <formula>D71=D$4</formula>
    </cfRule>
  </conditionalFormatting>
  <conditionalFormatting sqref="D75:D76">
    <cfRule type="expression" dxfId="12" priority="7">
      <formula>D75=D$4</formula>
    </cfRule>
  </conditionalFormatting>
  <conditionalFormatting sqref="D163">
    <cfRule type="expression" dxfId="11" priority="4">
      <formula>D163=D$4</formula>
    </cfRule>
  </conditionalFormatting>
  <conditionalFormatting sqref="D165:D166">
    <cfRule type="expression" dxfId="10" priority="3">
      <formula>D165=D$4</formula>
    </cfRule>
  </conditionalFormatting>
  <conditionalFormatting sqref="D180">
    <cfRule type="expression" dxfId="9" priority="2">
      <formula>D180=D$4</formula>
    </cfRule>
  </conditionalFormatting>
  <conditionalFormatting sqref="D185:D187">
    <cfRule type="expression" dxfId="8" priority="1">
      <formula>D185=D$4</formula>
    </cfRule>
  </conditionalFormatting>
  <conditionalFormatting sqref="D80:E80">
    <cfRule type="expression" dxfId="7" priority="15">
      <formula>D80=D$4</formula>
    </cfRule>
  </conditionalFormatting>
  <conditionalFormatting sqref="D85:E85">
    <cfRule type="expression" dxfId="6" priority="14">
      <formula>D85=D$4</formula>
    </cfRule>
  </conditionalFormatting>
  <conditionalFormatting sqref="D88:E88">
    <cfRule type="expression" dxfId="5" priority="13">
      <formula>D88=D$4</formula>
    </cfRule>
  </conditionalFormatting>
  <conditionalFormatting sqref="D93:E93">
    <cfRule type="expression" dxfId="4" priority="12">
      <formula>D93=D$4</formula>
    </cfRule>
  </conditionalFormatting>
  <conditionalFormatting sqref="D98:E98">
    <cfRule type="expression" dxfId="3" priority="11">
      <formula>D98=D$4</formula>
    </cfRule>
  </conditionalFormatting>
  <conditionalFormatting sqref="D103:E103">
    <cfRule type="expression" dxfId="2" priority="10">
      <formula>D103=D$4</formula>
    </cfRule>
  </conditionalFormatting>
  <conditionalFormatting sqref="D108:E108">
    <cfRule type="expression" dxfId="1" priority="9">
      <formula>D108=D$4</formula>
    </cfRule>
  </conditionalFormatting>
  <conditionalFormatting sqref="D113:E113">
    <cfRule type="expression" dxfId="0" priority="8">
      <formula>D113=D$4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2"/>
  <sheetViews>
    <sheetView topLeftCell="A2" zoomScale="105" workbookViewId="0"/>
  </sheetViews>
  <sheetFormatPr baseColWidth="10" defaultColWidth="8.83203125" defaultRowHeight="15"/>
  <cols>
    <col min="1" max="1" width="8" customWidth="1"/>
    <col min="2" max="3" width="14" customWidth="1"/>
    <col min="4" max="4" width="10" customWidth="1"/>
    <col min="5" max="5" width="12" customWidth="1"/>
  </cols>
  <sheetData>
    <row r="1" spans="1:5">
      <c r="A1" s="1" t="s">
        <v>0</v>
      </c>
      <c r="B1" s="1" t="s">
        <v>65</v>
      </c>
      <c r="C1" s="1" t="s">
        <v>66</v>
      </c>
      <c r="D1" s="1" t="s">
        <v>67</v>
      </c>
      <c r="E1" s="1" t="s">
        <v>68</v>
      </c>
    </row>
    <row r="2" spans="1:5">
      <c r="A2" t="s">
        <v>3</v>
      </c>
      <c r="B2" t="s">
        <v>69</v>
      </c>
      <c r="C2">
        <v>3</v>
      </c>
      <c r="D2">
        <v>2</v>
      </c>
      <c r="E2">
        <v>-1</v>
      </c>
    </row>
    <row r="3" spans="1:5">
      <c r="A3" t="s">
        <v>3</v>
      </c>
      <c r="B3" t="s">
        <v>70</v>
      </c>
      <c r="C3">
        <v>4</v>
      </c>
      <c r="D3">
        <v>3</v>
      </c>
      <c r="E3">
        <v>-1</v>
      </c>
    </row>
    <row r="4" spans="1:5">
      <c r="A4" t="s">
        <v>3</v>
      </c>
      <c r="B4" t="s">
        <v>71</v>
      </c>
      <c r="C4">
        <v>2</v>
      </c>
      <c r="D4">
        <v>4</v>
      </c>
      <c r="E4">
        <v>2</v>
      </c>
    </row>
    <row r="5" spans="1:5">
      <c r="A5" t="s">
        <v>6</v>
      </c>
      <c r="B5" t="s">
        <v>72</v>
      </c>
      <c r="C5">
        <v>3</v>
      </c>
      <c r="D5">
        <v>2</v>
      </c>
      <c r="E5">
        <v>-1</v>
      </c>
    </row>
    <row r="6" spans="1:5">
      <c r="A6" t="s">
        <v>6</v>
      </c>
      <c r="B6" t="s">
        <v>71</v>
      </c>
      <c r="C6">
        <v>2</v>
      </c>
      <c r="D6">
        <v>3</v>
      </c>
      <c r="E6">
        <v>1</v>
      </c>
    </row>
    <row r="7" spans="1:5">
      <c r="A7" t="s">
        <v>9</v>
      </c>
      <c r="B7" t="s">
        <v>73</v>
      </c>
      <c r="C7">
        <v>2</v>
      </c>
      <c r="D7">
        <v>1</v>
      </c>
      <c r="E7">
        <v>-1</v>
      </c>
    </row>
    <row r="8" spans="1:5">
      <c r="A8" t="s">
        <v>9</v>
      </c>
      <c r="B8" t="s">
        <v>74</v>
      </c>
      <c r="C8">
        <v>3</v>
      </c>
      <c r="D8">
        <v>4</v>
      </c>
      <c r="E8">
        <v>1</v>
      </c>
    </row>
    <row r="9" spans="1:5">
      <c r="A9" t="s">
        <v>12</v>
      </c>
      <c r="B9" t="s">
        <v>73</v>
      </c>
      <c r="C9">
        <v>2</v>
      </c>
      <c r="D9">
        <v>1</v>
      </c>
      <c r="E9">
        <v>-1</v>
      </c>
    </row>
    <row r="10" spans="1:5">
      <c r="A10" t="s">
        <v>12</v>
      </c>
      <c r="B10" t="s">
        <v>70</v>
      </c>
      <c r="C10">
        <v>4</v>
      </c>
      <c r="D10">
        <v>5</v>
      </c>
      <c r="E10">
        <v>1</v>
      </c>
    </row>
    <row r="11" spans="1:5">
      <c r="A11" t="s">
        <v>14</v>
      </c>
      <c r="B11" t="s">
        <v>72</v>
      </c>
      <c r="C11">
        <v>3</v>
      </c>
      <c r="D11">
        <v>1</v>
      </c>
      <c r="E11">
        <v>-2</v>
      </c>
    </row>
    <row r="12" spans="1:5">
      <c r="A12" t="s">
        <v>14</v>
      </c>
      <c r="B12" t="s">
        <v>74</v>
      </c>
      <c r="C12">
        <v>3</v>
      </c>
      <c r="D12">
        <v>2</v>
      </c>
      <c r="E12">
        <v>-1</v>
      </c>
    </row>
    <row r="13" spans="1:5">
      <c r="A13" t="s">
        <v>14</v>
      </c>
      <c r="B13" t="s">
        <v>73</v>
      </c>
      <c r="C13">
        <v>2</v>
      </c>
      <c r="D13">
        <v>1</v>
      </c>
      <c r="E13">
        <v>-1</v>
      </c>
    </row>
    <row r="14" spans="1:5">
      <c r="A14" t="s">
        <v>14</v>
      </c>
      <c r="B14" t="s">
        <v>70</v>
      </c>
      <c r="C14">
        <v>4</v>
      </c>
      <c r="D14">
        <v>6</v>
      </c>
      <c r="E14">
        <v>2</v>
      </c>
    </row>
    <row r="15" spans="1:5">
      <c r="A15" t="s">
        <v>14</v>
      </c>
      <c r="B15" t="s">
        <v>75</v>
      </c>
      <c r="C15">
        <v>3</v>
      </c>
      <c r="D15">
        <v>5</v>
      </c>
      <c r="E15">
        <v>2</v>
      </c>
    </row>
    <row r="16" spans="1:5">
      <c r="A16" t="s">
        <v>17</v>
      </c>
      <c r="B16" t="s">
        <v>75</v>
      </c>
      <c r="C16">
        <v>4</v>
      </c>
      <c r="D16">
        <v>3</v>
      </c>
      <c r="E16">
        <v>-1</v>
      </c>
    </row>
    <row r="17" spans="1:5">
      <c r="A17" t="s">
        <v>17</v>
      </c>
      <c r="B17" t="s">
        <v>72</v>
      </c>
      <c r="C17">
        <v>2</v>
      </c>
      <c r="D17">
        <v>3</v>
      </c>
      <c r="E17">
        <v>1</v>
      </c>
    </row>
    <row r="18" spans="1:5">
      <c r="A18" t="s">
        <v>20</v>
      </c>
      <c r="B18" t="s">
        <v>76</v>
      </c>
      <c r="C18">
        <v>3</v>
      </c>
      <c r="D18">
        <v>1</v>
      </c>
      <c r="E18">
        <v>-2</v>
      </c>
    </row>
    <row r="19" spans="1:5">
      <c r="A19" t="s">
        <v>20</v>
      </c>
      <c r="B19" t="s">
        <v>72</v>
      </c>
      <c r="C19">
        <v>2</v>
      </c>
      <c r="D19">
        <v>3</v>
      </c>
      <c r="E19">
        <v>1</v>
      </c>
    </row>
    <row r="20" spans="1:5">
      <c r="A20" t="s">
        <v>20</v>
      </c>
      <c r="B20" t="s">
        <v>77</v>
      </c>
      <c r="C20">
        <v>1</v>
      </c>
      <c r="D20">
        <v>2</v>
      </c>
      <c r="E20">
        <v>1</v>
      </c>
    </row>
    <row r="21" spans="1:5">
      <c r="A21" t="s">
        <v>23</v>
      </c>
      <c r="B21" t="s">
        <v>76</v>
      </c>
      <c r="C21">
        <v>2</v>
      </c>
      <c r="D21">
        <v>1</v>
      </c>
      <c r="E21">
        <v>-1</v>
      </c>
    </row>
    <row r="22" spans="1:5">
      <c r="A22" t="s">
        <v>23</v>
      </c>
      <c r="B22" t="s">
        <v>75</v>
      </c>
      <c r="C22">
        <v>3</v>
      </c>
      <c r="D22">
        <v>4</v>
      </c>
      <c r="E22">
        <v>1</v>
      </c>
    </row>
    <row r="23" spans="1:5">
      <c r="A23" t="s">
        <v>26</v>
      </c>
      <c r="B23" t="s">
        <v>72</v>
      </c>
      <c r="C23">
        <v>3</v>
      </c>
      <c r="D23">
        <v>2</v>
      </c>
      <c r="E23">
        <v>-1</v>
      </c>
    </row>
    <row r="24" spans="1:5">
      <c r="A24" t="s">
        <v>26</v>
      </c>
      <c r="B24" t="s">
        <v>76</v>
      </c>
      <c r="C24">
        <v>2</v>
      </c>
      <c r="D24">
        <v>3</v>
      </c>
      <c r="E24">
        <v>1</v>
      </c>
    </row>
    <row r="25" spans="1:5">
      <c r="A25" t="s">
        <v>28</v>
      </c>
      <c r="B25" t="s">
        <v>71</v>
      </c>
      <c r="C25">
        <v>3</v>
      </c>
      <c r="D25">
        <v>2</v>
      </c>
      <c r="E25">
        <v>-1</v>
      </c>
    </row>
    <row r="26" spans="1:5">
      <c r="A26" t="s">
        <v>28</v>
      </c>
      <c r="B26" t="s">
        <v>75</v>
      </c>
      <c r="C26">
        <v>3</v>
      </c>
      <c r="D26">
        <v>4</v>
      </c>
      <c r="E26">
        <v>1</v>
      </c>
    </row>
    <row r="27" spans="1:5">
      <c r="A27" t="s">
        <v>30</v>
      </c>
      <c r="B27" t="s">
        <v>70</v>
      </c>
      <c r="C27">
        <v>4</v>
      </c>
      <c r="D27">
        <v>3</v>
      </c>
      <c r="E27">
        <v>-1</v>
      </c>
    </row>
    <row r="28" spans="1:5">
      <c r="A28" t="s">
        <v>30</v>
      </c>
      <c r="B28" t="s">
        <v>78</v>
      </c>
      <c r="C28">
        <v>2</v>
      </c>
      <c r="D28">
        <v>3</v>
      </c>
      <c r="E28">
        <v>1</v>
      </c>
    </row>
    <row r="29" spans="1:5">
      <c r="A29" t="s">
        <v>33</v>
      </c>
      <c r="B29" t="s">
        <v>70</v>
      </c>
      <c r="C29">
        <v>4</v>
      </c>
      <c r="D29">
        <v>2</v>
      </c>
      <c r="E29">
        <v>-2</v>
      </c>
    </row>
    <row r="30" spans="1:5">
      <c r="A30" t="s">
        <v>33</v>
      </c>
      <c r="B30" t="s">
        <v>77</v>
      </c>
      <c r="C30">
        <v>1</v>
      </c>
      <c r="D30">
        <v>2</v>
      </c>
      <c r="E30">
        <v>1</v>
      </c>
    </row>
    <row r="31" spans="1:5">
      <c r="A31" t="s">
        <v>33</v>
      </c>
      <c r="B31" t="s">
        <v>78</v>
      </c>
      <c r="C31">
        <v>2</v>
      </c>
      <c r="D31">
        <v>3</v>
      </c>
      <c r="E31">
        <v>1</v>
      </c>
    </row>
    <row r="32" spans="1:5">
      <c r="A32" t="s">
        <v>36</v>
      </c>
      <c r="B32" t="s">
        <v>71</v>
      </c>
      <c r="C32">
        <v>3</v>
      </c>
      <c r="D32">
        <v>2</v>
      </c>
      <c r="E32">
        <v>-1</v>
      </c>
    </row>
    <row r="33" spans="1:5">
      <c r="A33" t="s">
        <v>36</v>
      </c>
      <c r="B33" t="s">
        <v>78</v>
      </c>
      <c r="C33">
        <v>2</v>
      </c>
      <c r="D33">
        <v>3</v>
      </c>
      <c r="E33">
        <v>1</v>
      </c>
    </row>
    <row r="34" spans="1:5">
      <c r="A34" t="s">
        <v>37</v>
      </c>
      <c r="B34" t="s">
        <v>77</v>
      </c>
      <c r="C34">
        <v>1</v>
      </c>
      <c r="D34">
        <v>0</v>
      </c>
      <c r="E34">
        <v>-1</v>
      </c>
    </row>
    <row r="35" spans="1:5">
      <c r="A35" t="s">
        <v>37</v>
      </c>
      <c r="B35" t="s">
        <v>70</v>
      </c>
      <c r="C35">
        <v>4</v>
      </c>
      <c r="D35">
        <v>3</v>
      </c>
      <c r="E35">
        <v>-1</v>
      </c>
    </row>
    <row r="36" spans="1:5">
      <c r="A36" t="s">
        <v>37</v>
      </c>
      <c r="B36" t="s">
        <v>76</v>
      </c>
      <c r="C36">
        <v>2</v>
      </c>
      <c r="D36">
        <v>3</v>
      </c>
      <c r="E36">
        <v>1</v>
      </c>
    </row>
    <row r="37" spans="1:5">
      <c r="A37" t="s">
        <v>37</v>
      </c>
      <c r="B37" t="s">
        <v>78</v>
      </c>
      <c r="C37">
        <v>2</v>
      </c>
      <c r="D37">
        <v>3</v>
      </c>
      <c r="E37">
        <v>1</v>
      </c>
    </row>
    <row r="38" spans="1:5">
      <c r="A38" t="s">
        <v>40</v>
      </c>
      <c r="B38" t="s">
        <v>70</v>
      </c>
      <c r="C38">
        <v>4</v>
      </c>
      <c r="D38">
        <v>3</v>
      </c>
      <c r="E38">
        <v>-1</v>
      </c>
    </row>
    <row r="39" spans="1:5">
      <c r="A39" t="s">
        <v>40</v>
      </c>
      <c r="B39" t="s">
        <v>76</v>
      </c>
      <c r="C39">
        <v>1</v>
      </c>
      <c r="D39">
        <v>2</v>
      </c>
      <c r="E39">
        <v>1</v>
      </c>
    </row>
    <row r="40" spans="1:5">
      <c r="A40" t="s">
        <v>41</v>
      </c>
      <c r="B40" t="s">
        <v>70</v>
      </c>
      <c r="C40">
        <v>4</v>
      </c>
      <c r="D40">
        <v>3</v>
      </c>
      <c r="E40">
        <v>-1</v>
      </c>
    </row>
    <row r="41" spans="1:5">
      <c r="A41" t="s">
        <v>41</v>
      </c>
      <c r="B41" t="s">
        <v>75</v>
      </c>
      <c r="C41">
        <v>3</v>
      </c>
      <c r="D41">
        <v>4</v>
      </c>
      <c r="E41">
        <v>1</v>
      </c>
    </row>
    <row r="42" spans="1:5">
      <c r="A42" t="s">
        <v>42</v>
      </c>
      <c r="B42" t="s">
        <v>70</v>
      </c>
      <c r="C42">
        <v>4</v>
      </c>
      <c r="D42">
        <v>3</v>
      </c>
      <c r="E42">
        <v>-1</v>
      </c>
    </row>
    <row r="43" spans="1:5">
      <c r="A43" t="s">
        <v>42</v>
      </c>
      <c r="B43" t="s">
        <v>69</v>
      </c>
      <c r="C43">
        <v>3</v>
      </c>
      <c r="D43">
        <v>4</v>
      </c>
      <c r="E43">
        <v>1</v>
      </c>
    </row>
    <row r="44" spans="1:5">
      <c r="A44" t="s">
        <v>44</v>
      </c>
      <c r="B44" t="s">
        <v>72</v>
      </c>
      <c r="C44">
        <v>3</v>
      </c>
      <c r="D44">
        <v>2</v>
      </c>
      <c r="E44">
        <v>-1</v>
      </c>
    </row>
    <row r="45" spans="1:5">
      <c r="A45" t="s">
        <v>44</v>
      </c>
      <c r="B45" t="s">
        <v>70</v>
      </c>
      <c r="C45">
        <v>4</v>
      </c>
      <c r="D45">
        <v>5</v>
      </c>
      <c r="E45">
        <v>1</v>
      </c>
    </row>
    <row r="46" spans="1:5">
      <c r="A46" t="s">
        <v>45</v>
      </c>
      <c r="B46" t="s">
        <v>69</v>
      </c>
      <c r="C46">
        <v>3</v>
      </c>
      <c r="D46">
        <v>2</v>
      </c>
      <c r="E46">
        <v>-1</v>
      </c>
    </row>
    <row r="47" spans="1:5">
      <c r="A47" t="s">
        <v>45</v>
      </c>
      <c r="B47" t="s">
        <v>73</v>
      </c>
      <c r="C47">
        <v>2</v>
      </c>
      <c r="D47">
        <v>1</v>
      </c>
      <c r="E47">
        <v>-1</v>
      </c>
    </row>
    <row r="48" spans="1:5">
      <c r="A48" t="s">
        <v>45</v>
      </c>
      <c r="B48" t="s">
        <v>70</v>
      </c>
      <c r="C48">
        <v>3</v>
      </c>
      <c r="D48">
        <v>5</v>
      </c>
      <c r="E48">
        <v>2</v>
      </c>
    </row>
    <row r="49" spans="1:5">
      <c r="A49" t="s">
        <v>48</v>
      </c>
      <c r="B49" t="s">
        <v>76</v>
      </c>
      <c r="C49">
        <v>2</v>
      </c>
      <c r="D49">
        <v>1</v>
      </c>
      <c r="E49">
        <v>-1</v>
      </c>
    </row>
    <row r="50" spans="1:5">
      <c r="A50" t="s">
        <v>48</v>
      </c>
      <c r="B50" t="s">
        <v>70</v>
      </c>
      <c r="C50">
        <v>3</v>
      </c>
      <c r="D50">
        <v>4</v>
      </c>
      <c r="E50">
        <v>1</v>
      </c>
    </row>
    <row r="51" spans="1:5">
      <c r="A51" t="s">
        <v>49</v>
      </c>
      <c r="B51" t="s">
        <v>76</v>
      </c>
      <c r="C51">
        <v>2</v>
      </c>
      <c r="D51">
        <v>1</v>
      </c>
      <c r="E51">
        <v>-1</v>
      </c>
    </row>
    <row r="52" spans="1:5">
      <c r="A52" t="s">
        <v>49</v>
      </c>
      <c r="B52" t="s">
        <v>79</v>
      </c>
      <c r="C52">
        <v>3</v>
      </c>
      <c r="D52">
        <v>4</v>
      </c>
      <c r="E52">
        <v>1</v>
      </c>
    </row>
    <row r="53" spans="1:5">
      <c r="A53" t="s">
        <v>51</v>
      </c>
      <c r="B53" t="s">
        <v>80</v>
      </c>
      <c r="C53">
        <v>2</v>
      </c>
      <c r="D53">
        <v>1</v>
      </c>
      <c r="E53">
        <v>-1</v>
      </c>
    </row>
    <row r="54" spans="1:5">
      <c r="A54" t="s">
        <v>51</v>
      </c>
      <c r="B54" t="s">
        <v>70</v>
      </c>
      <c r="C54">
        <v>6</v>
      </c>
      <c r="D54">
        <v>5</v>
      </c>
      <c r="E54">
        <v>-1</v>
      </c>
    </row>
    <row r="55" spans="1:5">
      <c r="A55" t="s">
        <v>51</v>
      </c>
      <c r="B55" t="s">
        <v>81</v>
      </c>
      <c r="C55">
        <v>1</v>
      </c>
      <c r="D55">
        <v>2</v>
      </c>
      <c r="E55">
        <v>1</v>
      </c>
    </row>
    <row r="56" spans="1:5">
      <c r="A56" t="s">
        <v>51</v>
      </c>
      <c r="B56" t="s">
        <v>75</v>
      </c>
      <c r="C56">
        <v>5</v>
      </c>
      <c r="D56">
        <v>6</v>
      </c>
      <c r="E56">
        <v>1</v>
      </c>
    </row>
    <row r="57" spans="1:5">
      <c r="A57" t="s">
        <v>54</v>
      </c>
      <c r="B57" t="s">
        <v>82</v>
      </c>
      <c r="C57">
        <v>2</v>
      </c>
      <c r="D57">
        <v>0</v>
      </c>
      <c r="E57">
        <v>-2</v>
      </c>
    </row>
    <row r="58" spans="1:5">
      <c r="A58" t="s">
        <v>54</v>
      </c>
      <c r="B58" t="s">
        <v>73</v>
      </c>
      <c r="C58">
        <v>2</v>
      </c>
      <c r="D58">
        <v>1</v>
      </c>
      <c r="E58">
        <v>-1</v>
      </c>
    </row>
    <row r="59" spans="1:5">
      <c r="A59" t="s">
        <v>54</v>
      </c>
      <c r="B59" t="s">
        <v>79</v>
      </c>
      <c r="C59">
        <v>3</v>
      </c>
      <c r="D59">
        <v>4</v>
      </c>
      <c r="E59">
        <v>1</v>
      </c>
    </row>
    <row r="60" spans="1:5">
      <c r="A60" t="s">
        <v>54</v>
      </c>
      <c r="B60" t="s">
        <v>75</v>
      </c>
      <c r="C60">
        <v>5</v>
      </c>
      <c r="D60">
        <v>7</v>
      </c>
      <c r="E60">
        <v>2</v>
      </c>
    </row>
    <row r="61" spans="1:5">
      <c r="A61" t="s">
        <v>57</v>
      </c>
      <c r="B61" t="s">
        <v>76</v>
      </c>
      <c r="C61">
        <v>2</v>
      </c>
      <c r="D61">
        <v>1</v>
      </c>
      <c r="E61">
        <v>-1</v>
      </c>
    </row>
    <row r="62" spans="1:5">
      <c r="A62" t="s">
        <v>57</v>
      </c>
      <c r="B62" t="s">
        <v>79</v>
      </c>
      <c r="C62">
        <v>3</v>
      </c>
      <c r="D62">
        <v>4</v>
      </c>
      <c r="E62">
        <v>1</v>
      </c>
    </row>
    <row r="63" spans="1:5">
      <c r="A63" t="s">
        <v>58</v>
      </c>
      <c r="B63" t="s">
        <v>75</v>
      </c>
      <c r="C63">
        <v>6</v>
      </c>
      <c r="D63">
        <v>5</v>
      </c>
      <c r="E63">
        <v>-1</v>
      </c>
    </row>
    <row r="64" spans="1:5">
      <c r="A64" t="s">
        <v>58</v>
      </c>
      <c r="B64" t="s">
        <v>76</v>
      </c>
      <c r="C64">
        <v>2</v>
      </c>
      <c r="D64">
        <v>3</v>
      </c>
      <c r="E64">
        <v>1</v>
      </c>
    </row>
    <row r="65" spans="1:5">
      <c r="A65" t="s">
        <v>59</v>
      </c>
      <c r="B65" t="s">
        <v>70</v>
      </c>
      <c r="C65">
        <v>6</v>
      </c>
      <c r="D65">
        <v>5</v>
      </c>
      <c r="E65">
        <v>-1</v>
      </c>
    </row>
    <row r="66" spans="1:5">
      <c r="A66" t="s">
        <v>59</v>
      </c>
      <c r="B66" t="s">
        <v>73</v>
      </c>
      <c r="C66">
        <v>2</v>
      </c>
      <c r="D66">
        <v>3</v>
      </c>
      <c r="E66">
        <v>1</v>
      </c>
    </row>
    <row r="67" spans="1:5">
      <c r="A67" t="s">
        <v>61</v>
      </c>
      <c r="B67" t="s">
        <v>71</v>
      </c>
      <c r="C67">
        <v>2</v>
      </c>
      <c r="D67">
        <v>1</v>
      </c>
      <c r="E67">
        <v>-1</v>
      </c>
    </row>
    <row r="68" spans="1:5">
      <c r="A68" t="s">
        <v>61</v>
      </c>
      <c r="B68" t="s">
        <v>76</v>
      </c>
      <c r="C68">
        <v>3</v>
      </c>
      <c r="D68">
        <v>4</v>
      </c>
      <c r="E68">
        <v>1</v>
      </c>
    </row>
    <row r="69" spans="1:5">
      <c r="A69" t="s">
        <v>62</v>
      </c>
      <c r="B69" t="s">
        <v>76</v>
      </c>
      <c r="C69">
        <v>3</v>
      </c>
      <c r="D69">
        <v>2</v>
      </c>
      <c r="E69">
        <v>-1</v>
      </c>
    </row>
    <row r="70" spans="1:5">
      <c r="A70" t="s">
        <v>62</v>
      </c>
      <c r="B70" t="s">
        <v>75</v>
      </c>
      <c r="C70">
        <v>6</v>
      </c>
      <c r="D70">
        <v>5</v>
      </c>
      <c r="E70">
        <v>-1</v>
      </c>
    </row>
    <row r="71" spans="1:5">
      <c r="A71" t="s">
        <v>62</v>
      </c>
      <c r="B71" t="s">
        <v>80</v>
      </c>
      <c r="C71">
        <v>2</v>
      </c>
      <c r="D71">
        <v>3</v>
      </c>
      <c r="E71">
        <v>1</v>
      </c>
    </row>
    <row r="72" spans="1:5">
      <c r="A72" t="s">
        <v>62</v>
      </c>
      <c r="B72" t="s">
        <v>70</v>
      </c>
      <c r="C72">
        <v>5</v>
      </c>
      <c r="D72">
        <v>6</v>
      </c>
      <c r="E72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52"/>
  <sheetViews>
    <sheetView workbookViewId="0"/>
  </sheetViews>
  <sheetFormatPr baseColWidth="10" defaultColWidth="8.83203125" defaultRowHeight="15"/>
  <cols>
    <col min="1" max="1" width="8" customWidth="1"/>
    <col min="2" max="2" width="10" customWidth="1"/>
    <col min="3" max="3" width="14" customWidth="1"/>
    <col min="4" max="4" width="10" customWidth="1"/>
  </cols>
  <sheetData>
    <row r="1" spans="1:4">
      <c r="A1" s="1" t="s">
        <v>0</v>
      </c>
      <c r="B1" s="1" t="s">
        <v>83</v>
      </c>
      <c r="C1" s="1" t="s">
        <v>66</v>
      </c>
      <c r="D1" s="1" t="s">
        <v>67</v>
      </c>
    </row>
    <row r="2" spans="1:4">
      <c r="A2" t="s">
        <v>3</v>
      </c>
      <c r="B2" t="s">
        <v>69</v>
      </c>
      <c r="C2">
        <v>3</v>
      </c>
      <c r="D2">
        <v>2</v>
      </c>
    </row>
    <row r="3" spans="1:4">
      <c r="A3" t="s">
        <v>3</v>
      </c>
      <c r="B3" t="s">
        <v>80</v>
      </c>
      <c r="C3">
        <v>0</v>
      </c>
      <c r="D3">
        <v>0</v>
      </c>
    </row>
    <row r="4" spans="1:4">
      <c r="A4" t="s">
        <v>3</v>
      </c>
      <c r="B4" t="s">
        <v>84</v>
      </c>
      <c r="C4">
        <v>1</v>
      </c>
      <c r="D4">
        <v>1</v>
      </c>
    </row>
    <row r="5" spans="1:4">
      <c r="A5" t="s">
        <v>3</v>
      </c>
      <c r="B5" t="s">
        <v>85</v>
      </c>
      <c r="C5">
        <v>1</v>
      </c>
      <c r="D5">
        <v>1</v>
      </c>
    </row>
    <row r="6" spans="1:4">
      <c r="A6" t="s">
        <v>3</v>
      </c>
      <c r="B6" t="s">
        <v>86</v>
      </c>
      <c r="C6">
        <v>0</v>
      </c>
      <c r="D6">
        <v>0</v>
      </c>
    </row>
    <row r="7" spans="1:4">
      <c r="A7" t="s">
        <v>3</v>
      </c>
      <c r="B7" t="s">
        <v>87</v>
      </c>
      <c r="C7">
        <v>0</v>
      </c>
      <c r="D7">
        <v>0</v>
      </c>
    </row>
    <row r="8" spans="1:4">
      <c r="A8" t="s">
        <v>3</v>
      </c>
      <c r="B8" t="s">
        <v>88</v>
      </c>
      <c r="C8">
        <v>1</v>
      </c>
      <c r="D8">
        <v>1</v>
      </c>
    </row>
    <row r="9" spans="1:4">
      <c r="A9" t="s">
        <v>3</v>
      </c>
      <c r="B9" t="s">
        <v>89</v>
      </c>
      <c r="C9">
        <v>0</v>
      </c>
      <c r="D9">
        <v>0</v>
      </c>
    </row>
    <row r="10" spans="1:4">
      <c r="A10" t="s">
        <v>3</v>
      </c>
      <c r="B10" t="s">
        <v>90</v>
      </c>
      <c r="C10">
        <v>0</v>
      </c>
      <c r="D10">
        <v>0</v>
      </c>
    </row>
    <row r="11" spans="1:4">
      <c r="A11" t="s">
        <v>3</v>
      </c>
      <c r="B11" t="s">
        <v>81</v>
      </c>
      <c r="C11">
        <v>1</v>
      </c>
      <c r="D11">
        <v>1</v>
      </c>
    </row>
    <row r="12" spans="1:4">
      <c r="A12" t="s">
        <v>3</v>
      </c>
      <c r="B12" t="s">
        <v>79</v>
      </c>
      <c r="C12">
        <v>2</v>
      </c>
      <c r="D12">
        <v>2</v>
      </c>
    </row>
    <row r="13" spans="1:4">
      <c r="A13" t="s">
        <v>3</v>
      </c>
      <c r="B13" t="s">
        <v>74</v>
      </c>
      <c r="C13">
        <v>3</v>
      </c>
      <c r="D13">
        <v>3</v>
      </c>
    </row>
    <row r="14" spans="1:4">
      <c r="A14" t="s">
        <v>3</v>
      </c>
      <c r="B14" t="s">
        <v>73</v>
      </c>
      <c r="C14">
        <v>0</v>
      </c>
      <c r="D14">
        <v>0</v>
      </c>
    </row>
    <row r="15" spans="1:4">
      <c r="A15" t="s">
        <v>3</v>
      </c>
      <c r="B15" t="s">
        <v>72</v>
      </c>
      <c r="C15">
        <v>2</v>
      </c>
      <c r="D15">
        <v>2</v>
      </c>
    </row>
    <row r="16" spans="1:4">
      <c r="A16" t="s">
        <v>3</v>
      </c>
      <c r="B16" t="s">
        <v>77</v>
      </c>
      <c r="C16">
        <v>1</v>
      </c>
      <c r="D16">
        <v>1</v>
      </c>
    </row>
    <row r="17" spans="1:4">
      <c r="A17" t="s">
        <v>3</v>
      </c>
      <c r="B17" t="s">
        <v>71</v>
      </c>
      <c r="C17">
        <v>2</v>
      </c>
      <c r="D17">
        <v>4</v>
      </c>
    </row>
    <row r="18" spans="1:4">
      <c r="A18" t="s">
        <v>3</v>
      </c>
      <c r="B18" t="s">
        <v>76</v>
      </c>
      <c r="C18">
        <v>2</v>
      </c>
      <c r="D18">
        <v>2</v>
      </c>
    </row>
    <row r="19" spans="1:4">
      <c r="A19" t="s">
        <v>3</v>
      </c>
      <c r="B19" t="s">
        <v>82</v>
      </c>
      <c r="C19">
        <v>2</v>
      </c>
      <c r="D19">
        <v>2</v>
      </c>
    </row>
    <row r="20" spans="1:4">
      <c r="A20" t="s">
        <v>3</v>
      </c>
      <c r="B20" t="s">
        <v>70</v>
      </c>
      <c r="C20">
        <v>3</v>
      </c>
      <c r="D20">
        <v>2</v>
      </c>
    </row>
    <row r="21" spans="1:4">
      <c r="A21" t="s">
        <v>3</v>
      </c>
      <c r="B21" t="s">
        <v>75</v>
      </c>
      <c r="C21">
        <v>3</v>
      </c>
      <c r="D21">
        <v>3</v>
      </c>
    </row>
    <row r="22" spans="1:4">
      <c r="A22" t="s">
        <v>3</v>
      </c>
      <c r="B22" t="s">
        <v>78</v>
      </c>
      <c r="C22">
        <v>0</v>
      </c>
      <c r="D22">
        <v>0</v>
      </c>
    </row>
    <row r="23" spans="1:4">
      <c r="A23" t="s">
        <v>91</v>
      </c>
      <c r="B23" t="s">
        <v>69</v>
      </c>
      <c r="C23">
        <v>3</v>
      </c>
      <c r="D23">
        <v>3</v>
      </c>
    </row>
    <row r="24" spans="1:4">
      <c r="A24" t="s">
        <v>91</v>
      </c>
      <c r="B24" t="s">
        <v>80</v>
      </c>
      <c r="C24">
        <v>0</v>
      </c>
      <c r="D24">
        <v>0</v>
      </c>
    </row>
    <row r="25" spans="1:4">
      <c r="A25" t="s">
        <v>91</v>
      </c>
      <c r="B25" t="s">
        <v>84</v>
      </c>
      <c r="C25">
        <v>0</v>
      </c>
      <c r="D25">
        <v>0</v>
      </c>
    </row>
    <row r="26" spans="1:4">
      <c r="A26" t="s">
        <v>91</v>
      </c>
      <c r="B26" t="s">
        <v>85</v>
      </c>
      <c r="C26">
        <v>0</v>
      </c>
      <c r="D26">
        <v>0</v>
      </c>
    </row>
    <row r="27" spans="1:4">
      <c r="A27" t="s">
        <v>91</v>
      </c>
      <c r="B27" t="s">
        <v>86</v>
      </c>
      <c r="C27">
        <v>0</v>
      </c>
      <c r="D27">
        <v>0</v>
      </c>
    </row>
    <row r="28" spans="1:4">
      <c r="A28" t="s">
        <v>91</v>
      </c>
      <c r="B28" t="s">
        <v>87</v>
      </c>
      <c r="C28">
        <v>1</v>
      </c>
      <c r="D28">
        <v>1</v>
      </c>
    </row>
    <row r="29" spans="1:4">
      <c r="A29" t="s">
        <v>91</v>
      </c>
      <c r="B29" t="s">
        <v>88</v>
      </c>
      <c r="C29">
        <v>0</v>
      </c>
      <c r="D29">
        <v>0</v>
      </c>
    </row>
    <row r="30" spans="1:4">
      <c r="A30" t="s">
        <v>91</v>
      </c>
      <c r="B30" t="s">
        <v>89</v>
      </c>
      <c r="C30">
        <v>1</v>
      </c>
      <c r="D30">
        <v>1</v>
      </c>
    </row>
    <row r="31" spans="1:4">
      <c r="A31" t="s">
        <v>91</v>
      </c>
      <c r="B31" t="s">
        <v>90</v>
      </c>
      <c r="C31">
        <v>1</v>
      </c>
      <c r="D31">
        <v>1</v>
      </c>
    </row>
    <row r="32" spans="1:4">
      <c r="A32" t="s">
        <v>91</v>
      </c>
      <c r="B32" t="s">
        <v>81</v>
      </c>
      <c r="C32">
        <v>1</v>
      </c>
      <c r="D32">
        <v>1</v>
      </c>
    </row>
    <row r="33" spans="1:4">
      <c r="A33" t="s">
        <v>91</v>
      </c>
      <c r="B33" t="s">
        <v>79</v>
      </c>
      <c r="C33">
        <v>0</v>
      </c>
      <c r="D33">
        <v>0</v>
      </c>
    </row>
    <row r="34" spans="1:4">
      <c r="A34" t="s">
        <v>91</v>
      </c>
      <c r="B34" t="s">
        <v>74</v>
      </c>
      <c r="C34">
        <v>3</v>
      </c>
      <c r="D34">
        <v>3</v>
      </c>
    </row>
    <row r="35" spans="1:4">
      <c r="A35" t="s">
        <v>91</v>
      </c>
      <c r="B35" t="s">
        <v>73</v>
      </c>
      <c r="C35">
        <v>2</v>
      </c>
      <c r="D35">
        <v>2</v>
      </c>
    </row>
    <row r="36" spans="1:4">
      <c r="A36" t="s">
        <v>91</v>
      </c>
      <c r="B36" t="s">
        <v>72</v>
      </c>
      <c r="C36">
        <v>2</v>
      </c>
      <c r="D36">
        <v>2</v>
      </c>
    </row>
    <row r="37" spans="1:4">
      <c r="A37" t="s">
        <v>91</v>
      </c>
      <c r="B37" t="s">
        <v>77</v>
      </c>
      <c r="C37">
        <v>1</v>
      </c>
      <c r="D37">
        <v>1</v>
      </c>
    </row>
    <row r="38" spans="1:4">
      <c r="A38" t="s">
        <v>91</v>
      </c>
      <c r="B38" t="s">
        <v>71</v>
      </c>
      <c r="C38">
        <v>0</v>
      </c>
      <c r="D38">
        <v>0</v>
      </c>
    </row>
    <row r="39" spans="1:4">
      <c r="A39" t="s">
        <v>91</v>
      </c>
      <c r="B39" t="s">
        <v>76</v>
      </c>
      <c r="C39">
        <v>2</v>
      </c>
      <c r="D39">
        <v>2</v>
      </c>
    </row>
    <row r="40" spans="1:4">
      <c r="A40" t="s">
        <v>91</v>
      </c>
      <c r="B40" t="s">
        <v>82</v>
      </c>
      <c r="C40">
        <v>2</v>
      </c>
      <c r="D40">
        <v>2</v>
      </c>
    </row>
    <row r="41" spans="1:4">
      <c r="A41" t="s">
        <v>91</v>
      </c>
      <c r="B41" t="s">
        <v>70</v>
      </c>
      <c r="C41">
        <v>3</v>
      </c>
      <c r="D41">
        <v>3</v>
      </c>
    </row>
    <row r="42" spans="1:4">
      <c r="A42" t="s">
        <v>91</v>
      </c>
      <c r="B42" t="s">
        <v>75</v>
      </c>
      <c r="C42">
        <v>3</v>
      </c>
      <c r="D42">
        <v>3</v>
      </c>
    </row>
    <row r="43" spans="1:4">
      <c r="A43" t="s">
        <v>91</v>
      </c>
      <c r="B43" t="s">
        <v>78</v>
      </c>
      <c r="C43">
        <v>2</v>
      </c>
      <c r="D43">
        <v>2</v>
      </c>
    </row>
    <row r="44" spans="1:4">
      <c r="A44" t="s">
        <v>92</v>
      </c>
      <c r="B44" t="s">
        <v>69</v>
      </c>
      <c r="C44">
        <v>3</v>
      </c>
      <c r="D44">
        <v>3</v>
      </c>
    </row>
    <row r="45" spans="1:4">
      <c r="A45" t="s">
        <v>92</v>
      </c>
      <c r="B45" t="s">
        <v>80</v>
      </c>
      <c r="C45">
        <v>0</v>
      </c>
      <c r="D45">
        <v>0</v>
      </c>
    </row>
    <row r="46" spans="1:4">
      <c r="A46" t="s">
        <v>92</v>
      </c>
      <c r="B46" t="s">
        <v>84</v>
      </c>
      <c r="C46">
        <v>0</v>
      </c>
      <c r="D46">
        <v>0</v>
      </c>
    </row>
    <row r="47" spans="1:4">
      <c r="A47" t="s">
        <v>92</v>
      </c>
      <c r="B47" t="s">
        <v>85</v>
      </c>
      <c r="C47">
        <v>0</v>
      </c>
      <c r="D47">
        <v>0</v>
      </c>
    </row>
    <row r="48" spans="1:4">
      <c r="A48" t="s">
        <v>92</v>
      </c>
      <c r="B48" t="s">
        <v>86</v>
      </c>
      <c r="C48">
        <v>0</v>
      </c>
      <c r="D48">
        <v>0</v>
      </c>
    </row>
    <row r="49" spans="1:4">
      <c r="A49" t="s">
        <v>92</v>
      </c>
      <c r="B49" t="s">
        <v>87</v>
      </c>
      <c r="C49">
        <v>1</v>
      </c>
      <c r="D49">
        <v>1</v>
      </c>
    </row>
    <row r="50" spans="1:4">
      <c r="A50" t="s">
        <v>92</v>
      </c>
      <c r="B50" t="s">
        <v>88</v>
      </c>
      <c r="C50">
        <v>0</v>
      </c>
      <c r="D50">
        <v>0</v>
      </c>
    </row>
    <row r="51" spans="1:4">
      <c r="A51" t="s">
        <v>92</v>
      </c>
      <c r="B51" t="s">
        <v>89</v>
      </c>
      <c r="C51">
        <v>1</v>
      </c>
      <c r="D51">
        <v>1</v>
      </c>
    </row>
    <row r="52" spans="1:4">
      <c r="A52" t="s">
        <v>92</v>
      </c>
      <c r="B52" t="s">
        <v>90</v>
      </c>
      <c r="C52">
        <v>1</v>
      </c>
      <c r="D52">
        <v>1</v>
      </c>
    </row>
    <row r="53" spans="1:4">
      <c r="A53" t="s">
        <v>92</v>
      </c>
      <c r="B53" t="s">
        <v>81</v>
      </c>
      <c r="C53">
        <v>1</v>
      </c>
      <c r="D53">
        <v>1</v>
      </c>
    </row>
    <row r="54" spans="1:4">
      <c r="A54" t="s">
        <v>92</v>
      </c>
      <c r="B54" t="s">
        <v>79</v>
      </c>
      <c r="C54">
        <v>0</v>
      </c>
      <c r="D54">
        <v>0</v>
      </c>
    </row>
    <row r="55" spans="1:4">
      <c r="A55" t="s">
        <v>92</v>
      </c>
      <c r="B55" t="s">
        <v>74</v>
      </c>
      <c r="C55">
        <v>3</v>
      </c>
      <c r="D55">
        <v>3</v>
      </c>
    </row>
    <row r="56" spans="1:4">
      <c r="A56" t="s">
        <v>92</v>
      </c>
      <c r="B56" t="s">
        <v>73</v>
      </c>
      <c r="C56">
        <v>2</v>
      </c>
      <c r="D56">
        <v>2</v>
      </c>
    </row>
    <row r="57" spans="1:4">
      <c r="A57" t="s">
        <v>92</v>
      </c>
      <c r="B57" t="s">
        <v>72</v>
      </c>
      <c r="C57">
        <v>2</v>
      </c>
      <c r="D57">
        <v>2</v>
      </c>
    </row>
    <row r="58" spans="1:4">
      <c r="A58" t="s">
        <v>92</v>
      </c>
      <c r="B58" t="s">
        <v>77</v>
      </c>
      <c r="C58">
        <v>1</v>
      </c>
      <c r="D58">
        <v>1</v>
      </c>
    </row>
    <row r="59" spans="1:4">
      <c r="A59" t="s">
        <v>92</v>
      </c>
      <c r="B59" t="s">
        <v>71</v>
      </c>
      <c r="C59">
        <v>0</v>
      </c>
      <c r="D59">
        <v>0</v>
      </c>
    </row>
    <row r="60" spans="1:4">
      <c r="A60" t="s">
        <v>92</v>
      </c>
      <c r="B60" t="s">
        <v>76</v>
      </c>
      <c r="C60">
        <v>2</v>
      </c>
      <c r="D60">
        <v>2</v>
      </c>
    </row>
    <row r="61" spans="1:4">
      <c r="A61" t="s">
        <v>92</v>
      </c>
      <c r="B61" t="s">
        <v>82</v>
      </c>
      <c r="C61">
        <v>2</v>
      </c>
      <c r="D61">
        <v>2</v>
      </c>
    </row>
    <row r="62" spans="1:4">
      <c r="A62" t="s">
        <v>92</v>
      </c>
      <c r="B62" t="s">
        <v>70</v>
      </c>
      <c r="C62">
        <v>3</v>
      </c>
      <c r="D62">
        <v>3</v>
      </c>
    </row>
    <row r="63" spans="1:4">
      <c r="A63" t="s">
        <v>92</v>
      </c>
      <c r="B63" t="s">
        <v>75</v>
      </c>
      <c r="C63">
        <v>3</v>
      </c>
      <c r="D63">
        <v>3</v>
      </c>
    </row>
    <row r="64" spans="1:4">
      <c r="A64" t="s">
        <v>92</v>
      </c>
      <c r="B64" t="s">
        <v>78</v>
      </c>
      <c r="C64">
        <v>2</v>
      </c>
      <c r="D64">
        <v>2</v>
      </c>
    </row>
    <row r="65" spans="1:4">
      <c r="A65" t="s">
        <v>17</v>
      </c>
      <c r="B65" t="s">
        <v>69</v>
      </c>
      <c r="C65">
        <v>3</v>
      </c>
      <c r="D65">
        <v>3</v>
      </c>
    </row>
    <row r="66" spans="1:4">
      <c r="A66" t="s">
        <v>17</v>
      </c>
      <c r="B66" t="s">
        <v>80</v>
      </c>
      <c r="C66">
        <v>0</v>
      </c>
      <c r="D66">
        <v>0</v>
      </c>
    </row>
    <row r="67" spans="1:4">
      <c r="A67" t="s">
        <v>17</v>
      </c>
      <c r="B67" t="s">
        <v>84</v>
      </c>
      <c r="C67">
        <v>0</v>
      </c>
      <c r="D67">
        <v>0</v>
      </c>
    </row>
    <row r="68" spans="1:4">
      <c r="A68" t="s">
        <v>17</v>
      </c>
      <c r="B68" t="s">
        <v>85</v>
      </c>
      <c r="C68">
        <v>0</v>
      </c>
      <c r="D68">
        <v>0</v>
      </c>
    </row>
    <row r="69" spans="1:4">
      <c r="A69" t="s">
        <v>17</v>
      </c>
      <c r="B69" t="s">
        <v>86</v>
      </c>
      <c r="C69">
        <v>0</v>
      </c>
      <c r="D69">
        <v>0</v>
      </c>
    </row>
    <row r="70" spans="1:4">
      <c r="A70" t="s">
        <v>17</v>
      </c>
      <c r="B70" t="s">
        <v>87</v>
      </c>
      <c r="C70">
        <v>1</v>
      </c>
      <c r="D70">
        <v>1</v>
      </c>
    </row>
    <row r="71" spans="1:4">
      <c r="A71" t="s">
        <v>17</v>
      </c>
      <c r="B71" t="s">
        <v>88</v>
      </c>
      <c r="C71">
        <v>0</v>
      </c>
      <c r="D71">
        <v>0</v>
      </c>
    </row>
    <row r="72" spans="1:4">
      <c r="A72" t="s">
        <v>17</v>
      </c>
      <c r="B72" t="s">
        <v>89</v>
      </c>
      <c r="C72">
        <v>1</v>
      </c>
      <c r="D72">
        <v>1</v>
      </c>
    </row>
    <row r="73" spans="1:4">
      <c r="A73" t="s">
        <v>17</v>
      </c>
      <c r="B73" t="s">
        <v>90</v>
      </c>
      <c r="C73">
        <v>1</v>
      </c>
      <c r="D73">
        <v>1</v>
      </c>
    </row>
    <row r="74" spans="1:4">
      <c r="A74" t="s">
        <v>17</v>
      </c>
      <c r="B74" t="s">
        <v>81</v>
      </c>
      <c r="C74">
        <v>1</v>
      </c>
      <c r="D74">
        <v>1</v>
      </c>
    </row>
    <row r="75" spans="1:4">
      <c r="A75" t="s">
        <v>17</v>
      </c>
      <c r="B75" t="s">
        <v>79</v>
      </c>
      <c r="C75">
        <v>0</v>
      </c>
      <c r="D75">
        <v>0</v>
      </c>
    </row>
    <row r="76" spans="1:4">
      <c r="A76" t="s">
        <v>17</v>
      </c>
      <c r="B76" t="s">
        <v>74</v>
      </c>
      <c r="C76">
        <v>3</v>
      </c>
      <c r="D76">
        <v>3</v>
      </c>
    </row>
    <row r="77" spans="1:4">
      <c r="A77" t="s">
        <v>17</v>
      </c>
      <c r="B77" t="s">
        <v>73</v>
      </c>
      <c r="C77">
        <v>2</v>
      </c>
      <c r="D77">
        <v>2</v>
      </c>
    </row>
    <row r="78" spans="1:4">
      <c r="A78" t="s">
        <v>17</v>
      </c>
      <c r="B78" t="s">
        <v>72</v>
      </c>
      <c r="C78">
        <v>2</v>
      </c>
      <c r="D78">
        <v>3</v>
      </c>
    </row>
    <row r="79" spans="1:4">
      <c r="A79" t="s">
        <v>17</v>
      </c>
      <c r="B79" t="s">
        <v>77</v>
      </c>
      <c r="C79">
        <v>1</v>
      </c>
      <c r="D79">
        <v>1</v>
      </c>
    </row>
    <row r="80" spans="1:4">
      <c r="A80" t="s">
        <v>17</v>
      </c>
      <c r="B80" t="s">
        <v>71</v>
      </c>
      <c r="C80">
        <v>0</v>
      </c>
      <c r="D80">
        <v>0</v>
      </c>
    </row>
    <row r="81" spans="1:4">
      <c r="A81" t="s">
        <v>17</v>
      </c>
      <c r="B81" t="s">
        <v>76</v>
      </c>
      <c r="C81">
        <v>2</v>
      </c>
      <c r="D81">
        <v>2</v>
      </c>
    </row>
    <row r="82" spans="1:4">
      <c r="A82" t="s">
        <v>17</v>
      </c>
      <c r="B82" t="s">
        <v>82</v>
      </c>
      <c r="C82">
        <v>2</v>
      </c>
      <c r="D82">
        <v>2</v>
      </c>
    </row>
    <row r="83" spans="1:4">
      <c r="A83" t="s">
        <v>17</v>
      </c>
      <c r="B83" t="s">
        <v>70</v>
      </c>
      <c r="C83">
        <v>3</v>
      </c>
      <c r="D83">
        <v>3</v>
      </c>
    </row>
    <row r="84" spans="1:4">
      <c r="A84" t="s">
        <v>17</v>
      </c>
      <c r="B84" t="s">
        <v>75</v>
      </c>
      <c r="C84">
        <v>3</v>
      </c>
      <c r="D84">
        <v>2</v>
      </c>
    </row>
    <row r="85" spans="1:4">
      <c r="A85" t="s">
        <v>17</v>
      </c>
      <c r="B85" t="s">
        <v>78</v>
      </c>
      <c r="C85">
        <v>2</v>
      </c>
      <c r="D85">
        <v>2</v>
      </c>
    </row>
    <row r="86" spans="1:4">
      <c r="A86" t="s">
        <v>20</v>
      </c>
      <c r="B86" t="s">
        <v>69</v>
      </c>
      <c r="C86">
        <v>3</v>
      </c>
      <c r="D86">
        <v>3</v>
      </c>
    </row>
    <row r="87" spans="1:4">
      <c r="A87" t="s">
        <v>20</v>
      </c>
      <c r="B87" t="s">
        <v>80</v>
      </c>
      <c r="C87">
        <v>0</v>
      </c>
      <c r="D87">
        <v>0</v>
      </c>
    </row>
    <row r="88" spans="1:4">
      <c r="A88" t="s">
        <v>20</v>
      </c>
      <c r="B88" t="s">
        <v>84</v>
      </c>
      <c r="C88">
        <v>0</v>
      </c>
      <c r="D88">
        <v>0</v>
      </c>
    </row>
    <row r="89" spans="1:4">
      <c r="A89" t="s">
        <v>20</v>
      </c>
      <c r="B89" t="s">
        <v>85</v>
      </c>
      <c r="C89">
        <v>0</v>
      </c>
      <c r="D89">
        <v>1</v>
      </c>
    </row>
    <row r="90" spans="1:4">
      <c r="A90" t="s">
        <v>20</v>
      </c>
      <c r="B90" t="s">
        <v>86</v>
      </c>
      <c r="C90">
        <v>0</v>
      </c>
      <c r="D90">
        <v>0</v>
      </c>
    </row>
    <row r="91" spans="1:4">
      <c r="A91" t="s">
        <v>20</v>
      </c>
      <c r="B91" t="s">
        <v>87</v>
      </c>
      <c r="C91">
        <v>1</v>
      </c>
      <c r="D91">
        <v>0</v>
      </c>
    </row>
    <row r="92" spans="1:4">
      <c r="A92" t="s">
        <v>20</v>
      </c>
      <c r="B92" t="s">
        <v>88</v>
      </c>
      <c r="C92">
        <v>0</v>
      </c>
      <c r="D92">
        <v>0</v>
      </c>
    </row>
    <row r="93" spans="1:4">
      <c r="A93" t="s">
        <v>20</v>
      </c>
      <c r="B93" t="s">
        <v>89</v>
      </c>
      <c r="C93">
        <v>1</v>
      </c>
      <c r="D93">
        <v>1</v>
      </c>
    </row>
    <row r="94" spans="1:4">
      <c r="A94" t="s">
        <v>20</v>
      </c>
      <c r="B94" t="s">
        <v>90</v>
      </c>
      <c r="C94">
        <v>1</v>
      </c>
      <c r="D94">
        <v>1</v>
      </c>
    </row>
    <row r="95" spans="1:4">
      <c r="A95" t="s">
        <v>20</v>
      </c>
      <c r="B95" t="s">
        <v>81</v>
      </c>
      <c r="C95">
        <v>1</v>
      </c>
      <c r="D95">
        <v>1</v>
      </c>
    </row>
    <row r="96" spans="1:4">
      <c r="A96" t="s">
        <v>20</v>
      </c>
      <c r="B96" t="s">
        <v>79</v>
      </c>
      <c r="C96">
        <v>0</v>
      </c>
      <c r="D96">
        <v>0</v>
      </c>
    </row>
    <row r="97" spans="1:4">
      <c r="A97" t="s">
        <v>20</v>
      </c>
      <c r="B97" t="s">
        <v>74</v>
      </c>
      <c r="C97">
        <v>3</v>
      </c>
      <c r="D97">
        <v>3</v>
      </c>
    </row>
    <row r="98" spans="1:4">
      <c r="A98" t="s">
        <v>20</v>
      </c>
      <c r="B98" t="s">
        <v>73</v>
      </c>
      <c r="C98">
        <v>2</v>
      </c>
      <c r="D98">
        <v>2</v>
      </c>
    </row>
    <row r="99" spans="1:4">
      <c r="A99" t="s">
        <v>20</v>
      </c>
      <c r="B99" t="s">
        <v>72</v>
      </c>
      <c r="C99">
        <v>2</v>
      </c>
      <c r="D99">
        <v>2</v>
      </c>
    </row>
    <row r="100" spans="1:4">
      <c r="A100" t="s">
        <v>20</v>
      </c>
      <c r="B100" t="s">
        <v>77</v>
      </c>
      <c r="C100">
        <v>1</v>
      </c>
      <c r="D100">
        <v>2</v>
      </c>
    </row>
    <row r="101" spans="1:4">
      <c r="A101" t="s">
        <v>20</v>
      </c>
      <c r="B101" t="s">
        <v>71</v>
      </c>
      <c r="C101">
        <v>0</v>
      </c>
      <c r="D101">
        <v>0</v>
      </c>
    </row>
    <row r="102" spans="1:4">
      <c r="A102" t="s">
        <v>20</v>
      </c>
      <c r="B102" t="s">
        <v>76</v>
      </c>
      <c r="C102">
        <v>2</v>
      </c>
      <c r="D102">
        <v>1</v>
      </c>
    </row>
    <row r="103" spans="1:4">
      <c r="A103" t="s">
        <v>20</v>
      </c>
      <c r="B103" t="s">
        <v>82</v>
      </c>
      <c r="C103">
        <v>2</v>
      </c>
      <c r="D103">
        <v>2</v>
      </c>
    </row>
    <row r="104" spans="1:4">
      <c r="A104" t="s">
        <v>20</v>
      </c>
      <c r="B104" t="s">
        <v>70</v>
      </c>
      <c r="C104">
        <v>3</v>
      </c>
      <c r="D104">
        <v>3</v>
      </c>
    </row>
    <row r="105" spans="1:4">
      <c r="A105" t="s">
        <v>20</v>
      </c>
      <c r="B105" t="s">
        <v>75</v>
      </c>
      <c r="C105">
        <v>3</v>
      </c>
      <c r="D105">
        <v>3</v>
      </c>
    </row>
    <row r="106" spans="1:4">
      <c r="A106" t="s">
        <v>20</v>
      </c>
      <c r="B106" t="s">
        <v>78</v>
      </c>
      <c r="C106">
        <v>2</v>
      </c>
      <c r="D106">
        <v>2</v>
      </c>
    </row>
    <row r="107" spans="1:4">
      <c r="A107" t="s">
        <v>23</v>
      </c>
      <c r="B107" t="s">
        <v>69</v>
      </c>
      <c r="C107">
        <v>3</v>
      </c>
      <c r="D107">
        <v>3</v>
      </c>
    </row>
    <row r="108" spans="1:4">
      <c r="A108" t="s">
        <v>23</v>
      </c>
      <c r="B108" t="s">
        <v>80</v>
      </c>
      <c r="C108">
        <v>2</v>
      </c>
      <c r="D108">
        <v>2</v>
      </c>
    </row>
    <row r="109" spans="1:4">
      <c r="A109" t="s">
        <v>23</v>
      </c>
      <c r="B109" t="s">
        <v>84</v>
      </c>
      <c r="C109">
        <v>0</v>
      </c>
      <c r="D109">
        <v>0</v>
      </c>
    </row>
    <row r="110" spans="1:4">
      <c r="A110" t="s">
        <v>23</v>
      </c>
      <c r="B110" t="s">
        <v>85</v>
      </c>
      <c r="C110">
        <v>1</v>
      </c>
      <c r="D110">
        <v>1</v>
      </c>
    </row>
    <row r="111" spans="1:4">
      <c r="A111" t="s">
        <v>23</v>
      </c>
      <c r="B111" t="s">
        <v>86</v>
      </c>
      <c r="C111">
        <v>1</v>
      </c>
      <c r="D111">
        <v>1</v>
      </c>
    </row>
    <row r="112" spans="1:4">
      <c r="A112" t="s">
        <v>23</v>
      </c>
      <c r="B112" t="s">
        <v>87</v>
      </c>
      <c r="C112">
        <v>0</v>
      </c>
      <c r="D112">
        <v>0</v>
      </c>
    </row>
    <row r="113" spans="1:4">
      <c r="A113" t="s">
        <v>23</v>
      </c>
      <c r="B113" t="s">
        <v>88</v>
      </c>
      <c r="C113">
        <v>1</v>
      </c>
      <c r="D113">
        <v>1</v>
      </c>
    </row>
    <row r="114" spans="1:4">
      <c r="A114" t="s">
        <v>23</v>
      </c>
      <c r="B114" t="s">
        <v>89</v>
      </c>
      <c r="C114">
        <v>0</v>
      </c>
      <c r="D114">
        <v>0</v>
      </c>
    </row>
    <row r="115" spans="1:4">
      <c r="A115" t="s">
        <v>23</v>
      </c>
      <c r="B115" t="s">
        <v>90</v>
      </c>
      <c r="C115">
        <v>0</v>
      </c>
      <c r="D115">
        <v>0</v>
      </c>
    </row>
    <row r="116" spans="1:4">
      <c r="A116" t="s">
        <v>23</v>
      </c>
      <c r="B116" t="s">
        <v>81</v>
      </c>
      <c r="C116">
        <v>1</v>
      </c>
      <c r="D116">
        <v>1</v>
      </c>
    </row>
    <row r="117" spans="1:4">
      <c r="A117" t="s">
        <v>23</v>
      </c>
      <c r="B117" t="s">
        <v>79</v>
      </c>
      <c r="C117">
        <v>0</v>
      </c>
      <c r="D117">
        <v>0</v>
      </c>
    </row>
    <row r="118" spans="1:4">
      <c r="A118" t="s">
        <v>23</v>
      </c>
      <c r="B118" t="s">
        <v>74</v>
      </c>
      <c r="C118">
        <v>3</v>
      </c>
      <c r="D118">
        <v>3</v>
      </c>
    </row>
    <row r="119" spans="1:4">
      <c r="A119" t="s">
        <v>23</v>
      </c>
      <c r="B119" t="s">
        <v>73</v>
      </c>
      <c r="C119">
        <v>0</v>
      </c>
      <c r="D119">
        <v>0</v>
      </c>
    </row>
    <row r="120" spans="1:4">
      <c r="A120" t="s">
        <v>23</v>
      </c>
      <c r="B120" t="s">
        <v>72</v>
      </c>
      <c r="C120">
        <v>2</v>
      </c>
      <c r="D120">
        <v>2</v>
      </c>
    </row>
    <row r="121" spans="1:4">
      <c r="A121" t="s">
        <v>23</v>
      </c>
      <c r="B121" t="s">
        <v>77</v>
      </c>
      <c r="C121">
        <v>1</v>
      </c>
      <c r="D121">
        <v>1</v>
      </c>
    </row>
    <row r="122" spans="1:4">
      <c r="A122" t="s">
        <v>23</v>
      </c>
      <c r="B122" t="s">
        <v>71</v>
      </c>
      <c r="C122">
        <v>2</v>
      </c>
      <c r="D122">
        <v>2</v>
      </c>
    </row>
    <row r="123" spans="1:4">
      <c r="A123" t="s">
        <v>23</v>
      </c>
      <c r="B123" t="s">
        <v>76</v>
      </c>
      <c r="C123">
        <v>2</v>
      </c>
      <c r="D123">
        <v>1</v>
      </c>
    </row>
    <row r="124" spans="1:4">
      <c r="A124" t="s">
        <v>23</v>
      </c>
      <c r="B124" t="s">
        <v>82</v>
      </c>
      <c r="C124">
        <v>2</v>
      </c>
      <c r="D124">
        <v>2</v>
      </c>
    </row>
    <row r="125" spans="1:4">
      <c r="A125" t="s">
        <v>23</v>
      </c>
      <c r="B125" t="s">
        <v>70</v>
      </c>
      <c r="C125">
        <v>3</v>
      </c>
      <c r="D125">
        <v>3</v>
      </c>
    </row>
    <row r="126" spans="1:4">
      <c r="A126" t="s">
        <v>23</v>
      </c>
      <c r="B126" t="s">
        <v>75</v>
      </c>
      <c r="C126">
        <v>3</v>
      </c>
      <c r="D126">
        <v>4</v>
      </c>
    </row>
    <row r="127" spans="1:4">
      <c r="A127" t="s">
        <v>23</v>
      </c>
      <c r="B127" t="s">
        <v>78</v>
      </c>
      <c r="C127">
        <v>0</v>
      </c>
      <c r="D127">
        <v>0</v>
      </c>
    </row>
    <row r="128" spans="1:4">
      <c r="A128" t="s">
        <v>26</v>
      </c>
      <c r="B128" t="s">
        <v>69</v>
      </c>
      <c r="C128">
        <v>3</v>
      </c>
      <c r="D128">
        <v>3</v>
      </c>
    </row>
    <row r="129" spans="1:4">
      <c r="A129" t="s">
        <v>26</v>
      </c>
      <c r="B129" t="s">
        <v>80</v>
      </c>
      <c r="C129">
        <v>2</v>
      </c>
      <c r="D129">
        <v>2</v>
      </c>
    </row>
    <row r="130" spans="1:4">
      <c r="A130" t="s">
        <v>26</v>
      </c>
      <c r="B130" t="s">
        <v>84</v>
      </c>
      <c r="C130">
        <v>0</v>
      </c>
      <c r="D130">
        <v>0</v>
      </c>
    </row>
    <row r="131" spans="1:4">
      <c r="A131" t="s">
        <v>26</v>
      </c>
      <c r="B131" t="s">
        <v>85</v>
      </c>
      <c r="C131">
        <v>1</v>
      </c>
      <c r="D131">
        <v>0</v>
      </c>
    </row>
    <row r="132" spans="1:4">
      <c r="A132" t="s">
        <v>26</v>
      </c>
      <c r="B132" t="s">
        <v>86</v>
      </c>
      <c r="C132">
        <v>1</v>
      </c>
      <c r="D132">
        <v>1</v>
      </c>
    </row>
    <row r="133" spans="1:4">
      <c r="A133" t="s">
        <v>26</v>
      </c>
      <c r="B133" t="s">
        <v>87</v>
      </c>
      <c r="C133">
        <v>0</v>
      </c>
      <c r="D133">
        <v>0</v>
      </c>
    </row>
    <row r="134" spans="1:4">
      <c r="A134" t="s">
        <v>26</v>
      </c>
      <c r="B134" t="s">
        <v>88</v>
      </c>
      <c r="C134">
        <v>1</v>
      </c>
      <c r="D134">
        <v>1</v>
      </c>
    </row>
    <row r="135" spans="1:4">
      <c r="A135" t="s">
        <v>26</v>
      </c>
      <c r="B135" t="s">
        <v>89</v>
      </c>
      <c r="C135">
        <v>0</v>
      </c>
      <c r="D135">
        <v>1</v>
      </c>
    </row>
    <row r="136" spans="1:4">
      <c r="A136" t="s">
        <v>26</v>
      </c>
      <c r="B136" t="s">
        <v>90</v>
      </c>
      <c r="C136">
        <v>0</v>
      </c>
      <c r="D136">
        <v>0</v>
      </c>
    </row>
    <row r="137" spans="1:4">
      <c r="A137" t="s">
        <v>26</v>
      </c>
      <c r="B137" t="s">
        <v>81</v>
      </c>
      <c r="C137">
        <v>1</v>
      </c>
      <c r="D137">
        <v>1</v>
      </c>
    </row>
    <row r="138" spans="1:4">
      <c r="A138" t="s">
        <v>26</v>
      </c>
      <c r="B138" t="s">
        <v>79</v>
      </c>
      <c r="C138">
        <v>0</v>
      </c>
      <c r="D138">
        <v>0</v>
      </c>
    </row>
    <row r="139" spans="1:4">
      <c r="A139" t="s">
        <v>26</v>
      </c>
      <c r="B139" t="s">
        <v>74</v>
      </c>
      <c r="C139">
        <v>3</v>
      </c>
      <c r="D139">
        <v>3</v>
      </c>
    </row>
    <row r="140" spans="1:4">
      <c r="A140" t="s">
        <v>26</v>
      </c>
      <c r="B140" t="s">
        <v>73</v>
      </c>
      <c r="C140">
        <v>0</v>
      </c>
      <c r="D140">
        <v>0</v>
      </c>
    </row>
    <row r="141" spans="1:4">
      <c r="A141" t="s">
        <v>26</v>
      </c>
      <c r="B141" t="s">
        <v>72</v>
      </c>
      <c r="C141">
        <v>2</v>
      </c>
      <c r="D141">
        <v>2</v>
      </c>
    </row>
    <row r="142" spans="1:4">
      <c r="A142" t="s">
        <v>26</v>
      </c>
      <c r="B142" t="s">
        <v>77</v>
      </c>
      <c r="C142">
        <v>1</v>
      </c>
      <c r="D142">
        <v>1</v>
      </c>
    </row>
    <row r="143" spans="1:4">
      <c r="A143" t="s">
        <v>26</v>
      </c>
      <c r="B143" t="s">
        <v>71</v>
      </c>
      <c r="C143">
        <v>2</v>
      </c>
      <c r="D143">
        <v>2</v>
      </c>
    </row>
    <row r="144" spans="1:4">
      <c r="A144" t="s">
        <v>26</v>
      </c>
      <c r="B144" t="s">
        <v>76</v>
      </c>
      <c r="C144">
        <v>2</v>
      </c>
      <c r="D144">
        <v>3</v>
      </c>
    </row>
    <row r="145" spans="1:4">
      <c r="A145" t="s">
        <v>26</v>
      </c>
      <c r="B145" t="s">
        <v>82</v>
      </c>
      <c r="C145">
        <v>2</v>
      </c>
      <c r="D145">
        <v>2</v>
      </c>
    </row>
    <row r="146" spans="1:4">
      <c r="A146" t="s">
        <v>26</v>
      </c>
      <c r="B146" t="s">
        <v>70</v>
      </c>
      <c r="C146">
        <v>3</v>
      </c>
      <c r="D146">
        <v>3</v>
      </c>
    </row>
    <row r="147" spans="1:4">
      <c r="A147" t="s">
        <v>26</v>
      </c>
      <c r="B147" t="s">
        <v>75</v>
      </c>
      <c r="C147">
        <v>3</v>
      </c>
      <c r="D147">
        <v>2</v>
      </c>
    </row>
    <row r="148" spans="1:4">
      <c r="A148" t="s">
        <v>26</v>
      </c>
      <c r="B148" t="s">
        <v>78</v>
      </c>
      <c r="C148">
        <v>0</v>
      </c>
      <c r="D148">
        <v>0</v>
      </c>
    </row>
    <row r="149" spans="1:4">
      <c r="A149" t="s">
        <v>93</v>
      </c>
      <c r="B149" t="s">
        <v>69</v>
      </c>
      <c r="C149">
        <v>3</v>
      </c>
      <c r="D149">
        <v>3</v>
      </c>
    </row>
    <row r="150" spans="1:4">
      <c r="A150" t="s">
        <v>93</v>
      </c>
      <c r="B150" t="s">
        <v>80</v>
      </c>
      <c r="C150">
        <v>2</v>
      </c>
      <c r="D150">
        <v>2</v>
      </c>
    </row>
    <row r="151" spans="1:4">
      <c r="A151" t="s">
        <v>93</v>
      </c>
      <c r="B151" t="s">
        <v>84</v>
      </c>
      <c r="C151">
        <v>1</v>
      </c>
      <c r="D151">
        <v>1</v>
      </c>
    </row>
    <row r="152" spans="1:4">
      <c r="A152" t="s">
        <v>93</v>
      </c>
      <c r="B152" t="s">
        <v>85</v>
      </c>
      <c r="C152">
        <v>0</v>
      </c>
      <c r="D152">
        <v>0</v>
      </c>
    </row>
    <row r="153" spans="1:4">
      <c r="A153" t="s">
        <v>93</v>
      </c>
      <c r="B153" t="s">
        <v>86</v>
      </c>
      <c r="C153">
        <v>1</v>
      </c>
      <c r="D153">
        <v>1</v>
      </c>
    </row>
    <row r="154" spans="1:4">
      <c r="A154" t="s">
        <v>93</v>
      </c>
      <c r="B154" t="s">
        <v>87</v>
      </c>
      <c r="C154">
        <v>0</v>
      </c>
      <c r="D154">
        <v>0</v>
      </c>
    </row>
    <row r="155" spans="1:4">
      <c r="A155" t="s">
        <v>93</v>
      </c>
      <c r="B155" t="s">
        <v>88</v>
      </c>
      <c r="C155">
        <v>1</v>
      </c>
      <c r="D155">
        <v>1</v>
      </c>
    </row>
    <row r="156" spans="1:4">
      <c r="A156" t="s">
        <v>93</v>
      </c>
      <c r="B156" t="s">
        <v>89</v>
      </c>
      <c r="C156">
        <v>0</v>
      </c>
      <c r="D156">
        <v>0</v>
      </c>
    </row>
    <row r="157" spans="1:4">
      <c r="A157" t="s">
        <v>93</v>
      </c>
      <c r="B157" t="s">
        <v>90</v>
      </c>
      <c r="C157">
        <v>0</v>
      </c>
      <c r="D157">
        <v>0</v>
      </c>
    </row>
    <row r="158" spans="1:4">
      <c r="A158" t="s">
        <v>93</v>
      </c>
      <c r="B158" t="s">
        <v>81</v>
      </c>
      <c r="C158">
        <v>1</v>
      </c>
      <c r="D158">
        <v>1</v>
      </c>
    </row>
    <row r="159" spans="1:4">
      <c r="A159" t="s">
        <v>93</v>
      </c>
      <c r="B159" t="s">
        <v>79</v>
      </c>
      <c r="C159">
        <v>2</v>
      </c>
      <c r="D159">
        <v>2</v>
      </c>
    </row>
    <row r="160" spans="1:4">
      <c r="A160" t="s">
        <v>93</v>
      </c>
      <c r="B160" t="s">
        <v>74</v>
      </c>
      <c r="C160">
        <v>3</v>
      </c>
      <c r="D160">
        <v>3</v>
      </c>
    </row>
    <row r="161" spans="1:4">
      <c r="A161" t="s">
        <v>93</v>
      </c>
      <c r="B161" t="s">
        <v>73</v>
      </c>
      <c r="C161">
        <v>0</v>
      </c>
      <c r="D161">
        <v>0</v>
      </c>
    </row>
    <row r="162" spans="1:4">
      <c r="A162" t="s">
        <v>93</v>
      </c>
      <c r="B162" t="s">
        <v>72</v>
      </c>
      <c r="C162">
        <v>0</v>
      </c>
      <c r="D162">
        <v>0</v>
      </c>
    </row>
    <row r="163" spans="1:4">
      <c r="A163" t="s">
        <v>93</v>
      </c>
      <c r="B163" t="s">
        <v>77</v>
      </c>
      <c r="C163">
        <v>1</v>
      </c>
      <c r="D163">
        <v>1</v>
      </c>
    </row>
    <row r="164" spans="1:4">
      <c r="A164" t="s">
        <v>93</v>
      </c>
      <c r="B164" t="s">
        <v>71</v>
      </c>
      <c r="C164">
        <v>2</v>
      </c>
      <c r="D164">
        <v>2</v>
      </c>
    </row>
    <row r="165" spans="1:4">
      <c r="A165" t="s">
        <v>93</v>
      </c>
      <c r="B165" t="s">
        <v>76</v>
      </c>
      <c r="C165">
        <v>2</v>
      </c>
      <c r="D165">
        <v>2</v>
      </c>
    </row>
    <row r="166" spans="1:4">
      <c r="A166" t="s">
        <v>93</v>
      </c>
      <c r="B166" t="s">
        <v>82</v>
      </c>
      <c r="C166">
        <v>2</v>
      </c>
      <c r="D166">
        <v>2</v>
      </c>
    </row>
    <row r="167" spans="1:4">
      <c r="A167" t="s">
        <v>93</v>
      </c>
      <c r="B167" t="s">
        <v>70</v>
      </c>
      <c r="C167">
        <v>3</v>
      </c>
      <c r="D167">
        <v>3</v>
      </c>
    </row>
    <row r="168" spans="1:4">
      <c r="A168" t="s">
        <v>93</v>
      </c>
      <c r="B168" t="s">
        <v>75</v>
      </c>
      <c r="C168">
        <v>3</v>
      </c>
      <c r="D168">
        <v>3</v>
      </c>
    </row>
    <row r="169" spans="1:4">
      <c r="A169" t="s">
        <v>93</v>
      </c>
      <c r="B169" t="s">
        <v>78</v>
      </c>
      <c r="C169">
        <v>0</v>
      </c>
      <c r="D169">
        <v>0</v>
      </c>
    </row>
    <row r="170" spans="1:4">
      <c r="A170" t="s">
        <v>28</v>
      </c>
      <c r="B170" t="s">
        <v>69</v>
      </c>
      <c r="C170">
        <v>3</v>
      </c>
      <c r="D170">
        <v>3</v>
      </c>
    </row>
    <row r="171" spans="1:4">
      <c r="A171" t="s">
        <v>28</v>
      </c>
      <c r="B171" t="s">
        <v>80</v>
      </c>
      <c r="C171">
        <v>2</v>
      </c>
      <c r="D171">
        <v>2</v>
      </c>
    </row>
    <row r="172" spans="1:4">
      <c r="A172" t="s">
        <v>28</v>
      </c>
      <c r="B172" t="s">
        <v>84</v>
      </c>
      <c r="C172">
        <v>1</v>
      </c>
      <c r="D172">
        <v>1</v>
      </c>
    </row>
    <row r="173" spans="1:4">
      <c r="A173" t="s">
        <v>28</v>
      </c>
      <c r="B173" t="s">
        <v>85</v>
      </c>
      <c r="C173">
        <v>0</v>
      </c>
      <c r="D173">
        <v>0</v>
      </c>
    </row>
    <row r="174" spans="1:4">
      <c r="A174" t="s">
        <v>28</v>
      </c>
      <c r="B174" t="s">
        <v>86</v>
      </c>
      <c r="C174">
        <v>1</v>
      </c>
      <c r="D174">
        <v>1</v>
      </c>
    </row>
    <row r="175" spans="1:4">
      <c r="A175" t="s">
        <v>28</v>
      </c>
      <c r="B175" t="s">
        <v>87</v>
      </c>
      <c r="C175">
        <v>0</v>
      </c>
      <c r="D175">
        <v>0</v>
      </c>
    </row>
    <row r="176" spans="1:4">
      <c r="A176" t="s">
        <v>28</v>
      </c>
      <c r="B176" t="s">
        <v>88</v>
      </c>
      <c r="C176">
        <v>1</v>
      </c>
      <c r="D176">
        <v>1</v>
      </c>
    </row>
    <row r="177" spans="1:4">
      <c r="A177" t="s">
        <v>28</v>
      </c>
      <c r="B177" t="s">
        <v>89</v>
      </c>
      <c r="C177">
        <v>0</v>
      </c>
      <c r="D177">
        <v>0</v>
      </c>
    </row>
    <row r="178" spans="1:4">
      <c r="A178" t="s">
        <v>28</v>
      </c>
      <c r="B178" t="s">
        <v>90</v>
      </c>
      <c r="C178">
        <v>0</v>
      </c>
      <c r="D178">
        <v>0</v>
      </c>
    </row>
    <row r="179" spans="1:4">
      <c r="A179" t="s">
        <v>28</v>
      </c>
      <c r="B179" t="s">
        <v>81</v>
      </c>
      <c r="C179">
        <v>1</v>
      </c>
      <c r="D179">
        <v>1</v>
      </c>
    </row>
    <row r="180" spans="1:4">
      <c r="A180" t="s">
        <v>28</v>
      </c>
      <c r="B180" t="s">
        <v>79</v>
      </c>
      <c r="C180">
        <v>2</v>
      </c>
      <c r="D180">
        <v>2</v>
      </c>
    </row>
    <row r="181" spans="1:4">
      <c r="A181" t="s">
        <v>28</v>
      </c>
      <c r="B181" t="s">
        <v>74</v>
      </c>
      <c r="C181">
        <v>3</v>
      </c>
      <c r="D181">
        <v>3</v>
      </c>
    </row>
    <row r="182" spans="1:4">
      <c r="A182" t="s">
        <v>28</v>
      </c>
      <c r="B182" t="s">
        <v>73</v>
      </c>
      <c r="C182">
        <v>0</v>
      </c>
      <c r="D182">
        <v>0</v>
      </c>
    </row>
    <row r="183" spans="1:4">
      <c r="A183" t="s">
        <v>28</v>
      </c>
      <c r="B183" t="s">
        <v>72</v>
      </c>
      <c r="C183">
        <v>0</v>
      </c>
      <c r="D183">
        <v>0</v>
      </c>
    </row>
    <row r="184" spans="1:4">
      <c r="A184" t="s">
        <v>28</v>
      </c>
      <c r="B184" t="s">
        <v>77</v>
      </c>
      <c r="C184">
        <v>1</v>
      </c>
      <c r="D184">
        <v>1</v>
      </c>
    </row>
    <row r="185" spans="1:4">
      <c r="A185" t="s">
        <v>28</v>
      </c>
      <c r="B185" t="s">
        <v>71</v>
      </c>
      <c r="C185">
        <v>2</v>
      </c>
      <c r="D185">
        <v>1</v>
      </c>
    </row>
    <row r="186" spans="1:4">
      <c r="A186" t="s">
        <v>28</v>
      </c>
      <c r="B186" t="s">
        <v>76</v>
      </c>
      <c r="C186">
        <v>2</v>
      </c>
      <c r="D186">
        <v>2</v>
      </c>
    </row>
    <row r="187" spans="1:4">
      <c r="A187" t="s">
        <v>28</v>
      </c>
      <c r="B187" t="s">
        <v>82</v>
      </c>
      <c r="C187">
        <v>2</v>
      </c>
      <c r="D187">
        <v>2</v>
      </c>
    </row>
    <row r="188" spans="1:4">
      <c r="A188" t="s">
        <v>28</v>
      </c>
      <c r="B188" t="s">
        <v>70</v>
      </c>
      <c r="C188">
        <v>3</v>
      </c>
      <c r="D188">
        <v>3</v>
      </c>
    </row>
    <row r="189" spans="1:4">
      <c r="A189" t="s">
        <v>28</v>
      </c>
      <c r="B189" t="s">
        <v>75</v>
      </c>
      <c r="C189">
        <v>3</v>
      </c>
      <c r="D189">
        <v>4</v>
      </c>
    </row>
    <row r="190" spans="1:4">
      <c r="A190" t="s">
        <v>28</v>
      </c>
      <c r="B190" t="s">
        <v>78</v>
      </c>
      <c r="C190">
        <v>0</v>
      </c>
      <c r="D190">
        <v>0</v>
      </c>
    </row>
    <row r="191" spans="1:4">
      <c r="A191" t="s">
        <v>30</v>
      </c>
      <c r="B191" t="s">
        <v>69</v>
      </c>
      <c r="C191">
        <v>3</v>
      </c>
      <c r="D191">
        <v>3</v>
      </c>
    </row>
    <row r="192" spans="1:4">
      <c r="A192" t="s">
        <v>30</v>
      </c>
      <c r="B192" t="s">
        <v>80</v>
      </c>
      <c r="C192">
        <v>0</v>
      </c>
      <c r="D192">
        <v>0</v>
      </c>
    </row>
    <row r="193" spans="1:4">
      <c r="A193" t="s">
        <v>30</v>
      </c>
      <c r="B193" t="s">
        <v>84</v>
      </c>
      <c r="C193">
        <v>0</v>
      </c>
      <c r="D193">
        <v>0</v>
      </c>
    </row>
    <row r="194" spans="1:4">
      <c r="A194" t="s">
        <v>30</v>
      </c>
      <c r="B194" t="s">
        <v>85</v>
      </c>
      <c r="C194">
        <v>0</v>
      </c>
      <c r="D194">
        <v>0</v>
      </c>
    </row>
    <row r="195" spans="1:4">
      <c r="A195" t="s">
        <v>30</v>
      </c>
      <c r="B195" t="s">
        <v>86</v>
      </c>
      <c r="C195">
        <v>1</v>
      </c>
      <c r="D195">
        <v>1</v>
      </c>
    </row>
    <row r="196" spans="1:4">
      <c r="A196" t="s">
        <v>30</v>
      </c>
      <c r="B196" t="s">
        <v>87</v>
      </c>
      <c r="C196">
        <v>0</v>
      </c>
      <c r="D196">
        <v>0</v>
      </c>
    </row>
    <row r="197" spans="1:4">
      <c r="A197" t="s">
        <v>30</v>
      </c>
      <c r="B197" t="s">
        <v>88</v>
      </c>
      <c r="C197">
        <v>1</v>
      </c>
      <c r="D197">
        <v>0</v>
      </c>
    </row>
    <row r="198" spans="1:4">
      <c r="A198" t="s">
        <v>30</v>
      </c>
      <c r="B198" t="s">
        <v>89</v>
      </c>
      <c r="C198">
        <v>1</v>
      </c>
      <c r="D198">
        <v>1</v>
      </c>
    </row>
    <row r="199" spans="1:4">
      <c r="A199" t="s">
        <v>30</v>
      </c>
      <c r="B199" t="s">
        <v>90</v>
      </c>
      <c r="C199">
        <v>0</v>
      </c>
      <c r="D199">
        <v>1</v>
      </c>
    </row>
    <row r="200" spans="1:4">
      <c r="A200" t="s">
        <v>30</v>
      </c>
      <c r="B200" t="s">
        <v>81</v>
      </c>
      <c r="C200">
        <v>1</v>
      </c>
      <c r="D200">
        <v>1</v>
      </c>
    </row>
    <row r="201" spans="1:4">
      <c r="A201" t="s">
        <v>30</v>
      </c>
      <c r="B201" t="s">
        <v>79</v>
      </c>
      <c r="C201">
        <v>0</v>
      </c>
      <c r="D201">
        <v>0</v>
      </c>
    </row>
    <row r="202" spans="1:4">
      <c r="A202" t="s">
        <v>30</v>
      </c>
      <c r="B202" t="s">
        <v>74</v>
      </c>
      <c r="C202">
        <v>3</v>
      </c>
      <c r="D202">
        <v>3</v>
      </c>
    </row>
    <row r="203" spans="1:4">
      <c r="A203" t="s">
        <v>30</v>
      </c>
      <c r="B203" t="s">
        <v>73</v>
      </c>
      <c r="C203">
        <v>2</v>
      </c>
      <c r="D203">
        <v>2</v>
      </c>
    </row>
    <row r="204" spans="1:4">
      <c r="A204" t="s">
        <v>30</v>
      </c>
      <c r="B204" t="s">
        <v>72</v>
      </c>
      <c r="C204">
        <v>0</v>
      </c>
      <c r="D204">
        <v>0</v>
      </c>
    </row>
    <row r="205" spans="1:4">
      <c r="A205" t="s">
        <v>30</v>
      </c>
      <c r="B205" t="s">
        <v>77</v>
      </c>
      <c r="C205">
        <v>1</v>
      </c>
      <c r="D205">
        <v>1</v>
      </c>
    </row>
    <row r="206" spans="1:4">
      <c r="A206" t="s">
        <v>30</v>
      </c>
      <c r="B206" t="s">
        <v>71</v>
      </c>
      <c r="C206">
        <v>2</v>
      </c>
      <c r="D206">
        <v>2</v>
      </c>
    </row>
    <row r="207" spans="1:4">
      <c r="A207" t="s">
        <v>30</v>
      </c>
      <c r="B207" t="s">
        <v>76</v>
      </c>
      <c r="C207">
        <v>2</v>
      </c>
      <c r="D207">
        <v>2</v>
      </c>
    </row>
    <row r="208" spans="1:4">
      <c r="A208" t="s">
        <v>30</v>
      </c>
      <c r="B208" t="s">
        <v>82</v>
      </c>
      <c r="C208">
        <v>2</v>
      </c>
      <c r="D208">
        <v>2</v>
      </c>
    </row>
    <row r="209" spans="1:4">
      <c r="A209" t="s">
        <v>30</v>
      </c>
      <c r="B209" t="s">
        <v>70</v>
      </c>
      <c r="C209">
        <v>3</v>
      </c>
      <c r="D209">
        <v>3</v>
      </c>
    </row>
    <row r="210" spans="1:4">
      <c r="A210" t="s">
        <v>30</v>
      </c>
      <c r="B210" t="s">
        <v>75</v>
      </c>
      <c r="C210">
        <v>3</v>
      </c>
      <c r="D210">
        <v>3</v>
      </c>
    </row>
    <row r="211" spans="1:4">
      <c r="A211" t="s">
        <v>30</v>
      </c>
      <c r="B211" t="s">
        <v>78</v>
      </c>
      <c r="C211">
        <v>2</v>
      </c>
      <c r="D211">
        <v>2</v>
      </c>
    </row>
    <row r="212" spans="1:4">
      <c r="A212" t="s">
        <v>33</v>
      </c>
      <c r="B212" t="s">
        <v>69</v>
      </c>
      <c r="C212">
        <v>3</v>
      </c>
      <c r="D212">
        <v>3</v>
      </c>
    </row>
    <row r="213" spans="1:4">
      <c r="A213" t="s">
        <v>33</v>
      </c>
      <c r="B213" t="s">
        <v>80</v>
      </c>
      <c r="C213">
        <v>0</v>
      </c>
      <c r="D213">
        <v>0</v>
      </c>
    </row>
    <row r="214" spans="1:4">
      <c r="A214" t="s">
        <v>33</v>
      </c>
      <c r="B214" t="s">
        <v>84</v>
      </c>
      <c r="C214">
        <v>0</v>
      </c>
      <c r="D214">
        <v>0</v>
      </c>
    </row>
    <row r="215" spans="1:4">
      <c r="A215" t="s">
        <v>33</v>
      </c>
      <c r="B215" t="s">
        <v>85</v>
      </c>
      <c r="C215">
        <v>0</v>
      </c>
      <c r="D215">
        <v>0</v>
      </c>
    </row>
    <row r="216" spans="1:4">
      <c r="A216" t="s">
        <v>33</v>
      </c>
      <c r="B216" t="s">
        <v>86</v>
      </c>
      <c r="C216">
        <v>1</v>
      </c>
      <c r="D216">
        <v>1</v>
      </c>
    </row>
    <row r="217" spans="1:4">
      <c r="A217" t="s">
        <v>33</v>
      </c>
      <c r="B217" t="s">
        <v>87</v>
      </c>
      <c r="C217">
        <v>0</v>
      </c>
      <c r="D217">
        <v>0</v>
      </c>
    </row>
    <row r="218" spans="1:4">
      <c r="A218" t="s">
        <v>33</v>
      </c>
      <c r="B218" t="s">
        <v>88</v>
      </c>
      <c r="C218">
        <v>1</v>
      </c>
      <c r="D218">
        <v>0</v>
      </c>
    </row>
    <row r="219" spans="1:4">
      <c r="A219" t="s">
        <v>33</v>
      </c>
      <c r="B219" t="s">
        <v>89</v>
      </c>
      <c r="C219">
        <v>1</v>
      </c>
      <c r="D219">
        <v>1</v>
      </c>
    </row>
    <row r="220" spans="1:4">
      <c r="A220" t="s">
        <v>33</v>
      </c>
      <c r="B220" t="s">
        <v>90</v>
      </c>
      <c r="C220">
        <v>0</v>
      </c>
      <c r="D220">
        <v>1</v>
      </c>
    </row>
    <row r="221" spans="1:4">
      <c r="A221" t="s">
        <v>33</v>
      </c>
      <c r="B221" t="s">
        <v>81</v>
      </c>
      <c r="C221">
        <v>1</v>
      </c>
      <c r="D221">
        <v>1</v>
      </c>
    </row>
    <row r="222" spans="1:4">
      <c r="A222" t="s">
        <v>33</v>
      </c>
      <c r="B222" t="s">
        <v>79</v>
      </c>
      <c r="C222">
        <v>0</v>
      </c>
      <c r="D222">
        <v>0</v>
      </c>
    </row>
    <row r="223" spans="1:4">
      <c r="A223" t="s">
        <v>33</v>
      </c>
      <c r="B223" t="s">
        <v>74</v>
      </c>
      <c r="C223">
        <v>3</v>
      </c>
      <c r="D223">
        <v>3</v>
      </c>
    </row>
    <row r="224" spans="1:4">
      <c r="A224" t="s">
        <v>33</v>
      </c>
      <c r="B224" t="s">
        <v>73</v>
      </c>
      <c r="C224">
        <v>2</v>
      </c>
      <c r="D224">
        <v>2</v>
      </c>
    </row>
    <row r="225" spans="1:4">
      <c r="A225" t="s">
        <v>33</v>
      </c>
      <c r="B225" t="s">
        <v>72</v>
      </c>
      <c r="C225">
        <v>0</v>
      </c>
      <c r="D225">
        <v>0</v>
      </c>
    </row>
    <row r="226" spans="1:4">
      <c r="A226" t="s">
        <v>33</v>
      </c>
      <c r="B226" t="s">
        <v>77</v>
      </c>
      <c r="C226">
        <v>1</v>
      </c>
      <c r="D226">
        <v>2</v>
      </c>
    </row>
    <row r="227" spans="1:4">
      <c r="A227" t="s">
        <v>33</v>
      </c>
      <c r="B227" t="s">
        <v>71</v>
      </c>
      <c r="C227">
        <v>2</v>
      </c>
      <c r="D227">
        <v>2</v>
      </c>
    </row>
    <row r="228" spans="1:4">
      <c r="A228" t="s">
        <v>33</v>
      </c>
      <c r="B228" t="s">
        <v>76</v>
      </c>
      <c r="C228">
        <v>2</v>
      </c>
      <c r="D228">
        <v>2</v>
      </c>
    </row>
    <row r="229" spans="1:4">
      <c r="A229" t="s">
        <v>33</v>
      </c>
      <c r="B229" t="s">
        <v>82</v>
      </c>
      <c r="C229">
        <v>2</v>
      </c>
      <c r="D229">
        <v>2</v>
      </c>
    </row>
    <row r="230" spans="1:4">
      <c r="A230" t="s">
        <v>33</v>
      </c>
      <c r="B230" t="s">
        <v>70</v>
      </c>
      <c r="C230">
        <v>3</v>
      </c>
      <c r="D230">
        <v>2</v>
      </c>
    </row>
    <row r="231" spans="1:4">
      <c r="A231" t="s">
        <v>33</v>
      </c>
      <c r="B231" t="s">
        <v>75</v>
      </c>
      <c r="C231">
        <v>3</v>
      </c>
      <c r="D231">
        <v>3</v>
      </c>
    </row>
    <row r="232" spans="1:4">
      <c r="A232" t="s">
        <v>33</v>
      </c>
      <c r="B232" t="s">
        <v>78</v>
      </c>
      <c r="C232">
        <v>2</v>
      </c>
      <c r="D232">
        <v>2</v>
      </c>
    </row>
    <row r="233" spans="1:4">
      <c r="A233" t="s">
        <v>6</v>
      </c>
      <c r="B233" t="s">
        <v>69</v>
      </c>
      <c r="C233">
        <v>3</v>
      </c>
      <c r="D233">
        <v>3</v>
      </c>
    </row>
    <row r="234" spans="1:4">
      <c r="A234" t="s">
        <v>6</v>
      </c>
      <c r="B234" t="s">
        <v>80</v>
      </c>
      <c r="C234">
        <v>0</v>
      </c>
      <c r="D234">
        <v>0</v>
      </c>
    </row>
    <row r="235" spans="1:4">
      <c r="A235" t="s">
        <v>6</v>
      </c>
      <c r="B235" t="s">
        <v>84</v>
      </c>
      <c r="C235">
        <v>1</v>
      </c>
      <c r="D235">
        <v>1</v>
      </c>
    </row>
    <row r="236" spans="1:4">
      <c r="A236" t="s">
        <v>6</v>
      </c>
      <c r="B236" t="s">
        <v>85</v>
      </c>
      <c r="C236">
        <v>1</v>
      </c>
      <c r="D236">
        <v>1</v>
      </c>
    </row>
    <row r="237" spans="1:4">
      <c r="A237" t="s">
        <v>6</v>
      </c>
      <c r="B237" t="s">
        <v>86</v>
      </c>
      <c r="C237">
        <v>0</v>
      </c>
      <c r="D237">
        <v>0</v>
      </c>
    </row>
    <row r="238" spans="1:4">
      <c r="A238" t="s">
        <v>6</v>
      </c>
      <c r="B238" t="s">
        <v>87</v>
      </c>
      <c r="C238">
        <v>0</v>
      </c>
      <c r="D238">
        <v>0</v>
      </c>
    </row>
    <row r="239" spans="1:4">
      <c r="A239" t="s">
        <v>6</v>
      </c>
      <c r="B239" t="s">
        <v>88</v>
      </c>
      <c r="C239">
        <v>1</v>
      </c>
      <c r="D239">
        <v>1</v>
      </c>
    </row>
    <row r="240" spans="1:4">
      <c r="A240" t="s">
        <v>6</v>
      </c>
      <c r="B240" t="s">
        <v>89</v>
      </c>
      <c r="C240">
        <v>0</v>
      </c>
      <c r="D240">
        <v>0</v>
      </c>
    </row>
    <row r="241" spans="1:4">
      <c r="A241" t="s">
        <v>6</v>
      </c>
      <c r="B241" t="s">
        <v>90</v>
      </c>
      <c r="C241">
        <v>0</v>
      </c>
      <c r="D241">
        <v>0</v>
      </c>
    </row>
    <row r="242" spans="1:4">
      <c r="A242" t="s">
        <v>6</v>
      </c>
      <c r="B242" t="s">
        <v>81</v>
      </c>
      <c r="C242">
        <v>1</v>
      </c>
      <c r="D242">
        <v>1</v>
      </c>
    </row>
    <row r="243" spans="1:4">
      <c r="A243" t="s">
        <v>6</v>
      </c>
      <c r="B243" t="s">
        <v>79</v>
      </c>
      <c r="C243">
        <v>2</v>
      </c>
      <c r="D243">
        <v>2</v>
      </c>
    </row>
    <row r="244" spans="1:4">
      <c r="A244" t="s">
        <v>6</v>
      </c>
      <c r="B244" t="s">
        <v>74</v>
      </c>
      <c r="C244">
        <v>3</v>
      </c>
      <c r="D244">
        <v>3</v>
      </c>
    </row>
    <row r="245" spans="1:4">
      <c r="A245" t="s">
        <v>6</v>
      </c>
      <c r="B245" t="s">
        <v>73</v>
      </c>
      <c r="C245">
        <v>0</v>
      </c>
      <c r="D245">
        <v>0</v>
      </c>
    </row>
    <row r="246" spans="1:4">
      <c r="A246" t="s">
        <v>6</v>
      </c>
      <c r="B246" t="s">
        <v>72</v>
      </c>
      <c r="C246">
        <v>2</v>
      </c>
      <c r="D246">
        <v>1</v>
      </c>
    </row>
    <row r="247" spans="1:4">
      <c r="A247" t="s">
        <v>6</v>
      </c>
      <c r="B247" t="s">
        <v>77</v>
      </c>
      <c r="C247">
        <v>1</v>
      </c>
      <c r="D247">
        <v>1</v>
      </c>
    </row>
    <row r="248" spans="1:4">
      <c r="A248" t="s">
        <v>6</v>
      </c>
      <c r="B248" t="s">
        <v>71</v>
      </c>
      <c r="C248">
        <v>2</v>
      </c>
      <c r="D248">
        <v>3</v>
      </c>
    </row>
    <row r="249" spans="1:4">
      <c r="A249" t="s">
        <v>6</v>
      </c>
      <c r="B249" t="s">
        <v>76</v>
      </c>
      <c r="C249">
        <v>2</v>
      </c>
      <c r="D249">
        <v>2</v>
      </c>
    </row>
    <row r="250" spans="1:4">
      <c r="A250" t="s">
        <v>6</v>
      </c>
      <c r="B250" t="s">
        <v>82</v>
      </c>
      <c r="C250">
        <v>2</v>
      </c>
      <c r="D250">
        <v>2</v>
      </c>
    </row>
    <row r="251" spans="1:4">
      <c r="A251" t="s">
        <v>6</v>
      </c>
      <c r="B251" t="s">
        <v>70</v>
      </c>
      <c r="C251">
        <v>3</v>
      </c>
      <c r="D251">
        <v>3</v>
      </c>
    </row>
    <row r="252" spans="1:4">
      <c r="A252" t="s">
        <v>6</v>
      </c>
      <c r="B252" t="s">
        <v>75</v>
      </c>
      <c r="C252">
        <v>3</v>
      </c>
      <c r="D252">
        <v>3</v>
      </c>
    </row>
    <row r="253" spans="1:4">
      <c r="A253" t="s">
        <v>6</v>
      </c>
      <c r="B253" t="s">
        <v>78</v>
      </c>
      <c r="C253">
        <v>0</v>
      </c>
      <c r="D253">
        <v>0</v>
      </c>
    </row>
    <row r="254" spans="1:4">
      <c r="A254" t="s">
        <v>36</v>
      </c>
      <c r="B254" t="s">
        <v>69</v>
      </c>
      <c r="C254">
        <v>3</v>
      </c>
      <c r="D254">
        <v>3</v>
      </c>
    </row>
    <row r="255" spans="1:4">
      <c r="A255" t="s">
        <v>36</v>
      </c>
      <c r="B255" t="s">
        <v>80</v>
      </c>
      <c r="C255">
        <v>0</v>
      </c>
      <c r="D255">
        <v>0</v>
      </c>
    </row>
    <row r="256" spans="1:4">
      <c r="A256" t="s">
        <v>36</v>
      </c>
      <c r="B256" t="s">
        <v>84</v>
      </c>
      <c r="C256">
        <v>0</v>
      </c>
      <c r="D256">
        <v>0</v>
      </c>
    </row>
    <row r="257" spans="1:4">
      <c r="A257" t="s">
        <v>36</v>
      </c>
      <c r="B257" t="s">
        <v>85</v>
      </c>
      <c r="C257">
        <v>0</v>
      </c>
      <c r="D257">
        <v>0</v>
      </c>
    </row>
    <row r="258" spans="1:4">
      <c r="A258" t="s">
        <v>36</v>
      </c>
      <c r="B258" t="s">
        <v>86</v>
      </c>
      <c r="C258">
        <v>1</v>
      </c>
      <c r="D258">
        <v>0</v>
      </c>
    </row>
    <row r="259" spans="1:4">
      <c r="A259" t="s">
        <v>36</v>
      </c>
      <c r="B259" t="s">
        <v>87</v>
      </c>
      <c r="C259">
        <v>0</v>
      </c>
      <c r="D259">
        <v>0</v>
      </c>
    </row>
    <row r="260" spans="1:4">
      <c r="A260" t="s">
        <v>36</v>
      </c>
      <c r="B260" t="s">
        <v>88</v>
      </c>
      <c r="C260">
        <v>1</v>
      </c>
      <c r="D260">
        <v>1</v>
      </c>
    </row>
    <row r="261" spans="1:4">
      <c r="A261" t="s">
        <v>36</v>
      </c>
      <c r="B261" t="s">
        <v>89</v>
      </c>
      <c r="C261">
        <v>1</v>
      </c>
      <c r="D261">
        <v>1</v>
      </c>
    </row>
    <row r="262" spans="1:4">
      <c r="A262" t="s">
        <v>36</v>
      </c>
      <c r="B262" t="s">
        <v>90</v>
      </c>
      <c r="C262">
        <v>0</v>
      </c>
      <c r="D262">
        <v>1</v>
      </c>
    </row>
    <row r="263" spans="1:4">
      <c r="A263" t="s">
        <v>36</v>
      </c>
      <c r="B263" t="s">
        <v>81</v>
      </c>
      <c r="C263">
        <v>1</v>
      </c>
      <c r="D263">
        <v>1</v>
      </c>
    </row>
    <row r="264" spans="1:4">
      <c r="A264" t="s">
        <v>36</v>
      </c>
      <c r="B264" t="s">
        <v>79</v>
      </c>
      <c r="C264">
        <v>0</v>
      </c>
      <c r="D264">
        <v>0</v>
      </c>
    </row>
    <row r="265" spans="1:4">
      <c r="A265" t="s">
        <v>36</v>
      </c>
      <c r="B265" t="s">
        <v>74</v>
      </c>
      <c r="C265">
        <v>3</v>
      </c>
      <c r="D265">
        <v>3</v>
      </c>
    </row>
    <row r="266" spans="1:4">
      <c r="A266" t="s">
        <v>36</v>
      </c>
      <c r="B266" t="s">
        <v>73</v>
      </c>
      <c r="C266">
        <v>2</v>
      </c>
      <c r="D266">
        <v>2</v>
      </c>
    </row>
    <row r="267" spans="1:4">
      <c r="A267" t="s">
        <v>36</v>
      </c>
      <c r="B267" t="s">
        <v>72</v>
      </c>
      <c r="C267">
        <v>0</v>
      </c>
      <c r="D267">
        <v>0</v>
      </c>
    </row>
    <row r="268" spans="1:4">
      <c r="A268" t="s">
        <v>36</v>
      </c>
      <c r="B268" t="s">
        <v>77</v>
      </c>
      <c r="C268">
        <v>1</v>
      </c>
      <c r="D268">
        <v>1</v>
      </c>
    </row>
    <row r="269" spans="1:4">
      <c r="A269" t="s">
        <v>36</v>
      </c>
      <c r="B269" t="s">
        <v>71</v>
      </c>
      <c r="C269">
        <v>2</v>
      </c>
      <c r="D269">
        <v>2</v>
      </c>
    </row>
    <row r="270" spans="1:4">
      <c r="A270" t="s">
        <v>36</v>
      </c>
      <c r="B270" t="s">
        <v>76</v>
      </c>
      <c r="C270">
        <v>2</v>
      </c>
      <c r="D270">
        <v>2</v>
      </c>
    </row>
    <row r="271" spans="1:4">
      <c r="A271" t="s">
        <v>36</v>
      </c>
      <c r="B271" t="s">
        <v>82</v>
      </c>
      <c r="C271">
        <v>2</v>
      </c>
      <c r="D271">
        <v>2</v>
      </c>
    </row>
    <row r="272" spans="1:4">
      <c r="A272" t="s">
        <v>36</v>
      </c>
      <c r="B272" t="s">
        <v>70</v>
      </c>
      <c r="C272">
        <v>3</v>
      </c>
      <c r="D272">
        <v>3</v>
      </c>
    </row>
    <row r="273" spans="1:4">
      <c r="A273" t="s">
        <v>36</v>
      </c>
      <c r="B273" t="s">
        <v>75</v>
      </c>
      <c r="C273">
        <v>3</v>
      </c>
      <c r="D273">
        <v>3</v>
      </c>
    </row>
    <row r="274" spans="1:4">
      <c r="A274" t="s">
        <v>36</v>
      </c>
      <c r="B274" t="s">
        <v>78</v>
      </c>
      <c r="C274">
        <v>2</v>
      </c>
      <c r="D274">
        <v>2</v>
      </c>
    </row>
    <row r="275" spans="1:4">
      <c r="A275" t="s">
        <v>37</v>
      </c>
      <c r="B275" t="s">
        <v>69</v>
      </c>
      <c r="C275">
        <v>3</v>
      </c>
      <c r="D275">
        <v>3</v>
      </c>
    </row>
    <row r="276" spans="1:4">
      <c r="A276" t="s">
        <v>37</v>
      </c>
      <c r="B276" t="s">
        <v>80</v>
      </c>
      <c r="C276">
        <v>0</v>
      </c>
      <c r="D276">
        <v>0</v>
      </c>
    </row>
    <row r="277" spans="1:4">
      <c r="A277" t="s">
        <v>37</v>
      </c>
      <c r="B277" t="s">
        <v>84</v>
      </c>
      <c r="C277">
        <v>1</v>
      </c>
      <c r="D277">
        <v>1</v>
      </c>
    </row>
    <row r="278" spans="1:4">
      <c r="A278" t="s">
        <v>37</v>
      </c>
      <c r="B278" t="s">
        <v>85</v>
      </c>
      <c r="C278">
        <v>0</v>
      </c>
      <c r="D278">
        <v>0</v>
      </c>
    </row>
    <row r="279" spans="1:4">
      <c r="A279" t="s">
        <v>37</v>
      </c>
      <c r="B279" t="s">
        <v>86</v>
      </c>
      <c r="C279">
        <v>0</v>
      </c>
      <c r="D279">
        <v>0</v>
      </c>
    </row>
    <row r="280" spans="1:4">
      <c r="A280" t="s">
        <v>37</v>
      </c>
      <c r="B280" t="s">
        <v>87</v>
      </c>
      <c r="C280">
        <v>0</v>
      </c>
      <c r="D280">
        <v>0</v>
      </c>
    </row>
    <row r="281" spans="1:4">
      <c r="A281" t="s">
        <v>37</v>
      </c>
      <c r="B281" t="s">
        <v>88</v>
      </c>
      <c r="C281">
        <v>1</v>
      </c>
      <c r="D281">
        <v>0</v>
      </c>
    </row>
    <row r="282" spans="1:4">
      <c r="A282" t="s">
        <v>37</v>
      </c>
      <c r="B282" t="s">
        <v>89</v>
      </c>
      <c r="C282">
        <v>1</v>
      </c>
      <c r="D282">
        <v>1</v>
      </c>
    </row>
    <row r="283" spans="1:4">
      <c r="A283" t="s">
        <v>37</v>
      </c>
      <c r="B283" t="s">
        <v>90</v>
      </c>
      <c r="C283">
        <v>0</v>
      </c>
      <c r="D283">
        <v>1</v>
      </c>
    </row>
    <row r="284" spans="1:4">
      <c r="A284" t="s">
        <v>37</v>
      </c>
      <c r="B284" t="s">
        <v>81</v>
      </c>
      <c r="C284">
        <v>1</v>
      </c>
      <c r="D284">
        <v>1</v>
      </c>
    </row>
    <row r="285" spans="1:4">
      <c r="A285" t="s">
        <v>37</v>
      </c>
      <c r="B285" t="s">
        <v>79</v>
      </c>
      <c r="C285">
        <v>2</v>
      </c>
      <c r="D285">
        <v>2</v>
      </c>
    </row>
    <row r="286" spans="1:4">
      <c r="A286" t="s">
        <v>37</v>
      </c>
      <c r="B286" t="s">
        <v>74</v>
      </c>
      <c r="C286">
        <v>3</v>
      </c>
      <c r="D286">
        <v>3</v>
      </c>
    </row>
    <row r="287" spans="1:4">
      <c r="A287" t="s">
        <v>37</v>
      </c>
      <c r="B287" t="s">
        <v>73</v>
      </c>
      <c r="C287">
        <v>2</v>
      </c>
      <c r="D287">
        <v>2</v>
      </c>
    </row>
    <row r="288" spans="1:4">
      <c r="A288" t="s">
        <v>37</v>
      </c>
      <c r="B288" t="s">
        <v>72</v>
      </c>
      <c r="C288">
        <v>0</v>
      </c>
      <c r="D288">
        <v>0</v>
      </c>
    </row>
    <row r="289" spans="1:4">
      <c r="A289" t="s">
        <v>37</v>
      </c>
      <c r="B289" t="s">
        <v>77</v>
      </c>
      <c r="C289">
        <v>1</v>
      </c>
      <c r="D289">
        <v>0</v>
      </c>
    </row>
    <row r="290" spans="1:4">
      <c r="A290" t="s">
        <v>37</v>
      </c>
      <c r="B290" t="s">
        <v>71</v>
      </c>
      <c r="C290">
        <v>0</v>
      </c>
      <c r="D290">
        <v>0</v>
      </c>
    </row>
    <row r="291" spans="1:4">
      <c r="A291" t="s">
        <v>37</v>
      </c>
      <c r="B291" t="s">
        <v>76</v>
      </c>
      <c r="C291">
        <v>2</v>
      </c>
      <c r="D291">
        <v>3</v>
      </c>
    </row>
    <row r="292" spans="1:4">
      <c r="A292" t="s">
        <v>37</v>
      </c>
      <c r="B292" t="s">
        <v>82</v>
      </c>
      <c r="C292">
        <v>2</v>
      </c>
      <c r="D292">
        <v>2</v>
      </c>
    </row>
    <row r="293" spans="1:4">
      <c r="A293" t="s">
        <v>37</v>
      </c>
      <c r="B293" t="s">
        <v>70</v>
      </c>
      <c r="C293">
        <v>3</v>
      </c>
      <c r="D293">
        <v>3</v>
      </c>
    </row>
    <row r="294" spans="1:4">
      <c r="A294" t="s">
        <v>37</v>
      </c>
      <c r="B294" t="s">
        <v>75</v>
      </c>
      <c r="C294">
        <v>3</v>
      </c>
      <c r="D294">
        <v>3</v>
      </c>
    </row>
    <row r="295" spans="1:4">
      <c r="A295" t="s">
        <v>37</v>
      </c>
      <c r="B295" t="s">
        <v>78</v>
      </c>
      <c r="C295">
        <v>2</v>
      </c>
      <c r="D295">
        <v>2</v>
      </c>
    </row>
    <row r="296" spans="1:4">
      <c r="A296" t="s">
        <v>94</v>
      </c>
      <c r="B296" t="s">
        <v>69</v>
      </c>
      <c r="C296">
        <v>3</v>
      </c>
      <c r="D296">
        <v>3</v>
      </c>
    </row>
    <row r="297" spans="1:4">
      <c r="A297" t="s">
        <v>94</v>
      </c>
      <c r="B297" t="s">
        <v>80</v>
      </c>
      <c r="C297">
        <v>0</v>
      </c>
      <c r="D297">
        <v>0</v>
      </c>
    </row>
    <row r="298" spans="1:4">
      <c r="A298" t="s">
        <v>94</v>
      </c>
      <c r="B298" t="s">
        <v>84</v>
      </c>
      <c r="C298">
        <v>1</v>
      </c>
      <c r="D298">
        <v>1</v>
      </c>
    </row>
    <row r="299" spans="1:4">
      <c r="A299" t="s">
        <v>94</v>
      </c>
      <c r="B299" t="s">
        <v>85</v>
      </c>
      <c r="C299">
        <v>1</v>
      </c>
      <c r="D299">
        <v>1</v>
      </c>
    </row>
    <row r="300" spans="1:4">
      <c r="A300" t="s">
        <v>94</v>
      </c>
      <c r="B300" t="s">
        <v>86</v>
      </c>
      <c r="C300">
        <v>0</v>
      </c>
      <c r="D300">
        <v>0</v>
      </c>
    </row>
    <row r="301" spans="1:4">
      <c r="A301" t="s">
        <v>94</v>
      </c>
      <c r="B301" t="s">
        <v>87</v>
      </c>
      <c r="C301">
        <v>0</v>
      </c>
      <c r="D301">
        <v>0</v>
      </c>
    </row>
    <row r="302" spans="1:4">
      <c r="A302" t="s">
        <v>94</v>
      </c>
      <c r="B302" t="s">
        <v>88</v>
      </c>
      <c r="C302">
        <v>1</v>
      </c>
      <c r="D302">
        <v>1</v>
      </c>
    </row>
    <row r="303" spans="1:4">
      <c r="A303" t="s">
        <v>94</v>
      </c>
      <c r="B303" t="s">
        <v>89</v>
      </c>
      <c r="C303">
        <v>0</v>
      </c>
      <c r="D303">
        <v>0</v>
      </c>
    </row>
    <row r="304" spans="1:4">
      <c r="A304" t="s">
        <v>94</v>
      </c>
      <c r="B304" t="s">
        <v>90</v>
      </c>
      <c r="C304">
        <v>0</v>
      </c>
      <c r="D304">
        <v>0</v>
      </c>
    </row>
    <row r="305" spans="1:4">
      <c r="A305" t="s">
        <v>94</v>
      </c>
      <c r="B305" t="s">
        <v>81</v>
      </c>
      <c r="C305">
        <v>1</v>
      </c>
      <c r="D305">
        <v>1</v>
      </c>
    </row>
    <row r="306" spans="1:4">
      <c r="A306" t="s">
        <v>94</v>
      </c>
      <c r="B306" t="s">
        <v>79</v>
      </c>
      <c r="C306">
        <v>2</v>
      </c>
      <c r="D306">
        <v>2</v>
      </c>
    </row>
    <row r="307" spans="1:4">
      <c r="A307" t="s">
        <v>94</v>
      </c>
      <c r="B307" t="s">
        <v>74</v>
      </c>
      <c r="C307">
        <v>3</v>
      </c>
      <c r="D307">
        <v>3</v>
      </c>
    </row>
    <row r="308" spans="1:4">
      <c r="A308" t="s">
        <v>94</v>
      </c>
      <c r="B308" t="s">
        <v>73</v>
      </c>
      <c r="C308">
        <v>2</v>
      </c>
      <c r="D308">
        <v>2</v>
      </c>
    </row>
    <row r="309" spans="1:4">
      <c r="A309" t="s">
        <v>94</v>
      </c>
      <c r="B309" t="s">
        <v>72</v>
      </c>
      <c r="C309">
        <v>2</v>
      </c>
      <c r="D309">
        <v>2</v>
      </c>
    </row>
    <row r="310" spans="1:4">
      <c r="A310" t="s">
        <v>94</v>
      </c>
      <c r="B310" t="s">
        <v>77</v>
      </c>
      <c r="C310">
        <v>1</v>
      </c>
      <c r="D310">
        <v>1</v>
      </c>
    </row>
    <row r="311" spans="1:4">
      <c r="A311" t="s">
        <v>94</v>
      </c>
      <c r="B311" t="s">
        <v>71</v>
      </c>
      <c r="C311">
        <v>0</v>
      </c>
      <c r="D311">
        <v>0</v>
      </c>
    </row>
    <row r="312" spans="1:4">
      <c r="A312" t="s">
        <v>94</v>
      </c>
      <c r="B312" t="s">
        <v>76</v>
      </c>
      <c r="C312">
        <v>2</v>
      </c>
      <c r="D312">
        <v>2</v>
      </c>
    </row>
    <row r="313" spans="1:4">
      <c r="A313" t="s">
        <v>94</v>
      </c>
      <c r="B313" t="s">
        <v>82</v>
      </c>
      <c r="C313">
        <v>2</v>
      </c>
      <c r="D313">
        <v>2</v>
      </c>
    </row>
    <row r="314" spans="1:4">
      <c r="A314" t="s">
        <v>94</v>
      </c>
      <c r="B314" t="s">
        <v>70</v>
      </c>
      <c r="C314">
        <v>3</v>
      </c>
      <c r="D314">
        <v>3</v>
      </c>
    </row>
    <row r="315" spans="1:4">
      <c r="A315" t="s">
        <v>94</v>
      </c>
      <c r="B315" t="s">
        <v>75</v>
      </c>
      <c r="C315">
        <v>3</v>
      </c>
      <c r="D315">
        <v>3</v>
      </c>
    </row>
    <row r="316" spans="1:4">
      <c r="A316" t="s">
        <v>94</v>
      </c>
      <c r="B316" t="s">
        <v>78</v>
      </c>
      <c r="C316">
        <v>0</v>
      </c>
      <c r="D316">
        <v>0</v>
      </c>
    </row>
    <row r="317" spans="1:4">
      <c r="A317" t="s">
        <v>9</v>
      </c>
      <c r="B317" t="s">
        <v>69</v>
      </c>
      <c r="C317">
        <v>3</v>
      </c>
      <c r="D317">
        <v>3</v>
      </c>
    </row>
    <row r="318" spans="1:4">
      <c r="A318" t="s">
        <v>9</v>
      </c>
      <c r="B318" t="s">
        <v>80</v>
      </c>
      <c r="C318">
        <v>0</v>
      </c>
      <c r="D318">
        <v>0</v>
      </c>
    </row>
    <row r="319" spans="1:4">
      <c r="A319" t="s">
        <v>9</v>
      </c>
      <c r="B319" t="s">
        <v>84</v>
      </c>
      <c r="C319">
        <v>1</v>
      </c>
      <c r="D319">
        <v>1</v>
      </c>
    </row>
    <row r="320" spans="1:4">
      <c r="A320" t="s">
        <v>9</v>
      </c>
      <c r="B320" t="s">
        <v>85</v>
      </c>
      <c r="C320">
        <v>1</v>
      </c>
      <c r="D320">
        <v>1</v>
      </c>
    </row>
    <row r="321" spans="1:4">
      <c r="A321" t="s">
        <v>9</v>
      </c>
      <c r="B321" t="s">
        <v>86</v>
      </c>
      <c r="C321">
        <v>0</v>
      </c>
      <c r="D321">
        <v>0</v>
      </c>
    </row>
    <row r="322" spans="1:4">
      <c r="A322" t="s">
        <v>9</v>
      </c>
      <c r="B322" t="s">
        <v>87</v>
      </c>
      <c r="C322">
        <v>0</v>
      </c>
      <c r="D322">
        <v>0</v>
      </c>
    </row>
    <row r="323" spans="1:4">
      <c r="A323" t="s">
        <v>9</v>
      </c>
      <c r="B323" t="s">
        <v>88</v>
      </c>
      <c r="C323">
        <v>1</v>
      </c>
      <c r="D323">
        <v>1</v>
      </c>
    </row>
    <row r="324" spans="1:4">
      <c r="A324" t="s">
        <v>9</v>
      </c>
      <c r="B324" t="s">
        <v>89</v>
      </c>
      <c r="C324">
        <v>0</v>
      </c>
      <c r="D324">
        <v>0</v>
      </c>
    </row>
    <row r="325" spans="1:4">
      <c r="A325" t="s">
        <v>9</v>
      </c>
      <c r="B325" t="s">
        <v>90</v>
      </c>
      <c r="C325">
        <v>0</v>
      </c>
      <c r="D325">
        <v>0</v>
      </c>
    </row>
    <row r="326" spans="1:4">
      <c r="A326" t="s">
        <v>9</v>
      </c>
      <c r="B326" t="s">
        <v>81</v>
      </c>
      <c r="C326">
        <v>1</v>
      </c>
      <c r="D326">
        <v>1</v>
      </c>
    </row>
    <row r="327" spans="1:4">
      <c r="A327" t="s">
        <v>9</v>
      </c>
      <c r="B327" t="s">
        <v>79</v>
      </c>
      <c r="C327">
        <v>2</v>
      </c>
      <c r="D327">
        <v>2</v>
      </c>
    </row>
    <row r="328" spans="1:4">
      <c r="A328" t="s">
        <v>9</v>
      </c>
      <c r="B328" t="s">
        <v>74</v>
      </c>
      <c r="C328">
        <v>3</v>
      </c>
      <c r="D328">
        <v>4</v>
      </c>
    </row>
    <row r="329" spans="1:4">
      <c r="A329" t="s">
        <v>9</v>
      </c>
      <c r="B329" t="s">
        <v>73</v>
      </c>
      <c r="C329">
        <v>2</v>
      </c>
      <c r="D329">
        <v>1</v>
      </c>
    </row>
    <row r="330" spans="1:4">
      <c r="A330" t="s">
        <v>9</v>
      </c>
      <c r="B330" t="s">
        <v>72</v>
      </c>
      <c r="C330">
        <v>2</v>
      </c>
      <c r="D330">
        <v>2</v>
      </c>
    </row>
    <row r="331" spans="1:4">
      <c r="A331" t="s">
        <v>9</v>
      </c>
      <c r="B331" t="s">
        <v>77</v>
      </c>
      <c r="C331">
        <v>1</v>
      </c>
      <c r="D331">
        <v>1</v>
      </c>
    </row>
    <row r="332" spans="1:4">
      <c r="A332" t="s">
        <v>9</v>
      </c>
      <c r="B332" t="s">
        <v>71</v>
      </c>
      <c r="C332">
        <v>0</v>
      </c>
      <c r="D332">
        <v>0</v>
      </c>
    </row>
    <row r="333" spans="1:4">
      <c r="A333" t="s">
        <v>9</v>
      </c>
      <c r="B333" t="s">
        <v>76</v>
      </c>
      <c r="C333">
        <v>2</v>
      </c>
      <c r="D333">
        <v>2</v>
      </c>
    </row>
    <row r="334" spans="1:4">
      <c r="A334" t="s">
        <v>9</v>
      </c>
      <c r="B334" t="s">
        <v>82</v>
      </c>
      <c r="C334">
        <v>2</v>
      </c>
      <c r="D334">
        <v>2</v>
      </c>
    </row>
    <row r="335" spans="1:4">
      <c r="A335" t="s">
        <v>9</v>
      </c>
      <c r="B335" t="s">
        <v>70</v>
      </c>
      <c r="C335">
        <v>3</v>
      </c>
      <c r="D335">
        <v>3</v>
      </c>
    </row>
    <row r="336" spans="1:4">
      <c r="A336" t="s">
        <v>9</v>
      </c>
      <c r="B336" t="s">
        <v>75</v>
      </c>
      <c r="C336">
        <v>3</v>
      </c>
      <c r="D336">
        <v>3</v>
      </c>
    </row>
    <row r="337" spans="1:4">
      <c r="A337" t="s">
        <v>9</v>
      </c>
      <c r="B337" t="s">
        <v>78</v>
      </c>
      <c r="C337">
        <v>0</v>
      </c>
      <c r="D337">
        <v>0</v>
      </c>
    </row>
    <row r="338" spans="1:4">
      <c r="A338" t="s">
        <v>12</v>
      </c>
      <c r="B338" t="s">
        <v>69</v>
      </c>
      <c r="C338">
        <v>3</v>
      </c>
      <c r="D338">
        <v>3</v>
      </c>
    </row>
    <row r="339" spans="1:4">
      <c r="A339" t="s">
        <v>12</v>
      </c>
      <c r="B339" t="s">
        <v>80</v>
      </c>
      <c r="C339">
        <v>0</v>
      </c>
      <c r="D339">
        <v>0</v>
      </c>
    </row>
    <row r="340" spans="1:4">
      <c r="A340" t="s">
        <v>12</v>
      </c>
      <c r="B340" t="s">
        <v>84</v>
      </c>
      <c r="C340">
        <v>1</v>
      </c>
      <c r="D340">
        <v>1</v>
      </c>
    </row>
    <row r="341" spans="1:4">
      <c r="A341" t="s">
        <v>12</v>
      </c>
      <c r="B341" t="s">
        <v>85</v>
      </c>
      <c r="C341">
        <v>1</v>
      </c>
      <c r="D341">
        <v>1</v>
      </c>
    </row>
    <row r="342" spans="1:4">
      <c r="A342" t="s">
        <v>12</v>
      </c>
      <c r="B342" t="s">
        <v>86</v>
      </c>
      <c r="C342">
        <v>0</v>
      </c>
      <c r="D342">
        <v>0</v>
      </c>
    </row>
    <row r="343" spans="1:4">
      <c r="A343" t="s">
        <v>12</v>
      </c>
      <c r="B343" t="s">
        <v>87</v>
      </c>
      <c r="C343">
        <v>0</v>
      </c>
      <c r="D343">
        <v>0</v>
      </c>
    </row>
    <row r="344" spans="1:4">
      <c r="A344" t="s">
        <v>12</v>
      </c>
      <c r="B344" t="s">
        <v>88</v>
      </c>
      <c r="C344">
        <v>1</v>
      </c>
      <c r="D344">
        <v>1</v>
      </c>
    </row>
    <row r="345" spans="1:4">
      <c r="A345" t="s">
        <v>12</v>
      </c>
      <c r="B345" t="s">
        <v>89</v>
      </c>
      <c r="C345">
        <v>0</v>
      </c>
      <c r="D345">
        <v>0</v>
      </c>
    </row>
    <row r="346" spans="1:4">
      <c r="A346" t="s">
        <v>12</v>
      </c>
      <c r="B346" t="s">
        <v>90</v>
      </c>
      <c r="C346">
        <v>0</v>
      </c>
      <c r="D346">
        <v>0</v>
      </c>
    </row>
    <row r="347" spans="1:4">
      <c r="A347" t="s">
        <v>12</v>
      </c>
      <c r="B347" t="s">
        <v>81</v>
      </c>
      <c r="C347">
        <v>1</v>
      </c>
      <c r="D347">
        <v>1</v>
      </c>
    </row>
    <row r="348" spans="1:4">
      <c r="A348" t="s">
        <v>12</v>
      </c>
      <c r="B348" t="s">
        <v>79</v>
      </c>
      <c r="C348">
        <v>2</v>
      </c>
      <c r="D348">
        <v>2</v>
      </c>
    </row>
    <row r="349" spans="1:4">
      <c r="A349" t="s">
        <v>12</v>
      </c>
      <c r="B349" t="s">
        <v>74</v>
      </c>
      <c r="C349">
        <v>3</v>
      </c>
      <c r="D349">
        <v>3</v>
      </c>
    </row>
    <row r="350" spans="1:4">
      <c r="A350" t="s">
        <v>12</v>
      </c>
      <c r="B350" t="s">
        <v>73</v>
      </c>
      <c r="C350">
        <v>2</v>
      </c>
      <c r="D350">
        <v>1</v>
      </c>
    </row>
    <row r="351" spans="1:4">
      <c r="A351" t="s">
        <v>12</v>
      </c>
      <c r="B351" t="s">
        <v>72</v>
      </c>
      <c r="C351">
        <v>2</v>
      </c>
      <c r="D351">
        <v>2</v>
      </c>
    </row>
    <row r="352" spans="1:4">
      <c r="A352" t="s">
        <v>12</v>
      </c>
      <c r="B352" t="s">
        <v>77</v>
      </c>
      <c r="C352">
        <v>1</v>
      </c>
      <c r="D352">
        <v>1</v>
      </c>
    </row>
    <row r="353" spans="1:4">
      <c r="A353" t="s">
        <v>12</v>
      </c>
      <c r="B353" t="s">
        <v>71</v>
      </c>
      <c r="C353">
        <v>0</v>
      </c>
      <c r="D353">
        <v>0</v>
      </c>
    </row>
    <row r="354" spans="1:4">
      <c r="A354" t="s">
        <v>12</v>
      </c>
      <c r="B354" t="s">
        <v>76</v>
      </c>
      <c r="C354">
        <v>2</v>
      </c>
      <c r="D354">
        <v>2</v>
      </c>
    </row>
    <row r="355" spans="1:4">
      <c r="A355" t="s">
        <v>12</v>
      </c>
      <c r="B355" t="s">
        <v>82</v>
      </c>
      <c r="C355">
        <v>2</v>
      </c>
      <c r="D355">
        <v>2</v>
      </c>
    </row>
    <row r="356" spans="1:4">
      <c r="A356" t="s">
        <v>12</v>
      </c>
      <c r="B356" t="s">
        <v>70</v>
      </c>
      <c r="C356">
        <v>3</v>
      </c>
      <c r="D356">
        <v>4</v>
      </c>
    </row>
    <row r="357" spans="1:4">
      <c r="A357" t="s">
        <v>12</v>
      </c>
      <c r="B357" t="s">
        <v>75</v>
      </c>
      <c r="C357">
        <v>3</v>
      </c>
      <c r="D357">
        <v>3</v>
      </c>
    </row>
    <row r="358" spans="1:4">
      <c r="A358" t="s">
        <v>12</v>
      </c>
      <c r="B358" t="s">
        <v>78</v>
      </c>
      <c r="C358">
        <v>0</v>
      </c>
      <c r="D358">
        <v>0</v>
      </c>
    </row>
    <row r="359" spans="1:4">
      <c r="A359" t="s">
        <v>14</v>
      </c>
      <c r="B359" t="s">
        <v>69</v>
      </c>
      <c r="C359">
        <v>3</v>
      </c>
      <c r="D359">
        <v>3</v>
      </c>
    </row>
    <row r="360" spans="1:4">
      <c r="A360" t="s">
        <v>14</v>
      </c>
      <c r="B360" t="s">
        <v>80</v>
      </c>
      <c r="C360">
        <v>0</v>
      </c>
      <c r="D360">
        <v>0</v>
      </c>
    </row>
    <row r="361" spans="1:4">
      <c r="A361" t="s">
        <v>14</v>
      </c>
      <c r="B361" t="s">
        <v>84</v>
      </c>
      <c r="C361">
        <v>1</v>
      </c>
      <c r="D361">
        <v>1</v>
      </c>
    </row>
    <row r="362" spans="1:4">
      <c r="A362" t="s">
        <v>14</v>
      </c>
      <c r="B362" t="s">
        <v>85</v>
      </c>
      <c r="C362">
        <v>1</v>
      </c>
      <c r="D362">
        <v>0</v>
      </c>
    </row>
    <row r="363" spans="1:4">
      <c r="A363" t="s">
        <v>14</v>
      </c>
      <c r="B363" t="s">
        <v>86</v>
      </c>
      <c r="C363">
        <v>0</v>
      </c>
      <c r="D363">
        <v>0</v>
      </c>
    </row>
    <row r="364" spans="1:4">
      <c r="A364" t="s">
        <v>14</v>
      </c>
      <c r="B364" t="s">
        <v>87</v>
      </c>
      <c r="C364">
        <v>0</v>
      </c>
      <c r="D364">
        <v>0</v>
      </c>
    </row>
    <row r="365" spans="1:4">
      <c r="A365" t="s">
        <v>14</v>
      </c>
      <c r="B365" t="s">
        <v>88</v>
      </c>
      <c r="C365">
        <v>1</v>
      </c>
      <c r="D365">
        <v>1</v>
      </c>
    </row>
    <row r="366" spans="1:4">
      <c r="A366" t="s">
        <v>14</v>
      </c>
      <c r="B366" t="s">
        <v>89</v>
      </c>
      <c r="C366">
        <v>0</v>
      </c>
      <c r="D366">
        <v>0</v>
      </c>
    </row>
    <row r="367" spans="1:4">
      <c r="A367" t="s">
        <v>14</v>
      </c>
      <c r="B367" t="s">
        <v>90</v>
      </c>
      <c r="C367">
        <v>0</v>
      </c>
      <c r="D367">
        <v>0</v>
      </c>
    </row>
    <row r="368" spans="1:4">
      <c r="A368" t="s">
        <v>14</v>
      </c>
      <c r="B368" t="s">
        <v>81</v>
      </c>
      <c r="C368">
        <v>1</v>
      </c>
      <c r="D368">
        <v>1</v>
      </c>
    </row>
    <row r="369" spans="1:4">
      <c r="A369" t="s">
        <v>14</v>
      </c>
      <c r="B369" t="s">
        <v>79</v>
      </c>
      <c r="C369">
        <v>2</v>
      </c>
      <c r="D369">
        <v>2</v>
      </c>
    </row>
    <row r="370" spans="1:4">
      <c r="A370" t="s">
        <v>14</v>
      </c>
      <c r="B370" t="s">
        <v>74</v>
      </c>
      <c r="C370">
        <v>3</v>
      </c>
      <c r="D370">
        <v>2</v>
      </c>
    </row>
    <row r="371" spans="1:4">
      <c r="A371" t="s">
        <v>14</v>
      </c>
      <c r="B371" t="s">
        <v>73</v>
      </c>
      <c r="C371">
        <v>2</v>
      </c>
      <c r="D371">
        <v>1</v>
      </c>
    </row>
    <row r="372" spans="1:4">
      <c r="A372" t="s">
        <v>14</v>
      </c>
      <c r="B372" t="s">
        <v>72</v>
      </c>
      <c r="C372">
        <v>2</v>
      </c>
      <c r="D372">
        <v>1</v>
      </c>
    </row>
    <row r="373" spans="1:4">
      <c r="A373" t="s">
        <v>14</v>
      </c>
      <c r="B373" t="s">
        <v>77</v>
      </c>
      <c r="C373">
        <v>1</v>
      </c>
      <c r="D373">
        <v>1</v>
      </c>
    </row>
    <row r="374" spans="1:4">
      <c r="A374" t="s">
        <v>14</v>
      </c>
      <c r="B374" t="s">
        <v>71</v>
      </c>
      <c r="C374">
        <v>0</v>
      </c>
      <c r="D374">
        <v>0</v>
      </c>
    </row>
    <row r="375" spans="1:4">
      <c r="A375" t="s">
        <v>14</v>
      </c>
      <c r="B375" t="s">
        <v>76</v>
      </c>
      <c r="C375">
        <v>2</v>
      </c>
      <c r="D375">
        <v>2</v>
      </c>
    </row>
    <row r="376" spans="1:4">
      <c r="A376" t="s">
        <v>14</v>
      </c>
      <c r="B376" t="s">
        <v>82</v>
      </c>
      <c r="C376">
        <v>2</v>
      </c>
      <c r="D376">
        <v>2</v>
      </c>
    </row>
    <row r="377" spans="1:4">
      <c r="A377" t="s">
        <v>14</v>
      </c>
      <c r="B377" t="s">
        <v>70</v>
      </c>
      <c r="C377">
        <v>3</v>
      </c>
      <c r="D377">
        <v>5</v>
      </c>
    </row>
    <row r="378" spans="1:4">
      <c r="A378" t="s">
        <v>14</v>
      </c>
      <c r="B378" t="s">
        <v>75</v>
      </c>
      <c r="C378">
        <v>3</v>
      </c>
      <c r="D378">
        <v>5</v>
      </c>
    </row>
    <row r="379" spans="1:4">
      <c r="A379" t="s">
        <v>14</v>
      </c>
      <c r="B379" t="s">
        <v>78</v>
      </c>
      <c r="C379">
        <v>0</v>
      </c>
      <c r="D379">
        <v>0</v>
      </c>
    </row>
    <row r="380" spans="1:4">
      <c r="A380" t="s">
        <v>95</v>
      </c>
      <c r="B380" t="s">
        <v>69</v>
      </c>
      <c r="C380">
        <v>3</v>
      </c>
      <c r="D380">
        <v>3</v>
      </c>
    </row>
    <row r="381" spans="1:4">
      <c r="A381" t="s">
        <v>95</v>
      </c>
      <c r="B381" t="s">
        <v>80</v>
      </c>
      <c r="C381">
        <v>0</v>
      </c>
      <c r="D381">
        <v>0</v>
      </c>
    </row>
    <row r="382" spans="1:4">
      <c r="A382" t="s">
        <v>95</v>
      </c>
      <c r="B382" t="s">
        <v>84</v>
      </c>
      <c r="C382">
        <v>1</v>
      </c>
      <c r="D382">
        <v>1</v>
      </c>
    </row>
    <row r="383" spans="1:4">
      <c r="A383" t="s">
        <v>95</v>
      </c>
      <c r="B383" t="s">
        <v>85</v>
      </c>
      <c r="C383">
        <v>1</v>
      </c>
      <c r="D383">
        <v>1</v>
      </c>
    </row>
    <row r="384" spans="1:4">
      <c r="A384" t="s">
        <v>95</v>
      </c>
      <c r="B384" t="s">
        <v>86</v>
      </c>
      <c r="C384">
        <v>0</v>
      </c>
      <c r="D384">
        <v>0</v>
      </c>
    </row>
    <row r="385" spans="1:4">
      <c r="A385" t="s">
        <v>95</v>
      </c>
      <c r="B385" t="s">
        <v>87</v>
      </c>
      <c r="C385">
        <v>0</v>
      </c>
      <c r="D385">
        <v>0</v>
      </c>
    </row>
    <row r="386" spans="1:4">
      <c r="A386" t="s">
        <v>95</v>
      </c>
      <c r="B386" t="s">
        <v>88</v>
      </c>
      <c r="C386">
        <v>1</v>
      </c>
      <c r="D386">
        <v>1</v>
      </c>
    </row>
    <row r="387" spans="1:4">
      <c r="A387" t="s">
        <v>95</v>
      </c>
      <c r="B387" t="s">
        <v>89</v>
      </c>
      <c r="C387">
        <v>0</v>
      </c>
      <c r="D387">
        <v>0</v>
      </c>
    </row>
    <row r="388" spans="1:4">
      <c r="A388" t="s">
        <v>95</v>
      </c>
      <c r="B388" t="s">
        <v>90</v>
      </c>
      <c r="C388">
        <v>0</v>
      </c>
      <c r="D388">
        <v>0</v>
      </c>
    </row>
    <row r="389" spans="1:4">
      <c r="A389" t="s">
        <v>95</v>
      </c>
      <c r="B389" t="s">
        <v>81</v>
      </c>
      <c r="C389">
        <v>1</v>
      </c>
      <c r="D389">
        <v>1</v>
      </c>
    </row>
    <row r="390" spans="1:4">
      <c r="A390" t="s">
        <v>95</v>
      </c>
      <c r="B390" t="s">
        <v>79</v>
      </c>
      <c r="C390">
        <v>2</v>
      </c>
      <c r="D390">
        <v>2</v>
      </c>
    </row>
    <row r="391" spans="1:4">
      <c r="A391" t="s">
        <v>95</v>
      </c>
      <c r="B391" t="s">
        <v>74</v>
      </c>
      <c r="C391">
        <v>3</v>
      </c>
      <c r="D391">
        <v>3</v>
      </c>
    </row>
    <row r="392" spans="1:4">
      <c r="A392" t="s">
        <v>95</v>
      </c>
      <c r="B392" t="s">
        <v>73</v>
      </c>
      <c r="C392">
        <v>2</v>
      </c>
      <c r="D392">
        <v>2</v>
      </c>
    </row>
    <row r="393" spans="1:4">
      <c r="A393" t="s">
        <v>95</v>
      </c>
      <c r="B393" t="s">
        <v>72</v>
      </c>
      <c r="C393">
        <v>2</v>
      </c>
      <c r="D393">
        <v>2</v>
      </c>
    </row>
    <row r="394" spans="1:4">
      <c r="A394" t="s">
        <v>95</v>
      </c>
      <c r="B394" t="s">
        <v>77</v>
      </c>
      <c r="C394">
        <v>1</v>
      </c>
      <c r="D394">
        <v>1</v>
      </c>
    </row>
    <row r="395" spans="1:4">
      <c r="A395" t="s">
        <v>95</v>
      </c>
      <c r="B395" t="s">
        <v>71</v>
      </c>
      <c r="C395">
        <v>0</v>
      </c>
      <c r="D395">
        <v>0</v>
      </c>
    </row>
    <row r="396" spans="1:4">
      <c r="A396" t="s">
        <v>95</v>
      </c>
      <c r="B396" t="s">
        <v>76</v>
      </c>
      <c r="C396">
        <v>2</v>
      </c>
      <c r="D396">
        <v>2</v>
      </c>
    </row>
    <row r="397" spans="1:4">
      <c r="A397" t="s">
        <v>95</v>
      </c>
      <c r="B397" t="s">
        <v>82</v>
      </c>
      <c r="C397">
        <v>2</v>
      </c>
      <c r="D397">
        <v>2</v>
      </c>
    </row>
    <row r="398" spans="1:4">
      <c r="A398" t="s">
        <v>95</v>
      </c>
      <c r="B398" t="s">
        <v>70</v>
      </c>
      <c r="C398">
        <v>3</v>
      </c>
      <c r="D398">
        <v>3</v>
      </c>
    </row>
    <row r="399" spans="1:4">
      <c r="A399" t="s">
        <v>95</v>
      </c>
      <c r="B399" t="s">
        <v>75</v>
      </c>
      <c r="C399">
        <v>3</v>
      </c>
      <c r="D399">
        <v>3</v>
      </c>
    </row>
    <row r="400" spans="1:4">
      <c r="A400" t="s">
        <v>95</v>
      </c>
      <c r="B400" t="s">
        <v>78</v>
      </c>
      <c r="C400">
        <v>0</v>
      </c>
      <c r="D400">
        <v>0</v>
      </c>
    </row>
    <row r="401" spans="1:4">
      <c r="A401" t="s">
        <v>96</v>
      </c>
      <c r="B401" t="s">
        <v>69</v>
      </c>
      <c r="C401">
        <v>3</v>
      </c>
      <c r="D401">
        <v>3</v>
      </c>
    </row>
    <row r="402" spans="1:4">
      <c r="A402" t="s">
        <v>96</v>
      </c>
      <c r="B402" t="s">
        <v>80</v>
      </c>
      <c r="C402">
        <v>0</v>
      </c>
      <c r="D402">
        <v>0</v>
      </c>
    </row>
    <row r="403" spans="1:4">
      <c r="A403" t="s">
        <v>96</v>
      </c>
      <c r="B403" t="s">
        <v>84</v>
      </c>
      <c r="C403">
        <v>0</v>
      </c>
      <c r="D403">
        <v>0</v>
      </c>
    </row>
    <row r="404" spans="1:4">
      <c r="A404" t="s">
        <v>96</v>
      </c>
      <c r="B404" t="s">
        <v>85</v>
      </c>
      <c r="C404">
        <v>0</v>
      </c>
      <c r="D404">
        <v>0</v>
      </c>
    </row>
    <row r="405" spans="1:4">
      <c r="A405" t="s">
        <v>96</v>
      </c>
      <c r="B405" t="s">
        <v>86</v>
      </c>
      <c r="C405">
        <v>0</v>
      </c>
      <c r="D405">
        <v>0</v>
      </c>
    </row>
    <row r="406" spans="1:4">
      <c r="A406" t="s">
        <v>96</v>
      </c>
      <c r="B406" t="s">
        <v>87</v>
      </c>
      <c r="C406">
        <v>1</v>
      </c>
      <c r="D406">
        <v>1</v>
      </c>
    </row>
    <row r="407" spans="1:4">
      <c r="A407" t="s">
        <v>96</v>
      </c>
      <c r="B407" t="s">
        <v>88</v>
      </c>
      <c r="C407">
        <v>0</v>
      </c>
      <c r="D407">
        <v>0</v>
      </c>
    </row>
    <row r="408" spans="1:4">
      <c r="A408" t="s">
        <v>96</v>
      </c>
      <c r="B408" t="s">
        <v>89</v>
      </c>
      <c r="C408">
        <v>1</v>
      </c>
      <c r="D408">
        <v>1</v>
      </c>
    </row>
    <row r="409" spans="1:4">
      <c r="A409" t="s">
        <v>96</v>
      </c>
      <c r="B409" t="s">
        <v>90</v>
      </c>
      <c r="C409">
        <v>1</v>
      </c>
      <c r="D409">
        <v>1</v>
      </c>
    </row>
    <row r="410" spans="1:4">
      <c r="A410" t="s">
        <v>96</v>
      </c>
      <c r="B410" t="s">
        <v>81</v>
      </c>
      <c r="C410">
        <v>1</v>
      </c>
      <c r="D410">
        <v>1</v>
      </c>
    </row>
    <row r="411" spans="1:4">
      <c r="A411" t="s">
        <v>96</v>
      </c>
      <c r="B411" t="s">
        <v>79</v>
      </c>
      <c r="C411">
        <v>0</v>
      </c>
      <c r="D411">
        <v>0</v>
      </c>
    </row>
    <row r="412" spans="1:4">
      <c r="A412" t="s">
        <v>96</v>
      </c>
      <c r="B412" t="s">
        <v>74</v>
      </c>
      <c r="C412">
        <v>3</v>
      </c>
      <c r="D412">
        <v>3</v>
      </c>
    </row>
    <row r="413" spans="1:4">
      <c r="A413" t="s">
        <v>96</v>
      </c>
      <c r="B413" t="s">
        <v>73</v>
      </c>
      <c r="C413">
        <v>2</v>
      </c>
      <c r="D413">
        <v>2</v>
      </c>
    </row>
    <row r="414" spans="1:4">
      <c r="A414" t="s">
        <v>96</v>
      </c>
      <c r="B414" t="s">
        <v>72</v>
      </c>
      <c r="C414">
        <v>2</v>
      </c>
      <c r="D414">
        <v>2</v>
      </c>
    </row>
    <row r="415" spans="1:4">
      <c r="A415" t="s">
        <v>96</v>
      </c>
      <c r="B415" t="s">
        <v>77</v>
      </c>
      <c r="C415">
        <v>1</v>
      </c>
      <c r="D415">
        <v>1</v>
      </c>
    </row>
    <row r="416" spans="1:4">
      <c r="A416" t="s">
        <v>96</v>
      </c>
      <c r="B416" t="s">
        <v>71</v>
      </c>
      <c r="C416">
        <v>0</v>
      </c>
      <c r="D416">
        <v>0</v>
      </c>
    </row>
    <row r="417" spans="1:4">
      <c r="A417" t="s">
        <v>96</v>
      </c>
      <c r="B417" t="s">
        <v>76</v>
      </c>
      <c r="C417">
        <v>2</v>
      </c>
      <c r="D417">
        <v>2</v>
      </c>
    </row>
    <row r="418" spans="1:4">
      <c r="A418" t="s">
        <v>96</v>
      </c>
      <c r="B418" t="s">
        <v>82</v>
      </c>
      <c r="C418">
        <v>2</v>
      </c>
      <c r="D418">
        <v>2</v>
      </c>
    </row>
    <row r="419" spans="1:4">
      <c r="A419" t="s">
        <v>96</v>
      </c>
      <c r="B419" t="s">
        <v>70</v>
      </c>
      <c r="C419">
        <v>3</v>
      </c>
      <c r="D419">
        <v>3</v>
      </c>
    </row>
    <row r="420" spans="1:4">
      <c r="A420" t="s">
        <v>96</v>
      </c>
      <c r="B420" t="s">
        <v>75</v>
      </c>
      <c r="C420">
        <v>3</v>
      </c>
      <c r="D420">
        <v>3</v>
      </c>
    </row>
    <row r="421" spans="1:4">
      <c r="A421" t="s">
        <v>96</v>
      </c>
      <c r="B421" t="s">
        <v>78</v>
      </c>
      <c r="C421">
        <v>2</v>
      </c>
      <c r="D421">
        <v>2</v>
      </c>
    </row>
    <row r="422" spans="1:4">
      <c r="A422" t="s">
        <v>97</v>
      </c>
      <c r="B422" t="s">
        <v>69</v>
      </c>
      <c r="C422">
        <v>3</v>
      </c>
      <c r="D422">
        <v>3</v>
      </c>
    </row>
    <row r="423" spans="1:4">
      <c r="A423" t="s">
        <v>97</v>
      </c>
      <c r="B423" t="s">
        <v>80</v>
      </c>
      <c r="C423">
        <v>0</v>
      </c>
      <c r="D423">
        <v>0</v>
      </c>
    </row>
    <row r="424" spans="1:4">
      <c r="A424" t="s">
        <v>97</v>
      </c>
      <c r="B424" t="s">
        <v>84</v>
      </c>
      <c r="C424">
        <v>0</v>
      </c>
      <c r="D424">
        <v>0</v>
      </c>
    </row>
    <row r="425" spans="1:4">
      <c r="A425" t="s">
        <v>97</v>
      </c>
      <c r="B425" t="s">
        <v>85</v>
      </c>
      <c r="C425">
        <v>0</v>
      </c>
      <c r="D425">
        <v>0</v>
      </c>
    </row>
    <row r="426" spans="1:4">
      <c r="A426" t="s">
        <v>97</v>
      </c>
      <c r="B426" t="s">
        <v>86</v>
      </c>
      <c r="C426">
        <v>0</v>
      </c>
      <c r="D426">
        <v>0</v>
      </c>
    </row>
    <row r="427" spans="1:4">
      <c r="A427" t="s">
        <v>97</v>
      </c>
      <c r="B427" t="s">
        <v>87</v>
      </c>
      <c r="C427">
        <v>1</v>
      </c>
      <c r="D427">
        <v>1</v>
      </c>
    </row>
    <row r="428" spans="1:4">
      <c r="A428" t="s">
        <v>97</v>
      </c>
      <c r="B428" t="s">
        <v>88</v>
      </c>
      <c r="C428">
        <v>0</v>
      </c>
      <c r="D428">
        <v>0</v>
      </c>
    </row>
    <row r="429" spans="1:4">
      <c r="A429" t="s">
        <v>97</v>
      </c>
      <c r="B429" t="s">
        <v>89</v>
      </c>
      <c r="C429">
        <v>1</v>
      </c>
      <c r="D429">
        <v>1</v>
      </c>
    </row>
    <row r="430" spans="1:4">
      <c r="A430" t="s">
        <v>97</v>
      </c>
      <c r="B430" t="s">
        <v>90</v>
      </c>
      <c r="C430">
        <v>1</v>
      </c>
      <c r="D430">
        <v>1</v>
      </c>
    </row>
    <row r="431" spans="1:4">
      <c r="A431" t="s">
        <v>97</v>
      </c>
      <c r="B431" t="s">
        <v>81</v>
      </c>
      <c r="C431">
        <v>1</v>
      </c>
      <c r="D431">
        <v>1</v>
      </c>
    </row>
    <row r="432" spans="1:4">
      <c r="A432" t="s">
        <v>97</v>
      </c>
      <c r="B432" t="s">
        <v>79</v>
      </c>
      <c r="C432">
        <v>0</v>
      </c>
      <c r="D432">
        <v>0</v>
      </c>
    </row>
    <row r="433" spans="1:4">
      <c r="A433" t="s">
        <v>97</v>
      </c>
      <c r="B433" t="s">
        <v>74</v>
      </c>
      <c r="C433">
        <v>3</v>
      </c>
      <c r="D433">
        <v>3</v>
      </c>
    </row>
    <row r="434" spans="1:4">
      <c r="A434" t="s">
        <v>97</v>
      </c>
      <c r="B434" t="s">
        <v>73</v>
      </c>
      <c r="C434">
        <v>2</v>
      </c>
      <c r="D434">
        <v>2</v>
      </c>
    </row>
    <row r="435" spans="1:4">
      <c r="A435" t="s">
        <v>97</v>
      </c>
      <c r="B435" t="s">
        <v>72</v>
      </c>
      <c r="C435">
        <v>2</v>
      </c>
      <c r="D435">
        <v>2</v>
      </c>
    </row>
    <row r="436" spans="1:4">
      <c r="A436" t="s">
        <v>97</v>
      </c>
      <c r="B436" t="s">
        <v>77</v>
      </c>
      <c r="C436">
        <v>1</v>
      </c>
      <c r="D436">
        <v>1</v>
      </c>
    </row>
    <row r="437" spans="1:4">
      <c r="A437" t="s">
        <v>97</v>
      </c>
      <c r="B437" t="s">
        <v>71</v>
      </c>
      <c r="C437">
        <v>0</v>
      </c>
      <c r="D437">
        <v>0</v>
      </c>
    </row>
    <row r="438" spans="1:4">
      <c r="A438" t="s">
        <v>97</v>
      </c>
      <c r="B438" t="s">
        <v>76</v>
      </c>
      <c r="C438">
        <v>2</v>
      </c>
      <c r="D438">
        <v>2</v>
      </c>
    </row>
    <row r="439" spans="1:4">
      <c r="A439" t="s">
        <v>97</v>
      </c>
      <c r="B439" t="s">
        <v>82</v>
      </c>
      <c r="C439">
        <v>2</v>
      </c>
      <c r="D439">
        <v>2</v>
      </c>
    </row>
    <row r="440" spans="1:4">
      <c r="A440" t="s">
        <v>97</v>
      </c>
      <c r="B440" t="s">
        <v>70</v>
      </c>
      <c r="C440">
        <v>3</v>
      </c>
      <c r="D440">
        <v>3</v>
      </c>
    </row>
    <row r="441" spans="1:4">
      <c r="A441" t="s">
        <v>97</v>
      </c>
      <c r="B441" t="s">
        <v>75</v>
      </c>
      <c r="C441">
        <v>3</v>
      </c>
      <c r="D441">
        <v>3</v>
      </c>
    </row>
    <row r="442" spans="1:4">
      <c r="A442" t="s">
        <v>97</v>
      </c>
      <c r="B442" t="s">
        <v>78</v>
      </c>
      <c r="C442">
        <v>2</v>
      </c>
      <c r="D442">
        <v>2</v>
      </c>
    </row>
    <row r="443" spans="1:4">
      <c r="A443" t="s">
        <v>40</v>
      </c>
      <c r="B443" t="s">
        <v>69</v>
      </c>
      <c r="C443">
        <v>3</v>
      </c>
      <c r="D443">
        <v>3</v>
      </c>
    </row>
    <row r="444" spans="1:4">
      <c r="A444" t="s">
        <v>40</v>
      </c>
      <c r="B444" t="s">
        <v>80</v>
      </c>
      <c r="C444">
        <v>2</v>
      </c>
      <c r="D444">
        <v>2</v>
      </c>
    </row>
    <row r="445" spans="1:4">
      <c r="A445" t="s">
        <v>40</v>
      </c>
      <c r="B445" t="s">
        <v>84</v>
      </c>
      <c r="C445">
        <v>1</v>
      </c>
      <c r="D445">
        <v>1</v>
      </c>
    </row>
    <row r="446" spans="1:4">
      <c r="A446" t="s">
        <v>40</v>
      </c>
      <c r="B446" t="s">
        <v>85</v>
      </c>
      <c r="C446">
        <v>1</v>
      </c>
      <c r="D446">
        <v>1</v>
      </c>
    </row>
    <row r="447" spans="1:4">
      <c r="A447" t="s">
        <v>40</v>
      </c>
      <c r="B447" t="s">
        <v>86</v>
      </c>
      <c r="C447">
        <v>0</v>
      </c>
      <c r="D447">
        <v>0</v>
      </c>
    </row>
    <row r="448" spans="1:4">
      <c r="A448" t="s">
        <v>40</v>
      </c>
      <c r="B448" t="s">
        <v>87</v>
      </c>
      <c r="C448">
        <v>0</v>
      </c>
      <c r="D448">
        <v>1</v>
      </c>
    </row>
    <row r="449" spans="1:4">
      <c r="A449" t="s">
        <v>40</v>
      </c>
      <c r="B449" t="s">
        <v>88</v>
      </c>
      <c r="C449">
        <v>1</v>
      </c>
      <c r="D449">
        <v>0</v>
      </c>
    </row>
    <row r="450" spans="1:4">
      <c r="A450" t="s">
        <v>40</v>
      </c>
      <c r="B450" t="s">
        <v>89</v>
      </c>
      <c r="C450">
        <v>0</v>
      </c>
      <c r="D450">
        <v>0</v>
      </c>
    </row>
    <row r="451" spans="1:4">
      <c r="A451" t="s">
        <v>40</v>
      </c>
      <c r="B451" t="s">
        <v>90</v>
      </c>
      <c r="C451">
        <v>0</v>
      </c>
      <c r="D451">
        <v>0</v>
      </c>
    </row>
    <row r="452" spans="1:4">
      <c r="A452" t="s">
        <v>40</v>
      </c>
      <c r="B452" t="s">
        <v>81</v>
      </c>
      <c r="C452">
        <v>1</v>
      </c>
      <c r="D452">
        <v>1</v>
      </c>
    </row>
    <row r="453" spans="1:4">
      <c r="A453" t="s">
        <v>40</v>
      </c>
      <c r="B453" t="s">
        <v>79</v>
      </c>
      <c r="C453">
        <v>2</v>
      </c>
      <c r="D453">
        <v>2</v>
      </c>
    </row>
    <row r="454" spans="1:4">
      <c r="A454" t="s">
        <v>40</v>
      </c>
      <c r="B454" t="s">
        <v>74</v>
      </c>
      <c r="C454">
        <v>3</v>
      </c>
      <c r="D454">
        <v>3</v>
      </c>
    </row>
    <row r="455" spans="1:4">
      <c r="A455" t="s">
        <v>40</v>
      </c>
      <c r="B455" t="s">
        <v>73</v>
      </c>
      <c r="C455">
        <v>0</v>
      </c>
      <c r="D455">
        <v>0</v>
      </c>
    </row>
    <row r="456" spans="1:4">
      <c r="A456" t="s">
        <v>40</v>
      </c>
      <c r="B456" t="s">
        <v>72</v>
      </c>
      <c r="C456">
        <v>2</v>
      </c>
      <c r="D456">
        <v>2</v>
      </c>
    </row>
    <row r="457" spans="1:4">
      <c r="A457" t="s">
        <v>40</v>
      </c>
      <c r="B457" t="s">
        <v>77</v>
      </c>
      <c r="C457">
        <v>1</v>
      </c>
      <c r="D457">
        <v>1</v>
      </c>
    </row>
    <row r="458" spans="1:4">
      <c r="A458" t="s">
        <v>40</v>
      </c>
      <c r="B458" t="s">
        <v>71</v>
      </c>
      <c r="C458">
        <v>0</v>
      </c>
      <c r="D458">
        <v>0</v>
      </c>
    </row>
    <row r="459" spans="1:4">
      <c r="A459" t="s">
        <v>40</v>
      </c>
      <c r="B459" t="s">
        <v>76</v>
      </c>
      <c r="C459">
        <v>1</v>
      </c>
      <c r="D459">
        <v>1</v>
      </c>
    </row>
    <row r="460" spans="1:4">
      <c r="A460" t="s">
        <v>40</v>
      </c>
      <c r="B460" t="s">
        <v>82</v>
      </c>
      <c r="C460">
        <v>2</v>
      </c>
      <c r="D460">
        <v>2</v>
      </c>
    </row>
    <row r="461" spans="1:4">
      <c r="A461" t="s">
        <v>40</v>
      </c>
      <c r="B461" t="s">
        <v>70</v>
      </c>
      <c r="C461">
        <v>3</v>
      </c>
      <c r="D461">
        <v>3</v>
      </c>
    </row>
    <row r="462" spans="1:4">
      <c r="A462" t="s">
        <v>40</v>
      </c>
      <c r="B462" t="s">
        <v>75</v>
      </c>
      <c r="C462">
        <v>3</v>
      </c>
      <c r="D462">
        <v>3</v>
      </c>
    </row>
    <row r="463" spans="1:4">
      <c r="A463" t="s">
        <v>40</v>
      </c>
      <c r="B463" t="s">
        <v>78</v>
      </c>
      <c r="C463">
        <v>0</v>
      </c>
      <c r="D463">
        <v>0</v>
      </c>
    </row>
    <row r="464" spans="1:4">
      <c r="A464" t="s">
        <v>98</v>
      </c>
      <c r="B464" t="s">
        <v>69</v>
      </c>
      <c r="C464">
        <v>3</v>
      </c>
      <c r="D464">
        <v>3</v>
      </c>
    </row>
    <row r="465" spans="1:4">
      <c r="A465" t="s">
        <v>98</v>
      </c>
      <c r="B465" t="s">
        <v>80</v>
      </c>
      <c r="C465">
        <v>0</v>
      </c>
      <c r="D465">
        <v>0</v>
      </c>
    </row>
    <row r="466" spans="1:4">
      <c r="A466" t="s">
        <v>98</v>
      </c>
      <c r="B466" t="s">
        <v>84</v>
      </c>
      <c r="C466">
        <v>0</v>
      </c>
      <c r="D466">
        <v>0</v>
      </c>
    </row>
    <row r="467" spans="1:4">
      <c r="A467" t="s">
        <v>98</v>
      </c>
      <c r="B467" t="s">
        <v>85</v>
      </c>
      <c r="C467">
        <v>0</v>
      </c>
      <c r="D467">
        <v>0</v>
      </c>
    </row>
    <row r="468" spans="1:4">
      <c r="A468" t="s">
        <v>98</v>
      </c>
      <c r="B468" t="s">
        <v>86</v>
      </c>
      <c r="C468">
        <v>0</v>
      </c>
      <c r="D468">
        <v>0</v>
      </c>
    </row>
    <row r="469" spans="1:4">
      <c r="A469" t="s">
        <v>98</v>
      </c>
      <c r="B469" t="s">
        <v>87</v>
      </c>
      <c r="C469">
        <v>1</v>
      </c>
      <c r="D469">
        <v>1</v>
      </c>
    </row>
    <row r="470" spans="1:4">
      <c r="A470" t="s">
        <v>98</v>
      </c>
      <c r="B470" t="s">
        <v>88</v>
      </c>
      <c r="C470">
        <v>0</v>
      </c>
      <c r="D470">
        <v>0</v>
      </c>
    </row>
    <row r="471" spans="1:4">
      <c r="A471" t="s">
        <v>98</v>
      </c>
      <c r="B471" t="s">
        <v>89</v>
      </c>
      <c r="C471">
        <v>1</v>
      </c>
      <c r="D471">
        <v>1</v>
      </c>
    </row>
    <row r="472" spans="1:4">
      <c r="A472" t="s">
        <v>98</v>
      </c>
      <c r="B472" t="s">
        <v>90</v>
      </c>
      <c r="C472">
        <v>1</v>
      </c>
      <c r="D472">
        <v>1</v>
      </c>
    </row>
    <row r="473" spans="1:4">
      <c r="A473" t="s">
        <v>98</v>
      </c>
      <c r="B473" t="s">
        <v>81</v>
      </c>
      <c r="C473">
        <v>1</v>
      </c>
      <c r="D473">
        <v>1</v>
      </c>
    </row>
    <row r="474" spans="1:4">
      <c r="A474" t="s">
        <v>98</v>
      </c>
      <c r="B474" t="s">
        <v>79</v>
      </c>
      <c r="C474">
        <v>0</v>
      </c>
      <c r="D474">
        <v>0</v>
      </c>
    </row>
    <row r="475" spans="1:4">
      <c r="A475" t="s">
        <v>98</v>
      </c>
      <c r="B475" t="s">
        <v>74</v>
      </c>
      <c r="C475">
        <v>3</v>
      </c>
      <c r="D475">
        <v>3</v>
      </c>
    </row>
    <row r="476" spans="1:4">
      <c r="A476" t="s">
        <v>98</v>
      </c>
      <c r="B476" t="s">
        <v>73</v>
      </c>
      <c r="C476">
        <v>0</v>
      </c>
      <c r="D476">
        <v>0</v>
      </c>
    </row>
    <row r="477" spans="1:4">
      <c r="A477" t="s">
        <v>98</v>
      </c>
      <c r="B477" t="s">
        <v>72</v>
      </c>
      <c r="C477">
        <v>2</v>
      </c>
      <c r="D477">
        <v>2</v>
      </c>
    </row>
    <row r="478" spans="1:4">
      <c r="A478" t="s">
        <v>98</v>
      </c>
      <c r="B478" t="s">
        <v>77</v>
      </c>
      <c r="C478">
        <v>1</v>
      </c>
      <c r="D478">
        <v>1</v>
      </c>
    </row>
    <row r="479" spans="1:4">
      <c r="A479" t="s">
        <v>98</v>
      </c>
      <c r="B479" t="s">
        <v>71</v>
      </c>
      <c r="C479">
        <v>2</v>
      </c>
      <c r="D479">
        <v>2</v>
      </c>
    </row>
    <row r="480" spans="1:4">
      <c r="A480" t="s">
        <v>98</v>
      </c>
      <c r="B480" t="s">
        <v>76</v>
      </c>
      <c r="C480">
        <v>1</v>
      </c>
      <c r="D480">
        <v>1</v>
      </c>
    </row>
    <row r="481" spans="1:4">
      <c r="A481" t="s">
        <v>98</v>
      </c>
      <c r="B481" t="s">
        <v>82</v>
      </c>
      <c r="C481">
        <v>2</v>
      </c>
      <c r="D481">
        <v>2</v>
      </c>
    </row>
    <row r="482" spans="1:4">
      <c r="A482" t="s">
        <v>98</v>
      </c>
      <c r="B482" t="s">
        <v>70</v>
      </c>
      <c r="C482">
        <v>3</v>
      </c>
      <c r="D482">
        <v>3</v>
      </c>
    </row>
    <row r="483" spans="1:4">
      <c r="A483" t="s">
        <v>98</v>
      </c>
      <c r="B483" t="s">
        <v>75</v>
      </c>
      <c r="C483">
        <v>3</v>
      </c>
      <c r="D483">
        <v>3</v>
      </c>
    </row>
    <row r="484" spans="1:4">
      <c r="A484" t="s">
        <v>98</v>
      </c>
      <c r="B484" t="s">
        <v>78</v>
      </c>
      <c r="C484">
        <v>2</v>
      </c>
      <c r="D484">
        <v>2</v>
      </c>
    </row>
    <row r="485" spans="1:4">
      <c r="A485" t="s">
        <v>45</v>
      </c>
      <c r="B485" t="s">
        <v>69</v>
      </c>
      <c r="C485">
        <v>3</v>
      </c>
      <c r="D485">
        <v>2</v>
      </c>
    </row>
    <row r="486" spans="1:4">
      <c r="A486" t="s">
        <v>45</v>
      </c>
      <c r="B486" t="s">
        <v>80</v>
      </c>
      <c r="C486">
        <v>2</v>
      </c>
      <c r="D486">
        <v>2</v>
      </c>
    </row>
    <row r="487" spans="1:4">
      <c r="A487" t="s">
        <v>45</v>
      </c>
      <c r="B487" t="s">
        <v>84</v>
      </c>
      <c r="C487">
        <v>0</v>
      </c>
      <c r="D487">
        <v>0</v>
      </c>
    </row>
    <row r="488" spans="1:4">
      <c r="A488" t="s">
        <v>45</v>
      </c>
      <c r="B488" t="s">
        <v>85</v>
      </c>
      <c r="C488">
        <v>0</v>
      </c>
      <c r="D488">
        <v>0</v>
      </c>
    </row>
    <row r="489" spans="1:4">
      <c r="A489" t="s">
        <v>45</v>
      </c>
      <c r="B489" t="s">
        <v>86</v>
      </c>
      <c r="C489">
        <v>0</v>
      </c>
      <c r="D489">
        <v>0</v>
      </c>
    </row>
    <row r="490" spans="1:4">
      <c r="A490" t="s">
        <v>45</v>
      </c>
      <c r="B490" t="s">
        <v>87</v>
      </c>
      <c r="C490">
        <v>1</v>
      </c>
      <c r="D490">
        <v>1</v>
      </c>
    </row>
    <row r="491" spans="1:4">
      <c r="A491" t="s">
        <v>45</v>
      </c>
      <c r="B491" t="s">
        <v>88</v>
      </c>
      <c r="C491">
        <v>0</v>
      </c>
      <c r="D491">
        <v>0</v>
      </c>
    </row>
    <row r="492" spans="1:4">
      <c r="A492" t="s">
        <v>45</v>
      </c>
      <c r="B492" t="s">
        <v>89</v>
      </c>
      <c r="C492">
        <v>1</v>
      </c>
      <c r="D492">
        <v>1</v>
      </c>
    </row>
    <row r="493" spans="1:4">
      <c r="A493" t="s">
        <v>45</v>
      </c>
      <c r="B493" t="s">
        <v>90</v>
      </c>
      <c r="C493">
        <v>1</v>
      </c>
      <c r="D493">
        <v>1</v>
      </c>
    </row>
    <row r="494" spans="1:4">
      <c r="A494" t="s">
        <v>45</v>
      </c>
      <c r="B494" t="s">
        <v>81</v>
      </c>
      <c r="C494">
        <v>1</v>
      </c>
      <c r="D494">
        <v>1</v>
      </c>
    </row>
    <row r="495" spans="1:4">
      <c r="A495" t="s">
        <v>45</v>
      </c>
      <c r="B495" t="s">
        <v>79</v>
      </c>
      <c r="C495">
        <v>0</v>
      </c>
      <c r="D495">
        <v>0</v>
      </c>
    </row>
    <row r="496" spans="1:4">
      <c r="A496" t="s">
        <v>45</v>
      </c>
      <c r="B496" t="s">
        <v>74</v>
      </c>
      <c r="C496">
        <v>3</v>
      </c>
      <c r="D496">
        <v>3</v>
      </c>
    </row>
    <row r="497" spans="1:4">
      <c r="A497" t="s">
        <v>45</v>
      </c>
      <c r="B497" t="s">
        <v>73</v>
      </c>
      <c r="C497">
        <v>2</v>
      </c>
      <c r="D497">
        <v>1</v>
      </c>
    </row>
    <row r="498" spans="1:4">
      <c r="A498" t="s">
        <v>45</v>
      </c>
      <c r="B498" t="s">
        <v>72</v>
      </c>
      <c r="C498">
        <v>0</v>
      </c>
      <c r="D498">
        <v>0</v>
      </c>
    </row>
    <row r="499" spans="1:4">
      <c r="A499" t="s">
        <v>45</v>
      </c>
      <c r="B499" t="s">
        <v>77</v>
      </c>
      <c r="C499">
        <v>1</v>
      </c>
      <c r="D499">
        <v>1</v>
      </c>
    </row>
    <row r="500" spans="1:4">
      <c r="A500" t="s">
        <v>45</v>
      </c>
      <c r="B500" t="s">
        <v>71</v>
      </c>
      <c r="C500">
        <v>0</v>
      </c>
      <c r="D500">
        <v>0</v>
      </c>
    </row>
    <row r="501" spans="1:4">
      <c r="A501" t="s">
        <v>45</v>
      </c>
      <c r="B501" t="s">
        <v>76</v>
      </c>
      <c r="C501">
        <v>1</v>
      </c>
      <c r="D501">
        <v>1</v>
      </c>
    </row>
    <row r="502" spans="1:4">
      <c r="A502" t="s">
        <v>45</v>
      </c>
      <c r="B502" t="s">
        <v>82</v>
      </c>
      <c r="C502">
        <v>2</v>
      </c>
      <c r="D502">
        <v>2</v>
      </c>
    </row>
    <row r="503" spans="1:4">
      <c r="A503" t="s">
        <v>45</v>
      </c>
      <c r="B503" t="s">
        <v>70</v>
      </c>
      <c r="C503">
        <v>3</v>
      </c>
      <c r="D503">
        <v>5</v>
      </c>
    </row>
    <row r="504" spans="1:4">
      <c r="A504" t="s">
        <v>45</v>
      </c>
      <c r="B504" t="s">
        <v>75</v>
      </c>
      <c r="C504">
        <v>3</v>
      </c>
      <c r="D504">
        <v>3</v>
      </c>
    </row>
    <row r="505" spans="1:4">
      <c r="A505" t="s">
        <v>45</v>
      </c>
      <c r="B505" t="s">
        <v>78</v>
      </c>
      <c r="C505">
        <v>2</v>
      </c>
      <c r="D505">
        <v>2</v>
      </c>
    </row>
    <row r="506" spans="1:4">
      <c r="A506" t="s">
        <v>99</v>
      </c>
      <c r="B506" t="s">
        <v>69</v>
      </c>
      <c r="C506">
        <v>3</v>
      </c>
      <c r="D506">
        <v>3</v>
      </c>
    </row>
    <row r="507" spans="1:4">
      <c r="A507" t="s">
        <v>99</v>
      </c>
      <c r="B507" t="s">
        <v>80</v>
      </c>
      <c r="C507">
        <v>2</v>
      </c>
      <c r="D507">
        <v>2</v>
      </c>
    </row>
    <row r="508" spans="1:4">
      <c r="A508" t="s">
        <v>99</v>
      </c>
      <c r="B508" t="s">
        <v>84</v>
      </c>
      <c r="C508">
        <v>0</v>
      </c>
      <c r="D508">
        <v>0</v>
      </c>
    </row>
    <row r="509" spans="1:4">
      <c r="A509" t="s">
        <v>99</v>
      </c>
      <c r="B509" t="s">
        <v>85</v>
      </c>
      <c r="C509">
        <v>0</v>
      </c>
      <c r="D509">
        <v>0</v>
      </c>
    </row>
    <row r="510" spans="1:4">
      <c r="A510" t="s">
        <v>99</v>
      </c>
      <c r="B510" t="s">
        <v>86</v>
      </c>
      <c r="C510">
        <v>0</v>
      </c>
      <c r="D510">
        <v>0</v>
      </c>
    </row>
    <row r="511" spans="1:4">
      <c r="A511" t="s">
        <v>99</v>
      </c>
      <c r="B511" t="s">
        <v>87</v>
      </c>
      <c r="C511">
        <v>1</v>
      </c>
      <c r="D511">
        <v>1</v>
      </c>
    </row>
    <row r="512" spans="1:4">
      <c r="A512" t="s">
        <v>99</v>
      </c>
      <c r="B512" t="s">
        <v>88</v>
      </c>
      <c r="C512">
        <v>0</v>
      </c>
      <c r="D512">
        <v>0</v>
      </c>
    </row>
    <row r="513" spans="1:4">
      <c r="A513" t="s">
        <v>99</v>
      </c>
      <c r="B513" t="s">
        <v>89</v>
      </c>
      <c r="C513">
        <v>1</v>
      </c>
      <c r="D513">
        <v>1</v>
      </c>
    </row>
    <row r="514" spans="1:4">
      <c r="A514" t="s">
        <v>99</v>
      </c>
      <c r="B514" t="s">
        <v>90</v>
      </c>
      <c r="C514">
        <v>1</v>
      </c>
      <c r="D514">
        <v>1</v>
      </c>
    </row>
    <row r="515" spans="1:4">
      <c r="A515" t="s">
        <v>99</v>
      </c>
      <c r="B515" t="s">
        <v>81</v>
      </c>
      <c r="C515">
        <v>1</v>
      </c>
      <c r="D515">
        <v>1</v>
      </c>
    </row>
    <row r="516" spans="1:4">
      <c r="A516" t="s">
        <v>99</v>
      </c>
      <c r="B516" t="s">
        <v>79</v>
      </c>
      <c r="C516">
        <v>0</v>
      </c>
      <c r="D516">
        <v>0</v>
      </c>
    </row>
    <row r="517" spans="1:4">
      <c r="A517" t="s">
        <v>99</v>
      </c>
      <c r="B517" t="s">
        <v>74</v>
      </c>
      <c r="C517">
        <v>3</v>
      </c>
      <c r="D517">
        <v>3</v>
      </c>
    </row>
    <row r="518" spans="1:4">
      <c r="A518" t="s">
        <v>99</v>
      </c>
      <c r="B518" t="s">
        <v>73</v>
      </c>
      <c r="C518">
        <v>2</v>
      </c>
      <c r="D518">
        <v>2</v>
      </c>
    </row>
    <row r="519" spans="1:4">
      <c r="A519" t="s">
        <v>99</v>
      </c>
      <c r="B519" t="s">
        <v>72</v>
      </c>
      <c r="C519">
        <v>0</v>
      </c>
      <c r="D519">
        <v>0</v>
      </c>
    </row>
    <row r="520" spans="1:4">
      <c r="A520" t="s">
        <v>99</v>
      </c>
      <c r="B520" t="s">
        <v>77</v>
      </c>
      <c r="C520">
        <v>1</v>
      </c>
      <c r="D520">
        <v>1</v>
      </c>
    </row>
    <row r="521" spans="1:4">
      <c r="A521" t="s">
        <v>99</v>
      </c>
      <c r="B521" t="s">
        <v>71</v>
      </c>
      <c r="C521">
        <v>0</v>
      </c>
      <c r="D521">
        <v>0</v>
      </c>
    </row>
    <row r="522" spans="1:4">
      <c r="A522" t="s">
        <v>99</v>
      </c>
      <c r="B522" t="s">
        <v>76</v>
      </c>
      <c r="C522">
        <v>1</v>
      </c>
      <c r="D522">
        <v>1</v>
      </c>
    </row>
    <row r="523" spans="1:4">
      <c r="A523" t="s">
        <v>99</v>
      </c>
      <c r="B523" t="s">
        <v>82</v>
      </c>
      <c r="C523">
        <v>2</v>
      </c>
      <c r="D523">
        <v>2</v>
      </c>
    </row>
    <row r="524" spans="1:4">
      <c r="A524" t="s">
        <v>99</v>
      </c>
      <c r="B524" t="s">
        <v>70</v>
      </c>
      <c r="C524">
        <v>3</v>
      </c>
      <c r="D524">
        <v>3</v>
      </c>
    </row>
    <row r="525" spans="1:4">
      <c r="A525" t="s">
        <v>99</v>
      </c>
      <c r="B525" t="s">
        <v>75</v>
      </c>
      <c r="C525">
        <v>3</v>
      </c>
      <c r="D525">
        <v>3</v>
      </c>
    </row>
    <row r="526" spans="1:4">
      <c r="A526" t="s">
        <v>99</v>
      </c>
      <c r="B526" t="s">
        <v>78</v>
      </c>
      <c r="C526">
        <v>2</v>
      </c>
      <c r="D526">
        <v>2</v>
      </c>
    </row>
    <row r="527" spans="1:4">
      <c r="A527" t="s">
        <v>48</v>
      </c>
      <c r="B527" t="s">
        <v>69</v>
      </c>
      <c r="C527">
        <v>3</v>
      </c>
      <c r="D527">
        <v>3</v>
      </c>
    </row>
    <row r="528" spans="1:4">
      <c r="A528" t="s">
        <v>48</v>
      </c>
      <c r="B528" t="s">
        <v>80</v>
      </c>
      <c r="C528">
        <v>2</v>
      </c>
      <c r="D528">
        <v>2</v>
      </c>
    </row>
    <row r="529" spans="1:4">
      <c r="A529" t="s">
        <v>48</v>
      </c>
      <c r="B529" t="s">
        <v>84</v>
      </c>
      <c r="C529">
        <v>0</v>
      </c>
      <c r="D529">
        <v>0</v>
      </c>
    </row>
    <row r="530" spans="1:4">
      <c r="A530" t="s">
        <v>48</v>
      </c>
      <c r="B530" t="s">
        <v>85</v>
      </c>
      <c r="C530">
        <v>0</v>
      </c>
      <c r="D530">
        <v>0</v>
      </c>
    </row>
    <row r="531" spans="1:4">
      <c r="A531" t="s">
        <v>48</v>
      </c>
      <c r="B531" t="s">
        <v>86</v>
      </c>
      <c r="C531">
        <v>0</v>
      </c>
      <c r="D531">
        <v>0</v>
      </c>
    </row>
    <row r="532" spans="1:4">
      <c r="A532" t="s">
        <v>48</v>
      </c>
      <c r="B532" t="s">
        <v>87</v>
      </c>
      <c r="C532">
        <v>1</v>
      </c>
      <c r="D532">
        <v>0</v>
      </c>
    </row>
    <row r="533" spans="1:4">
      <c r="A533" t="s">
        <v>48</v>
      </c>
      <c r="B533" t="s">
        <v>88</v>
      </c>
      <c r="C533">
        <v>0</v>
      </c>
      <c r="D533">
        <v>1</v>
      </c>
    </row>
    <row r="534" spans="1:4">
      <c r="A534" t="s">
        <v>48</v>
      </c>
      <c r="B534" t="s">
        <v>89</v>
      </c>
      <c r="C534">
        <v>1</v>
      </c>
      <c r="D534">
        <v>1</v>
      </c>
    </row>
    <row r="535" spans="1:4">
      <c r="A535" t="s">
        <v>48</v>
      </c>
      <c r="B535" t="s">
        <v>90</v>
      </c>
      <c r="C535">
        <v>1</v>
      </c>
      <c r="D535">
        <v>1</v>
      </c>
    </row>
    <row r="536" spans="1:4">
      <c r="A536" t="s">
        <v>48</v>
      </c>
      <c r="B536" t="s">
        <v>81</v>
      </c>
      <c r="C536">
        <v>1</v>
      </c>
      <c r="D536">
        <v>1</v>
      </c>
    </row>
    <row r="537" spans="1:4">
      <c r="A537" t="s">
        <v>48</v>
      </c>
      <c r="B537" t="s">
        <v>79</v>
      </c>
      <c r="C537">
        <v>0</v>
      </c>
      <c r="D537">
        <v>0</v>
      </c>
    </row>
    <row r="538" spans="1:4">
      <c r="A538" t="s">
        <v>48</v>
      </c>
      <c r="B538" t="s">
        <v>74</v>
      </c>
      <c r="C538">
        <v>3</v>
      </c>
      <c r="D538">
        <v>3</v>
      </c>
    </row>
    <row r="539" spans="1:4">
      <c r="A539" t="s">
        <v>48</v>
      </c>
      <c r="B539" t="s">
        <v>73</v>
      </c>
      <c r="C539">
        <v>2</v>
      </c>
      <c r="D539">
        <v>2</v>
      </c>
    </row>
    <row r="540" spans="1:4">
      <c r="A540" t="s">
        <v>48</v>
      </c>
      <c r="B540" t="s">
        <v>72</v>
      </c>
      <c r="C540">
        <v>0</v>
      </c>
      <c r="D540">
        <v>0</v>
      </c>
    </row>
    <row r="541" spans="1:4">
      <c r="A541" t="s">
        <v>48</v>
      </c>
      <c r="B541" t="s">
        <v>77</v>
      </c>
      <c r="C541">
        <v>1</v>
      </c>
      <c r="D541">
        <v>1</v>
      </c>
    </row>
    <row r="542" spans="1:4">
      <c r="A542" t="s">
        <v>48</v>
      </c>
      <c r="B542" t="s">
        <v>71</v>
      </c>
      <c r="C542">
        <v>0</v>
      </c>
      <c r="D542">
        <v>0</v>
      </c>
    </row>
    <row r="543" spans="1:4">
      <c r="A543" t="s">
        <v>48</v>
      </c>
      <c r="B543" t="s">
        <v>76</v>
      </c>
      <c r="C543">
        <v>1</v>
      </c>
      <c r="D543">
        <v>1</v>
      </c>
    </row>
    <row r="544" spans="1:4">
      <c r="A544" t="s">
        <v>48</v>
      </c>
      <c r="B544" t="s">
        <v>82</v>
      </c>
      <c r="C544">
        <v>2</v>
      </c>
      <c r="D544">
        <v>2</v>
      </c>
    </row>
    <row r="545" spans="1:4">
      <c r="A545" t="s">
        <v>48</v>
      </c>
      <c r="B545" t="s">
        <v>70</v>
      </c>
      <c r="C545">
        <v>3</v>
      </c>
      <c r="D545">
        <v>3</v>
      </c>
    </row>
    <row r="546" spans="1:4">
      <c r="A546" t="s">
        <v>48</v>
      </c>
      <c r="B546" t="s">
        <v>75</v>
      </c>
      <c r="C546">
        <v>3</v>
      </c>
      <c r="D546">
        <v>3</v>
      </c>
    </row>
    <row r="547" spans="1:4">
      <c r="A547" t="s">
        <v>48</v>
      </c>
      <c r="B547" t="s">
        <v>78</v>
      </c>
      <c r="C547">
        <v>2</v>
      </c>
      <c r="D547">
        <v>2</v>
      </c>
    </row>
    <row r="548" spans="1:4">
      <c r="A548" t="s">
        <v>100</v>
      </c>
      <c r="B548" t="s">
        <v>69</v>
      </c>
      <c r="C548">
        <v>3</v>
      </c>
      <c r="D548">
        <v>3</v>
      </c>
    </row>
    <row r="549" spans="1:4">
      <c r="A549" t="s">
        <v>100</v>
      </c>
      <c r="B549" t="s">
        <v>80</v>
      </c>
      <c r="C549">
        <v>2</v>
      </c>
      <c r="D549">
        <v>2</v>
      </c>
    </row>
    <row r="550" spans="1:4">
      <c r="A550" t="s">
        <v>100</v>
      </c>
      <c r="B550" t="s">
        <v>84</v>
      </c>
      <c r="C550">
        <v>0</v>
      </c>
      <c r="D550">
        <v>0</v>
      </c>
    </row>
    <row r="551" spans="1:4">
      <c r="A551" t="s">
        <v>100</v>
      </c>
      <c r="B551" t="s">
        <v>85</v>
      </c>
      <c r="C551">
        <v>0</v>
      </c>
      <c r="D551">
        <v>0</v>
      </c>
    </row>
    <row r="552" spans="1:4">
      <c r="A552" t="s">
        <v>100</v>
      </c>
      <c r="B552" t="s">
        <v>86</v>
      </c>
      <c r="C552">
        <v>0</v>
      </c>
      <c r="D552">
        <v>0</v>
      </c>
    </row>
    <row r="553" spans="1:4">
      <c r="A553" t="s">
        <v>100</v>
      </c>
      <c r="B553" t="s">
        <v>87</v>
      </c>
      <c r="C553">
        <v>1</v>
      </c>
      <c r="D553">
        <v>1</v>
      </c>
    </row>
    <row r="554" spans="1:4">
      <c r="A554" t="s">
        <v>100</v>
      </c>
      <c r="B554" t="s">
        <v>88</v>
      </c>
      <c r="C554">
        <v>0</v>
      </c>
      <c r="D554">
        <v>0</v>
      </c>
    </row>
    <row r="555" spans="1:4">
      <c r="A555" t="s">
        <v>100</v>
      </c>
      <c r="B555" t="s">
        <v>89</v>
      </c>
      <c r="C555">
        <v>1</v>
      </c>
      <c r="D555">
        <v>1</v>
      </c>
    </row>
    <row r="556" spans="1:4">
      <c r="A556" t="s">
        <v>100</v>
      </c>
      <c r="B556" t="s">
        <v>90</v>
      </c>
      <c r="C556">
        <v>1</v>
      </c>
      <c r="D556">
        <v>1</v>
      </c>
    </row>
    <row r="557" spans="1:4">
      <c r="A557" t="s">
        <v>100</v>
      </c>
      <c r="B557" t="s">
        <v>81</v>
      </c>
      <c r="C557">
        <v>1</v>
      </c>
      <c r="D557">
        <v>1</v>
      </c>
    </row>
    <row r="558" spans="1:4">
      <c r="A558" t="s">
        <v>100</v>
      </c>
      <c r="B558" t="s">
        <v>79</v>
      </c>
      <c r="C558">
        <v>0</v>
      </c>
      <c r="D558">
        <v>0</v>
      </c>
    </row>
    <row r="559" spans="1:4">
      <c r="A559" t="s">
        <v>100</v>
      </c>
      <c r="B559" t="s">
        <v>74</v>
      </c>
      <c r="C559">
        <v>3</v>
      </c>
      <c r="D559">
        <v>3</v>
      </c>
    </row>
    <row r="560" spans="1:4">
      <c r="A560" t="s">
        <v>100</v>
      </c>
      <c r="B560" t="s">
        <v>73</v>
      </c>
      <c r="C560">
        <v>2</v>
      </c>
      <c r="D560">
        <v>2</v>
      </c>
    </row>
    <row r="561" spans="1:4">
      <c r="A561" t="s">
        <v>100</v>
      </c>
      <c r="B561" t="s">
        <v>72</v>
      </c>
      <c r="C561">
        <v>0</v>
      </c>
      <c r="D561">
        <v>0</v>
      </c>
    </row>
    <row r="562" spans="1:4">
      <c r="A562" t="s">
        <v>100</v>
      </c>
      <c r="B562" t="s">
        <v>77</v>
      </c>
      <c r="C562">
        <v>1</v>
      </c>
      <c r="D562">
        <v>1</v>
      </c>
    </row>
    <row r="563" spans="1:4">
      <c r="A563" t="s">
        <v>100</v>
      </c>
      <c r="B563" t="s">
        <v>71</v>
      </c>
      <c r="C563">
        <v>0</v>
      </c>
      <c r="D563">
        <v>0</v>
      </c>
    </row>
    <row r="564" spans="1:4">
      <c r="A564" t="s">
        <v>100</v>
      </c>
      <c r="B564" t="s">
        <v>76</v>
      </c>
      <c r="C564">
        <v>1</v>
      </c>
      <c r="D564">
        <v>1</v>
      </c>
    </row>
    <row r="565" spans="1:4">
      <c r="A565" t="s">
        <v>100</v>
      </c>
      <c r="B565" t="s">
        <v>82</v>
      </c>
      <c r="C565">
        <v>2</v>
      </c>
      <c r="D565">
        <v>2</v>
      </c>
    </row>
    <row r="566" spans="1:4">
      <c r="A566" t="s">
        <v>100</v>
      </c>
      <c r="B566" t="s">
        <v>70</v>
      </c>
      <c r="C566">
        <v>3</v>
      </c>
      <c r="D566">
        <v>3</v>
      </c>
    </row>
    <row r="567" spans="1:4">
      <c r="A567" t="s">
        <v>100</v>
      </c>
      <c r="B567" t="s">
        <v>75</v>
      </c>
      <c r="C567">
        <v>3</v>
      </c>
      <c r="D567">
        <v>3</v>
      </c>
    </row>
    <row r="568" spans="1:4">
      <c r="A568" t="s">
        <v>100</v>
      </c>
      <c r="B568" t="s">
        <v>78</v>
      </c>
      <c r="C568">
        <v>2</v>
      </c>
      <c r="D568">
        <v>2</v>
      </c>
    </row>
    <row r="569" spans="1:4">
      <c r="A569" t="s">
        <v>101</v>
      </c>
      <c r="B569" t="s">
        <v>69</v>
      </c>
      <c r="C569">
        <v>3</v>
      </c>
      <c r="D569">
        <v>3</v>
      </c>
    </row>
    <row r="570" spans="1:4">
      <c r="A570" t="s">
        <v>101</v>
      </c>
      <c r="B570" t="s">
        <v>80</v>
      </c>
      <c r="C570">
        <v>2</v>
      </c>
      <c r="D570">
        <v>2</v>
      </c>
    </row>
    <row r="571" spans="1:4">
      <c r="A571" t="s">
        <v>101</v>
      </c>
      <c r="B571" t="s">
        <v>84</v>
      </c>
      <c r="C571">
        <v>0</v>
      </c>
      <c r="D571">
        <v>0</v>
      </c>
    </row>
    <row r="572" spans="1:4">
      <c r="A572" t="s">
        <v>101</v>
      </c>
      <c r="B572" t="s">
        <v>85</v>
      </c>
      <c r="C572">
        <v>0</v>
      </c>
      <c r="D572">
        <v>0</v>
      </c>
    </row>
    <row r="573" spans="1:4">
      <c r="A573" t="s">
        <v>101</v>
      </c>
      <c r="B573" t="s">
        <v>86</v>
      </c>
      <c r="C573">
        <v>0</v>
      </c>
      <c r="D573">
        <v>0</v>
      </c>
    </row>
    <row r="574" spans="1:4">
      <c r="A574" t="s">
        <v>101</v>
      </c>
      <c r="B574" t="s">
        <v>87</v>
      </c>
      <c r="C574">
        <v>1</v>
      </c>
      <c r="D574">
        <v>1</v>
      </c>
    </row>
    <row r="575" spans="1:4">
      <c r="A575" t="s">
        <v>101</v>
      </c>
      <c r="B575" t="s">
        <v>88</v>
      </c>
      <c r="C575">
        <v>0</v>
      </c>
      <c r="D575">
        <v>0</v>
      </c>
    </row>
    <row r="576" spans="1:4">
      <c r="A576" t="s">
        <v>101</v>
      </c>
      <c r="B576" t="s">
        <v>89</v>
      </c>
      <c r="C576">
        <v>1</v>
      </c>
      <c r="D576">
        <v>1</v>
      </c>
    </row>
    <row r="577" spans="1:4">
      <c r="A577" t="s">
        <v>101</v>
      </c>
      <c r="B577" t="s">
        <v>90</v>
      </c>
      <c r="C577">
        <v>1</v>
      </c>
      <c r="D577">
        <v>1</v>
      </c>
    </row>
    <row r="578" spans="1:4">
      <c r="A578" t="s">
        <v>101</v>
      </c>
      <c r="B578" t="s">
        <v>81</v>
      </c>
      <c r="C578">
        <v>1</v>
      </c>
      <c r="D578">
        <v>1</v>
      </c>
    </row>
    <row r="579" spans="1:4">
      <c r="A579" t="s">
        <v>101</v>
      </c>
      <c r="B579" t="s">
        <v>79</v>
      </c>
      <c r="C579">
        <v>0</v>
      </c>
      <c r="D579">
        <v>0</v>
      </c>
    </row>
    <row r="580" spans="1:4">
      <c r="A580" t="s">
        <v>101</v>
      </c>
      <c r="B580" t="s">
        <v>74</v>
      </c>
      <c r="C580">
        <v>3</v>
      </c>
      <c r="D580">
        <v>3</v>
      </c>
    </row>
    <row r="581" spans="1:4">
      <c r="A581" t="s">
        <v>101</v>
      </c>
      <c r="B581" t="s">
        <v>73</v>
      </c>
      <c r="C581">
        <v>2</v>
      </c>
      <c r="D581">
        <v>2</v>
      </c>
    </row>
    <row r="582" spans="1:4">
      <c r="A582" t="s">
        <v>101</v>
      </c>
      <c r="B582" t="s">
        <v>72</v>
      </c>
      <c r="C582">
        <v>0</v>
      </c>
      <c r="D582">
        <v>0</v>
      </c>
    </row>
    <row r="583" spans="1:4">
      <c r="A583" t="s">
        <v>101</v>
      </c>
      <c r="B583" t="s">
        <v>77</v>
      </c>
      <c r="C583">
        <v>1</v>
      </c>
      <c r="D583">
        <v>1</v>
      </c>
    </row>
    <row r="584" spans="1:4">
      <c r="A584" t="s">
        <v>101</v>
      </c>
      <c r="B584" t="s">
        <v>71</v>
      </c>
      <c r="C584">
        <v>0</v>
      </c>
      <c r="D584">
        <v>0</v>
      </c>
    </row>
    <row r="585" spans="1:4">
      <c r="A585" t="s">
        <v>101</v>
      </c>
      <c r="B585" t="s">
        <v>76</v>
      </c>
      <c r="C585">
        <v>1</v>
      </c>
      <c r="D585">
        <v>1</v>
      </c>
    </row>
    <row r="586" spans="1:4">
      <c r="A586" t="s">
        <v>101</v>
      </c>
      <c r="B586" t="s">
        <v>82</v>
      </c>
      <c r="C586">
        <v>2</v>
      </c>
      <c r="D586">
        <v>2</v>
      </c>
    </row>
    <row r="587" spans="1:4">
      <c r="A587" t="s">
        <v>101</v>
      </c>
      <c r="B587" t="s">
        <v>70</v>
      </c>
      <c r="C587">
        <v>3</v>
      </c>
      <c r="D587">
        <v>3</v>
      </c>
    </row>
    <row r="588" spans="1:4">
      <c r="A588" t="s">
        <v>101</v>
      </c>
      <c r="B588" t="s">
        <v>75</v>
      </c>
      <c r="C588">
        <v>3</v>
      </c>
      <c r="D588">
        <v>3</v>
      </c>
    </row>
    <row r="589" spans="1:4">
      <c r="A589" t="s">
        <v>101</v>
      </c>
      <c r="B589" t="s">
        <v>78</v>
      </c>
      <c r="C589">
        <v>2</v>
      </c>
      <c r="D589">
        <v>2</v>
      </c>
    </row>
    <row r="590" spans="1:4">
      <c r="A590" t="s">
        <v>41</v>
      </c>
      <c r="B590" t="s">
        <v>69</v>
      </c>
      <c r="C590">
        <v>3</v>
      </c>
      <c r="D590">
        <v>3</v>
      </c>
    </row>
    <row r="591" spans="1:4">
      <c r="A591" t="s">
        <v>41</v>
      </c>
      <c r="B591" t="s">
        <v>80</v>
      </c>
      <c r="C591">
        <v>0</v>
      </c>
      <c r="D591">
        <v>0</v>
      </c>
    </row>
    <row r="592" spans="1:4">
      <c r="A592" t="s">
        <v>41</v>
      </c>
      <c r="B592" t="s">
        <v>84</v>
      </c>
      <c r="C592">
        <v>1</v>
      </c>
      <c r="D592">
        <v>1</v>
      </c>
    </row>
    <row r="593" spans="1:4">
      <c r="A593" t="s">
        <v>41</v>
      </c>
      <c r="B593" t="s">
        <v>85</v>
      </c>
      <c r="C593">
        <v>0</v>
      </c>
      <c r="D593">
        <v>0</v>
      </c>
    </row>
    <row r="594" spans="1:4">
      <c r="A594" t="s">
        <v>41</v>
      </c>
      <c r="B594" t="s">
        <v>86</v>
      </c>
      <c r="C594">
        <v>1</v>
      </c>
      <c r="D594">
        <v>1</v>
      </c>
    </row>
    <row r="595" spans="1:4">
      <c r="A595" t="s">
        <v>41</v>
      </c>
      <c r="B595" t="s">
        <v>87</v>
      </c>
      <c r="C595">
        <v>0</v>
      </c>
      <c r="D595">
        <v>0</v>
      </c>
    </row>
    <row r="596" spans="1:4">
      <c r="A596" t="s">
        <v>41</v>
      </c>
      <c r="B596" t="s">
        <v>88</v>
      </c>
      <c r="C596">
        <v>1</v>
      </c>
      <c r="D596">
        <v>1</v>
      </c>
    </row>
    <row r="597" spans="1:4">
      <c r="A597" t="s">
        <v>41</v>
      </c>
      <c r="B597" t="s">
        <v>89</v>
      </c>
      <c r="C597">
        <v>0</v>
      </c>
      <c r="D597">
        <v>0</v>
      </c>
    </row>
    <row r="598" spans="1:4">
      <c r="A598" t="s">
        <v>41</v>
      </c>
      <c r="B598" t="s">
        <v>90</v>
      </c>
      <c r="C598">
        <v>0</v>
      </c>
      <c r="D598">
        <v>0</v>
      </c>
    </row>
    <row r="599" spans="1:4">
      <c r="A599" t="s">
        <v>41</v>
      </c>
      <c r="B599" t="s">
        <v>81</v>
      </c>
      <c r="C599">
        <v>1</v>
      </c>
      <c r="D599">
        <v>1</v>
      </c>
    </row>
    <row r="600" spans="1:4">
      <c r="A600" t="s">
        <v>41</v>
      </c>
      <c r="B600" t="s">
        <v>79</v>
      </c>
      <c r="C600">
        <v>2</v>
      </c>
      <c r="D600">
        <v>2</v>
      </c>
    </row>
    <row r="601" spans="1:4">
      <c r="A601" t="s">
        <v>41</v>
      </c>
      <c r="B601" t="s">
        <v>74</v>
      </c>
      <c r="C601">
        <v>3</v>
      </c>
      <c r="D601">
        <v>3</v>
      </c>
    </row>
    <row r="602" spans="1:4">
      <c r="A602" t="s">
        <v>41</v>
      </c>
      <c r="B602" t="s">
        <v>73</v>
      </c>
      <c r="C602">
        <v>2</v>
      </c>
      <c r="D602">
        <v>2</v>
      </c>
    </row>
    <row r="603" spans="1:4">
      <c r="A603" t="s">
        <v>41</v>
      </c>
      <c r="B603" t="s">
        <v>72</v>
      </c>
      <c r="C603">
        <v>2</v>
      </c>
      <c r="D603">
        <v>2</v>
      </c>
    </row>
    <row r="604" spans="1:4">
      <c r="A604" t="s">
        <v>41</v>
      </c>
      <c r="B604" t="s">
        <v>77</v>
      </c>
      <c r="C604">
        <v>1</v>
      </c>
      <c r="D604">
        <v>1</v>
      </c>
    </row>
    <row r="605" spans="1:4">
      <c r="A605" t="s">
        <v>41</v>
      </c>
      <c r="B605" t="s">
        <v>71</v>
      </c>
      <c r="C605">
        <v>2</v>
      </c>
      <c r="D605">
        <v>2</v>
      </c>
    </row>
    <row r="606" spans="1:4">
      <c r="A606" t="s">
        <v>41</v>
      </c>
      <c r="B606" t="s">
        <v>76</v>
      </c>
      <c r="C606">
        <v>1</v>
      </c>
      <c r="D606">
        <v>1</v>
      </c>
    </row>
    <row r="607" spans="1:4">
      <c r="A607" t="s">
        <v>41</v>
      </c>
      <c r="B607" t="s">
        <v>82</v>
      </c>
      <c r="C607">
        <v>0</v>
      </c>
      <c r="D607">
        <v>0</v>
      </c>
    </row>
    <row r="608" spans="1:4">
      <c r="A608" t="s">
        <v>41</v>
      </c>
      <c r="B608" t="s">
        <v>70</v>
      </c>
      <c r="C608">
        <v>3</v>
      </c>
      <c r="D608">
        <v>2</v>
      </c>
    </row>
    <row r="609" spans="1:4">
      <c r="A609" t="s">
        <v>41</v>
      </c>
      <c r="B609" t="s">
        <v>75</v>
      </c>
      <c r="C609">
        <v>3</v>
      </c>
      <c r="D609">
        <v>4</v>
      </c>
    </row>
    <row r="610" spans="1:4">
      <c r="A610" t="s">
        <v>41</v>
      </c>
      <c r="B610" t="s">
        <v>78</v>
      </c>
      <c r="C610">
        <v>0</v>
      </c>
      <c r="D610">
        <v>0</v>
      </c>
    </row>
    <row r="611" spans="1:4">
      <c r="A611" t="s">
        <v>42</v>
      </c>
      <c r="B611" t="s">
        <v>69</v>
      </c>
      <c r="C611">
        <v>3</v>
      </c>
      <c r="D611">
        <v>4</v>
      </c>
    </row>
    <row r="612" spans="1:4">
      <c r="A612" t="s">
        <v>42</v>
      </c>
      <c r="B612" t="s">
        <v>80</v>
      </c>
      <c r="C612">
        <v>0</v>
      </c>
      <c r="D612">
        <v>0</v>
      </c>
    </row>
    <row r="613" spans="1:4">
      <c r="A613" t="s">
        <v>42</v>
      </c>
      <c r="B613" t="s">
        <v>84</v>
      </c>
      <c r="C613">
        <v>1</v>
      </c>
      <c r="D613">
        <v>1</v>
      </c>
    </row>
    <row r="614" spans="1:4">
      <c r="A614" t="s">
        <v>42</v>
      </c>
      <c r="B614" t="s">
        <v>85</v>
      </c>
      <c r="C614">
        <v>0</v>
      </c>
      <c r="D614">
        <v>0</v>
      </c>
    </row>
    <row r="615" spans="1:4">
      <c r="A615" t="s">
        <v>42</v>
      </c>
      <c r="B615" t="s">
        <v>86</v>
      </c>
      <c r="C615">
        <v>1</v>
      </c>
      <c r="D615">
        <v>1</v>
      </c>
    </row>
    <row r="616" spans="1:4">
      <c r="A616" t="s">
        <v>42</v>
      </c>
      <c r="B616" t="s">
        <v>87</v>
      </c>
      <c r="C616">
        <v>0</v>
      </c>
      <c r="D616">
        <v>0</v>
      </c>
    </row>
    <row r="617" spans="1:4">
      <c r="A617" t="s">
        <v>42</v>
      </c>
      <c r="B617" t="s">
        <v>88</v>
      </c>
      <c r="C617">
        <v>1</v>
      </c>
      <c r="D617">
        <v>1</v>
      </c>
    </row>
    <row r="618" spans="1:4">
      <c r="A618" t="s">
        <v>42</v>
      </c>
      <c r="B618" t="s">
        <v>89</v>
      </c>
      <c r="C618">
        <v>0</v>
      </c>
      <c r="D618">
        <v>0</v>
      </c>
    </row>
    <row r="619" spans="1:4">
      <c r="A619" t="s">
        <v>42</v>
      </c>
      <c r="B619" t="s">
        <v>90</v>
      </c>
      <c r="C619">
        <v>0</v>
      </c>
      <c r="D619">
        <v>0</v>
      </c>
    </row>
    <row r="620" spans="1:4">
      <c r="A620" t="s">
        <v>42</v>
      </c>
      <c r="B620" t="s">
        <v>81</v>
      </c>
      <c r="C620">
        <v>1</v>
      </c>
      <c r="D620">
        <v>1</v>
      </c>
    </row>
    <row r="621" spans="1:4">
      <c r="A621" t="s">
        <v>42</v>
      </c>
      <c r="B621" t="s">
        <v>79</v>
      </c>
      <c r="C621">
        <v>2</v>
      </c>
      <c r="D621">
        <v>2</v>
      </c>
    </row>
    <row r="622" spans="1:4">
      <c r="A622" t="s">
        <v>42</v>
      </c>
      <c r="B622" t="s">
        <v>74</v>
      </c>
      <c r="C622">
        <v>3</v>
      </c>
      <c r="D622">
        <v>3</v>
      </c>
    </row>
    <row r="623" spans="1:4">
      <c r="A623" t="s">
        <v>42</v>
      </c>
      <c r="B623" t="s">
        <v>73</v>
      </c>
      <c r="C623">
        <v>2</v>
      </c>
      <c r="D623">
        <v>2</v>
      </c>
    </row>
    <row r="624" spans="1:4">
      <c r="A624" t="s">
        <v>42</v>
      </c>
      <c r="B624" t="s">
        <v>72</v>
      </c>
      <c r="C624">
        <v>2</v>
      </c>
      <c r="D624">
        <v>2</v>
      </c>
    </row>
    <row r="625" spans="1:4">
      <c r="A625" t="s">
        <v>42</v>
      </c>
      <c r="B625" t="s">
        <v>77</v>
      </c>
      <c r="C625">
        <v>1</v>
      </c>
      <c r="D625">
        <v>1</v>
      </c>
    </row>
    <row r="626" spans="1:4">
      <c r="A626" t="s">
        <v>42</v>
      </c>
      <c r="B626" t="s">
        <v>71</v>
      </c>
      <c r="C626">
        <v>2</v>
      </c>
      <c r="D626">
        <v>2</v>
      </c>
    </row>
    <row r="627" spans="1:4">
      <c r="A627" t="s">
        <v>42</v>
      </c>
      <c r="B627" t="s">
        <v>76</v>
      </c>
      <c r="C627">
        <v>1</v>
      </c>
      <c r="D627">
        <v>1</v>
      </c>
    </row>
    <row r="628" spans="1:4">
      <c r="A628" t="s">
        <v>42</v>
      </c>
      <c r="B628" t="s">
        <v>82</v>
      </c>
      <c r="C628">
        <v>0</v>
      </c>
      <c r="D628">
        <v>0</v>
      </c>
    </row>
    <row r="629" spans="1:4">
      <c r="A629" t="s">
        <v>42</v>
      </c>
      <c r="B629" t="s">
        <v>70</v>
      </c>
      <c r="C629">
        <v>3</v>
      </c>
      <c r="D629">
        <v>2</v>
      </c>
    </row>
    <row r="630" spans="1:4">
      <c r="A630" t="s">
        <v>42</v>
      </c>
      <c r="B630" t="s">
        <v>75</v>
      </c>
      <c r="C630">
        <v>3</v>
      </c>
      <c r="D630">
        <v>3</v>
      </c>
    </row>
    <row r="631" spans="1:4">
      <c r="A631" t="s">
        <v>42</v>
      </c>
      <c r="B631" t="s">
        <v>78</v>
      </c>
      <c r="C631">
        <v>0</v>
      </c>
      <c r="D631">
        <v>0</v>
      </c>
    </row>
    <row r="632" spans="1:4">
      <c r="A632" t="s">
        <v>44</v>
      </c>
      <c r="B632" t="s">
        <v>69</v>
      </c>
      <c r="C632">
        <v>3</v>
      </c>
      <c r="D632">
        <v>3</v>
      </c>
    </row>
    <row r="633" spans="1:4">
      <c r="A633" t="s">
        <v>44</v>
      </c>
      <c r="B633" t="s">
        <v>80</v>
      </c>
      <c r="C633">
        <v>0</v>
      </c>
      <c r="D633">
        <v>0</v>
      </c>
    </row>
    <row r="634" spans="1:4">
      <c r="A634" t="s">
        <v>44</v>
      </c>
      <c r="B634" t="s">
        <v>84</v>
      </c>
      <c r="C634">
        <v>1</v>
      </c>
      <c r="D634">
        <v>1</v>
      </c>
    </row>
    <row r="635" spans="1:4">
      <c r="A635" t="s">
        <v>44</v>
      </c>
      <c r="B635" t="s">
        <v>85</v>
      </c>
      <c r="C635">
        <v>1</v>
      </c>
      <c r="D635">
        <v>1</v>
      </c>
    </row>
    <row r="636" spans="1:4">
      <c r="A636" t="s">
        <v>44</v>
      </c>
      <c r="B636" t="s">
        <v>86</v>
      </c>
      <c r="C636">
        <v>0</v>
      </c>
      <c r="D636">
        <v>0</v>
      </c>
    </row>
    <row r="637" spans="1:4">
      <c r="A637" t="s">
        <v>44</v>
      </c>
      <c r="B637" t="s">
        <v>87</v>
      </c>
      <c r="C637">
        <v>0</v>
      </c>
      <c r="D637">
        <v>0</v>
      </c>
    </row>
    <row r="638" spans="1:4">
      <c r="A638" t="s">
        <v>44</v>
      </c>
      <c r="B638" t="s">
        <v>88</v>
      </c>
      <c r="C638">
        <v>1</v>
      </c>
      <c r="D638">
        <v>1</v>
      </c>
    </row>
    <row r="639" spans="1:4">
      <c r="A639" t="s">
        <v>44</v>
      </c>
      <c r="B639" t="s">
        <v>89</v>
      </c>
      <c r="C639">
        <v>0</v>
      </c>
      <c r="D639">
        <v>0</v>
      </c>
    </row>
    <row r="640" spans="1:4">
      <c r="A640" t="s">
        <v>44</v>
      </c>
      <c r="B640" t="s">
        <v>90</v>
      </c>
      <c r="C640">
        <v>0</v>
      </c>
      <c r="D640">
        <v>0</v>
      </c>
    </row>
    <row r="641" spans="1:4">
      <c r="A641" t="s">
        <v>44</v>
      </c>
      <c r="B641" t="s">
        <v>81</v>
      </c>
      <c r="C641">
        <v>1</v>
      </c>
      <c r="D641">
        <v>1</v>
      </c>
    </row>
    <row r="642" spans="1:4">
      <c r="A642" t="s">
        <v>44</v>
      </c>
      <c r="B642" t="s">
        <v>79</v>
      </c>
      <c r="C642">
        <v>2</v>
      </c>
      <c r="D642">
        <v>2</v>
      </c>
    </row>
    <row r="643" spans="1:4">
      <c r="A643" t="s">
        <v>44</v>
      </c>
      <c r="B643" t="s">
        <v>74</v>
      </c>
      <c r="C643">
        <v>3</v>
      </c>
      <c r="D643">
        <v>3</v>
      </c>
    </row>
    <row r="644" spans="1:4">
      <c r="A644" t="s">
        <v>44</v>
      </c>
      <c r="B644" t="s">
        <v>73</v>
      </c>
      <c r="C644">
        <v>2</v>
      </c>
      <c r="D644">
        <v>2</v>
      </c>
    </row>
    <row r="645" spans="1:4">
      <c r="A645" t="s">
        <v>44</v>
      </c>
      <c r="B645" t="s">
        <v>72</v>
      </c>
      <c r="C645">
        <v>2</v>
      </c>
      <c r="D645">
        <v>1</v>
      </c>
    </row>
    <row r="646" spans="1:4">
      <c r="A646" t="s">
        <v>44</v>
      </c>
      <c r="B646" t="s">
        <v>77</v>
      </c>
      <c r="C646">
        <v>1</v>
      </c>
      <c r="D646">
        <v>1</v>
      </c>
    </row>
    <row r="647" spans="1:4">
      <c r="A647" t="s">
        <v>44</v>
      </c>
      <c r="B647" t="s">
        <v>71</v>
      </c>
      <c r="C647">
        <v>0</v>
      </c>
      <c r="D647">
        <v>0</v>
      </c>
    </row>
    <row r="648" spans="1:4">
      <c r="A648" t="s">
        <v>44</v>
      </c>
      <c r="B648" t="s">
        <v>76</v>
      </c>
      <c r="C648">
        <v>1</v>
      </c>
      <c r="D648">
        <v>1</v>
      </c>
    </row>
    <row r="649" spans="1:4">
      <c r="A649" t="s">
        <v>44</v>
      </c>
      <c r="B649" t="s">
        <v>82</v>
      </c>
      <c r="C649">
        <v>2</v>
      </c>
      <c r="D649">
        <v>2</v>
      </c>
    </row>
    <row r="650" spans="1:4">
      <c r="A650" t="s">
        <v>44</v>
      </c>
      <c r="B650" t="s">
        <v>70</v>
      </c>
      <c r="C650">
        <v>3</v>
      </c>
      <c r="D650">
        <v>4</v>
      </c>
    </row>
    <row r="651" spans="1:4">
      <c r="A651" t="s">
        <v>44</v>
      </c>
      <c r="B651" t="s">
        <v>75</v>
      </c>
      <c r="C651">
        <v>3</v>
      </c>
      <c r="D651">
        <v>3</v>
      </c>
    </row>
    <row r="652" spans="1:4">
      <c r="A652" t="s">
        <v>44</v>
      </c>
      <c r="B652" t="s">
        <v>78</v>
      </c>
      <c r="C652">
        <v>0</v>
      </c>
      <c r="D652">
        <v>0</v>
      </c>
    </row>
    <row r="653" spans="1:4">
      <c r="A653" t="s">
        <v>102</v>
      </c>
      <c r="B653" t="s">
        <v>69</v>
      </c>
      <c r="C653">
        <v>3</v>
      </c>
      <c r="D653">
        <v>3</v>
      </c>
    </row>
    <row r="654" spans="1:4">
      <c r="A654" t="s">
        <v>102</v>
      </c>
      <c r="B654" t="s">
        <v>80</v>
      </c>
      <c r="C654">
        <v>0</v>
      </c>
      <c r="D654">
        <v>0</v>
      </c>
    </row>
    <row r="655" spans="1:4">
      <c r="A655" t="s">
        <v>102</v>
      </c>
      <c r="B655" t="s">
        <v>84</v>
      </c>
      <c r="C655">
        <v>1</v>
      </c>
      <c r="D655">
        <v>1</v>
      </c>
    </row>
    <row r="656" spans="1:4">
      <c r="A656" t="s">
        <v>102</v>
      </c>
      <c r="B656" t="s">
        <v>85</v>
      </c>
      <c r="C656">
        <v>1</v>
      </c>
      <c r="D656">
        <v>1</v>
      </c>
    </row>
    <row r="657" spans="1:4">
      <c r="A657" t="s">
        <v>102</v>
      </c>
      <c r="B657" t="s">
        <v>86</v>
      </c>
      <c r="C657">
        <v>0</v>
      </c>
      <c r="D657">
        <v>0</v>
      </c>
    </row>
    <row r="658" spans="1:4">
      <c r="A658" t="s">
        <v>102</v>
      </c>
      <c r="B658" t="s">
        <v>87</v>
      </c>
      <c r="C658">
        <v>0</v>
      </c>
      <c r="D658">
        <v>0</v>
      </c>
    </row>
    <row r="659" spans="1:4">
      <c r="A659" t="s">
        <v>102</v>
      </c>
      <c r="B659" t="s">
        <v>88</v>
      </c>
      <c r="C659">
        <v>1</v>
      </c>
      <c r="D659">
        <v>1</v>
      </c>
    </row>
    <row r="660" spans="1:4">
      <c r="A660" t="s">
        <v>102</v>
      </c>
      <c r="B660" t="s">
        <v>89</v>
      </c>
      <c r="C660">
        <v>0</v>
      </c>
      <c r="D660">
        <v>0</v>
      </c>
    </row>
    <row r="661" spans="1:4">
      <c r="A661" t="s">
        <v>102</v>
      </c>
      <c r="B661" t="s">
        <v>90</v>
      </c>
      <c r="C661">
        <v>0</v>
      </c>
      <c r="D661">
        <v>0</v>
      </c>
    </row>
    <row r="662" spans="1:4">
      <c r="A662" t="s">
        <v>102</v>
      </c>
      <c r="B662" t="s">
        <v>81</v>
      </c>
      <c r="C662">
        <v>1</v>
      </c>
      <c r="D662">
        <v>1</v>
      </c>
    </row>
    <row r="663" spans="1:4">
      <c r="A663" t="s">
        <v>102</v>
      </c>
      <c r="B663" t="s">
        <v>79</v>
      </c>
      <c r="C663">
        <v>2</v>
      </c>
      <c r="D663">
        <v>2</v>
      </c>
    </row>
    <row r="664" spans="1:4">
      <c r="A664" t="s">
        <v>102</v>
      </c>
      <c r="B664" t="s">
        <v>74</v>
      </c>
      <c r="C664">
        <v>3</v>
      </c>
      <c r="D664">
        <v>3</v>
      </c>
    </row>
    <row r="665" spans="1:4">
      <c r="A665" t="s">
        <v>102</v>
      </c>
      <c r="B665" t="s">
        <v>73</v>
      </c>
      <c r="C665">
        <v>2</v>
      </c>
      <c r="D665">
        <v>2</v>
      </c>
    </row>
    <row r="666" spans="1:4">
      <c r="A666" t="s">
        <v>102</v>
      </c>
      <c r="B666" t="s">
        <v>72</v>
      </c>
      <c r="C666">
        <v>2</v>
      </c>
      <c r="D666">
        <v>2</v>
      </c>
    </row>
    <row r="667" spans="1:4">
      <c r="A667" t="s">
        <v>102</v>
      </c>
      <c r="B667" t="s">
        <v>77</v>
      </c>
      <c r="C667">
        <v>1</v>
      </c>
      <c r="D667">
        <v>1</v>
      </c>
    </row>
    <row r="668" spans="1:4">
      <c r="A668" t="s">
        <v>102</v>
      </c>
      <c r="B668" t="s">
        <v>71</v>
      </c>
      <c r="C668">
        <v>0</v>
      </c>
      <c r="D668">
        <v>0</v>
      </c>
    </row>
    <row r="669" spans="1:4">
      <c r="A669" t="s">
        <v>102</v>
      </c>
      <c r="B669" t="s">
        <v>76</v>
      </c>
      <c r="C669">
        <v>1</v>
      </c>
      <c r="D669">
        <v>1</v>
      </c>
    </row>
    <row r="670" spans="1:4">
      <c r="A670" t="s">
        <v>102</v>
      </c>
      <c r="B670" t="s">
        <v>82</v>
      </c>
      <c r="C670">
        <v>2</v>
      </c>
      <c r="D670">
        <v>2</v>
      </c>
    </row>
    <row r="671" spans="1:4">
      <c r="A671" t="s">
        <v>102</v>
      </c>
      <c r="B671" t="s">
        <v>70</v>
      </c>
      <c r="C671">
        <v>3</v>
      </c>
      <c r="D671">
        <v>3</v>
      </c>
    </row>
    <row r="672" spans="1:4">
      <c r="A672" t="s">
        <v>102</v>
      </c>
      <c r="B672" t="s">
        <v>75</v>
      </c>
      <c r="C672">
        <v>3</v>
      </c>
      <c r="D672">
        <v>3</v>
      </c>
    </row>
    <row r="673" spans="1:4">
      <c r="A673" t="s">
        <v>102</v>
      </c>
      <c r="B673" t="s">
        <v>78</v>
      </c>
      <c r="C673">
        <v>0</v>
      </c>
      <c r="D673">
        <v>0</v>
      </c>
    </row>
    <row r="674" spans="1:4">
      <c r="A674" t="s">
        <v>103</v>
      </c>
      <c r="B674" t="s">
        <v>69</v>
      </c>
      <c r="C674">
        <v>3</v>
      </c>
      <c r="D674">
        <v>3</v>
      </c>
    </row>
    <row r="675" spans="1:4">
      <c r="A675" t="s">
        <v>103</v>
      </c>
      <c r="B675" t="s">
        <v>80</v>
      </c>
      <c r="C675">
        <v>2</v>
      </c>
      <c r="D675">
        <v>2</v>
      </c>
    </row>
    <row r="676" spans="1:4">
      <c r="A676" t="s">
        <v>103</v>
      </c>
      <c r="B676" t="s">
        <v>84</v>
      </c>
      <c r="C676">
        <v>1</v>
      </c>
      <c r="D676">
        <v>1</v>
      </c>
    </row>
    <row r="677" spans="1:4">
      <c r="A677" t="s">
        <v>103</v>
      </c>
      <c r="B677" t="s">
        <v>85</v>
      </c>
      <c r="C677">
        <v>1</v>
      </c>
      <c r="D677">
        <v>1</v>
      </c>
    </row>
    <row r="678" spans="1:4">
      <c r="A678" t="s">
        <v>103</v>
      </c>
      <c r="B678" t="s">
        <v>86</v>
      </c>
      <c r="C678">
        <v>0</v>
      </c>
      <c r="D678">
        <v>0</v>
      </c>
    </row>
    <row r="679" spans="1:4">
      <c r="A679" t="s">
        <v>103</v>
      </c>
      <c r="B679" t="s">
        <v>87</v>
      </c>
      <c r="C679">
        <v>0</v>
      </c>
      <c r="D679">
        <v>0</v>
      </c>
    </row>
    <row r="680" spans="1:4">
      <c r="A680" t="s">
        <v>103</v>
      </c>
      <c r="B680" t="s">
        <v>88</v>
      </c>
      <c r="C680">
        <v>1</v>
      </c>
      <c r="D680">
        <v>1</v>
      </c>
    </row>
    <row r="681" spans="1:4">
      <c r="A681" t="s">
        <v>103</v>
      </c>
      <c r="B681" t="s">
        <v>89</v>
      </c>
      <c r="C681">
        <v>0</v>
      </c>
      <c r="D681">
        <v>0</v>
      </c>
    </row>
    <row r="682" spans="1:4">
      <c r="A682" t="s">
        <v>103</v>
      </c>
      <c r="B682" t="s">
        <v>90</v>
      </c>
      <c r="C682">
        <v>0</v>
      </c>
      <c r="D682">
        <v>0</v>
      </c>
    </row>
    <row r="683" spans="1:4">
      <c r="A683" t="s">
        <v>103</v>
      </c>
      <c r="B683" t="s">
        <v>81</v>
      </c>
      <c r="C683">
        <v>1</v>
      </c>
      <c r="D683">
        <v>1</v>
      </c>
    </row>
    <row r="684" spans="1:4">
      <c r="A684" t="s">
        <v>103</v>
      </c>
      <c r="B684" t="s">
        <v>79</v>
      </c>
      <c r="C684">
        <v>2</v>
      </c>
      <c r="D684">
        <v>2</v>
      </c>
    </row>
    <row r="685" spans="1:4">
      <c r="A685" t="s">
        <v>103</v>
      </c>
      <c r="B685" t="s">
        <v>74</v>
      </c>
      <c r="C685">
        <v>3</v>
      </c>
      <c r="D685">
        <v>3</v>
      </c>
    </row>
    <row r="686" spans="1:4">
      <c r="A686" t="s">
        <v>103</v>
      </c>
      <c r="B686" t="s">
        <v>73</v>
      </c>
      <c r="C686">
        <v>0</v>
      </c>
      <c r="D686">
        <v>0</v>
      </c>
    </row>
    <row r="687" spans="1:4">
      <c r="A687" t="s">
        <v>103</v>
      </c>
      <c r="B687" t="s">
        <v>72</v>
      </c>
      <c r="C687">
        <v>2</v>
      </c>
      <c r="D687">
        <v>2</v>
      </c>
    </row>
    <row r="688" spans="1:4">
      <c r="A688" t="s">
        <v>103</v>
      </c>
      <c r="B688" t="s">
        <v>77</v>
      </c>
      <c r="C688">
        <v>1</v>
      </c>
      <c r="D688">
        <v>1</v>
      </c>
    </row>
    <row r="689" spans="1:4">
      <c r="A689" t="s">
        <v>103</v>
      </c>
      <c r="B689" t="s">
        <v>71</v>
      </c>
      <c r="C689">
        <v>0</v>
      </c>
      <c r="D689">
        <v>0</v>
      </c>
    </row>
    <row r="690" spans="1:4">
      <c r="A690" t="s">
        <v>103</v>
      </c>
      <c r="B690" t="s">
        <v>76</v>
      </c>
      <c r="C690">
        <v>1</v>
      </c>
      <c r="D690">
        <v>1</v>
      </c>
    </row>
    <row r="691" spans="1:4">
      <c r="A691" t="s">
        <v>103</v>
      </c>
      <c r="B691" t="s">
        <v>82</v>
      </c>
      <c r="C691">
        <v>2</v>
      </c>
      <c r="D691">
        <v>2</v>
      </c>
    </row>
    <row r="692" spans="1:4">
      <c r="A692" t="s">
        <v>103</v>
      </c>
      <c r="B692" t="s">
        <v>70</v>
      </c>
      <c r="C692">
        <v>3</v>
      </c>
      <c r="D692">
        <v>3</v>
      </c>
    </row>
    <row r="693" spans="1:4">
      <c r="A693" t="s">
        <v>103</v>
      </c>
      <c r="B693" t="s">
        <v>75</v>
      </c>
      <c r="C693">
        <v>3</v>
      </c>
      <c r="D693">
        <v>3</v>
      </c>
    </row>
    <row r="694" spans="1:4">
      <c r="A694" t="s">
        <v>103</v>
      </c>
      <c r="B694" t="s">
        <v>78</v>
      </c>
      <c r="C694">
        <v>0</v>
      </c>
      <c r="D694">
        <v>0</v>
      </c>
    </row>
    <row r="695" spans="1:4">
      <c r="A695" t="s">
        <v>104</v>
      </c>
      <c r="B695" t="s">
        <v>69</v>
      </c>
      <c r="C695">
        <v>3</v>
      </c>
      <c r="D695">
        <v>3</v>
      </c>
    </row>
    <row r="696" spans="1:4">
      <c r="A696" t="s">
        <v>104</v>
      </c>
      <c r="B696" t="s">
        <v>80</v>
      </c>
      <c r="C696">
        <v>2</v>
      </c>
      <c r="D696">
        <v>2</v>
      </c>
    </row>
    <row r="697" spans="1:4">
      <c r="A697" t="s">
        <v>104</v>
      </c>
      <c r="B697" t="s">
        <v>84</v>
      </c>
      <c r="C697">
        <v>1</v>
      </c>
      <c r="D697">
        <v>1</v>
      </c>
    </row>
    <row r="698" spans="1:4">
      <c r="A698" t="s">
        <v>104</v>
      </c>
      <c r="B698" t="s">
        <v>85</v>
      </c>
      <c r="C698">
        <v>1</v>
      </c>
      <c r="D698">
        <v>1</v>
      </c>
    </row>
    <row r="699" spans="1:4">
      <c r="A699" t="s">
        <v>104</v>
      </c>
      <c r="B699" t="s">
        <v>86</v>
      </c>
      <c r="C699">
        <v>0</v>
      </c>
      <c r="D699">
        <v>0</v>
      </c>
    </row>
    <row r="700" spans="1:4">
      <c r="A700" t="s">
        <v>104</v>
      </c>
      <c r="B700" t="s">
        <v>87</v>
      </c>
      <c r="C700">
        <v>0</v>
      </c>
      <c r="D700">
        <v>0</v>
      </c>
    </row>
    <row r="701" spans="1:4">
      <c r="A701" t="s">
        <v>104</v>
      </c>
      <c r="B701" t="s">
        <v>88</v>
      </c>
      <c r="C701">
        <v>1</v>
      </c>
      <c r="D701">
        <v>1</v>
      </c>
    </row>
    <row r="702" spans="1:4">
      <c r="A702" t="s">
        <v>104</v>
      </c>
      <c r="B702" t="s">
        <v>89</v>
      </c>
      <c r="C702">
        <v>0</v>
      </c>
      <c r="D702">
        <v>0</v>
      </c>
    </row>
    <row r="703" spans="1:4">
      <c r="A703" t="s">
        <v>104</v>
      </c>
      <c r="B703" t="s">
        <v>90</v>
      </c>
      <c r="C703">
        <v>0</v>
      </c>
      <c r="D703">
        <v>0</v>
      </c>
    </row>
    <row r="704" spans="1:4">
      <c r="A704" t="s">
        <v>104</v>
      </c>
      <c r="B704" t="s">
        <v>81</v>
      </c>
      <c r="C704">
        <v>1</v>
      </c>
      <c r="D704">
        <v>1</v>
      </c>
    </row>
    <row r="705" spans="1:4">
      <c r="A705" t="s">
        <v>104</v>
      </c>
      <c r="B705" t="s">
        <v>79</v>
      </c>
      <c r="C705">
        <v>2</v>
      </c>
      <c r="D705">
        <v>2</v>
      </c>
    </row>
    <row r="706" spans="1:4">
      <c r="A706" t="s">
        <v>104</v>
      </c>
      <c r="B706" t="s">
        <v>74</v>
      </c>
      <c r="C706">
        <v>3</v>
      </c>
      <c r="D706">
        <v>3</v>
      </c>
    </row>
    <row r="707" spans="1:4">
      <c r="A707" t="s">
        <v>104</v>
      </c>
      <c r="B707" t="s">
        <v>73</v>
      </c>
      <c r="C707">
        <v>0</v>
      </c>
      <c r="D707">
        <v>0</v>
      </c>
    </row>
    <row r="708" spans="1:4">
      <c r="A708" t="s">
        <v>104</v>
      </c>
      <c r="B708" t="s">
        <v>72</v>
      </c>
      <c r="C708">
        <v>2</v>
      </c>
      <c r="D708">
        <v>2</v>
      </c>
    </row>
    <row r="709" spans="1:4">
      <c r="A709" t="s">
        <v>104</v>
      </c>
      <c r="B709" t="s">
        <v>77</v>
      </c>
      <c r="C709">
        <v>1</v>
      </c>
      <c r="D709">
        <v>1</v>
      </c>
    </row>
    <row r="710" spans="1:4">
      <c r="A710" t="s">
        <v>104</v>
      </c>
      <c r="B710" t="s">
        <v>71</v>
      </c>
      <c r="C710">
        <v>0</v>
      </c>
      <c r="D710">
        <v>0</v>
      </c>
    </row>
    <row r="711" spans="1:4">
      <c r="A711" t="s">
        <v>104</v>
      </c>
      <c r="B711" t="s">
        <v>76</v>
      </c>
      <c r="C711">
        <v>1</v>
      </c>
      <c r="D711">
        <v>1</v>
      </c>
    </row>
    <row r="712" spans="1:4">
      <c r="A712" t="s">
        <v>104</v>
      </c>
      <c r="B712" t="s">
        <v>82</v>
      </c>
      <c r="C712">
        <v>2</v>
      </c>
      <c r="D712">
        <v>2</v>
      </c>
    </row>
    <row r="713" spans="1:4">
      <c r="A713" t="s">
        <v>104</v>
      </c>
      <c r="B713" t="s">
        <v>70</v>
      </c>
      <c r="C713">
        <v>3</v>
      </c>
      <c r="D713">
        <v>3</v>
      </c>
    </row>
    <row r="714" spans="1:4">
      <c r="A714" t="s">
        <v>104</v>
      </c>
      <c r="B714" t="s">
        <v>75</v>
      </c>
      <c r="C714">
        <v>3</v>
      </c>
      <c r="D714">
        <v>3</v>
      </c>
    </row>
    <row r="715" spans="1:4">
      <c r="A715" t="s">
        <v>104</v>
      </c>
      <c r="B715" t="s">
        <v>78</v>
      </c>
      <c r="C715">
        <v>0</v>
      </c>
      <c r="D715">
        <v>0</v>
      </c>
    </row>
    <row r="716" spans="1:4">
      <c r="A716" t="s">
        <v>105</v>
      </c>
      <c r="B716" t="s">
        <v>69</v>
      </c>
      <c r="C716">
        <v>3</v>
      </c>
      <c r="D716">
        <v>3</v>
      </c>
    </row>
    <row r="717" spans="1:4">
      <c r="A717" t="s">
        <v>105</v>
      </c>
      <c r="B717" t="s">
        <v>80</v>
      </c>
      <c r="C717">
        <v>0</v>
      </c>
      <c r="D717">
        <v>0</v>
      </c>
    </row>
    <row r="718" spans="1:4">
      <c r="A718" t="s">
        <v>105</v>
      </c>
      <c r="B718" t="s">
        <v>84</v>
      </c>
      <c r="C718">
        <v>0</v>
      </c>
      <c r="D718">
        <v>0</v>
      </c>
    </row>
    <row r="719" spans="1:4">
      <c r="A719" t="s">
        <v>105</v>
      </c>
      <c r="B719" t="s">
        <v>85</v>
      </c>
      <c r="C719">
        <v>0</v>
      </c>
      <c r="D719">
        <v>0</v>
      </c>
    </row>
    <row r="720" spans="1:4">
      <c r="A720" t="s">
        <v>105</v>
      </c>
      <c r="B720" t="s">
        <v>86</v>
      </c>
      <c r="C720">
        <v>0</v>
      </c>
      <c r="D720">
        <v>0</v>
      </c>
    </row>
    <row r="721" spans="1:4">
      <c r="A721" t="s">
        <v>105</v>
      </c>
      <c r="B721" t="s">
        <v>87</v>
      </c>
      <c r="C721">
        <v>1</v>
      </c>
      <c r="D721">
        <v>1</v>
      </c>
    </row>
    <row r="722" spans="1:4">
      <c r="A722" t="s">
        <v>105</v>
      </c>
      <c r="B722" t="s">
        <v>88</v>
      </c>
      <c r="C722">
        <v>0</v>
      </c>
      <c r="D722">
        <v>0</v>
      </c>
    </row>
    <row r="723" spans="1:4">
      <c r="A723" t="s">
        <v>105</v>
      </c>
      <c r="B723" t="s">
        <v>89</v>
      </c>
      <c r="C723">
        <v>1</v>
      </c>
      <c r="D723">
        <v>1</v>
      </c>
    </row>
    <row r="724" spans="1:4">
      <c r="A724" t="s">
        <v>105</v>
      </c>
      <c r="B724" t="s">
        <v>90</v>
      </c>
      <c r="C724">
        <v>1</v>
      </c>
      <c r="D724">
        <v>1</v>
      </c>
    </row>
    <row r="725" spans="1:4">
      <c r="A725" t="s">
        <v>105</v>
      </c>
      <c r="B725" t="s">
        <v>81</v>
      </c>
      <c r="C725">
        <v>1</v>
      </c>
      <c r="D725">
        <v>1</v>
      </c>
    </row>
    <row r="726" spans="1:4">
      <c r="A726" t="s">
        <v>105</v>
      </c>
      <c r="B726" t="s">
        <v>79</v>
      </c>
      <c r="C726">
        <v>0</v>
      </c>
      <c r="D726">
        <v>0</v>
      </c>
    </row>
    <row r="727" spans="1:4">
      <c r="A727" t="s">
        <v>105</v>
      </c>
      <c r="B727" t="s">
        <v>74</v>
      </c>
      <c r="C727">
        <v>3</v>
      </c>
      <c r="D727">
        <v>3</v>
      </c>
    </row>
    <row r="728" spans="1:4">
      <c r="A728" t="s">
        <v>105</v>
      </c>
      <c r="B728" t="s">
        <v>73</v>
      </c>
      <c r="C728">
        <v>0</v>
      </c>
      <c r="D728">
        <v>0</v>
      </c>
    </row>
    <row r="729" spans="1:4">
      <c r="A729" t="s">
        <v>105</v>
      </c>
      <c r="B729" t="s">
        <v>72</v>
      </c>
      <c r="C729">
        <v>2</v>
      </c>
      <c r="D729">
        <v>2</v>
      </c>
    </row>
    <row r="730" spans="1:4">
      <c r="A730" t="s">
        <v>105</v>
      </c>
      <c r="B730" t="s">
        <v>77</v>
      </c>
      <c r="C730">
        <v>1</v>
      </c>
      <c r="D730">
        <v>1</v>
      </c>
    </row>
    <row r="731" spans="1:4">
      <c r="A731" t="s">
        <v>105</v>
      </c>
      <c r="B731" t="s">
        <v>71</v>
      </c>
      <c r="C731">
        <v>2</v>
      </c>
      <c r="D731">
        <v>2</v>
      </c>
    </row>
    <row r="732" spans="1:4">
      <c r="A732" t="s">
        <v>105</v>
      </c>
      <c r="B732" t="s">
        <v>76</v>
      </c>
      <c r="C732">
        <v>1</v>
      </c>
      <c r="D732">
        <v>1</v>
      </c>
    </row>
    <row r="733" spans="1:4">
      <c r="A733" t="s">
        <v>105</v>
      </c>
      <c r="B733" t="s">
        <v>82</v>
      </c>
      <c r="C733">
        <v>2</v>
      </c>
      <c r="D733">
        <v>2</v>
      </c>
    </row>
    <row r="734" spans="1:4">
      <c r="A734" t="s">
        <v>105</v>
      </c>
      <c r="B734" t="s">
        <v>70</v>
      </c>
      <c r="C734">
        <v>3</v>
      </c>
      <c r="D734">
        <v>3</v>
      </c>
    </row>
    <row r="735" spans="1:4">
      <c r="A735" t="s">
        <v>105</v>
      </c>
      <c r="B735" t="s">
        <v>75</v>
      </c>
      <c r="C735">
        <v>3</v>
      </c>
      <c r="D735">
        <v>3</v>
      </c>
    </row>
    <row r="736" spans="1:4">
      <c r="A736" t="s">
        <v>105</v>
      </c>
      <c r="B736" t="s">
        <v>78</v>
      </c>
      <c r="C736">
        <v>2</v>
      </c>
      <c r="D736">
        <v>2</v>
      </c>
    </row>
    <row r="737" spans="1:4">
      <c r="A737" t="s">
        <v>49</v>
      </c>
      <c r="B737" t="s">
        <v>69</v>
      </c>
      <c r="C737">
        <v>3</v>
      </c>
      <c r="D737">
        <v>3</v>
      </c>
    </row>
    <row r="738" spans="1:4">
      <c r="A738" t="s">
        <v>49</v>
      </c>
      <c r="B738" t="s">
        <v>80</v>
      </c>
      <c r="C738">
        <v>0</v>
      </c>
      <c r="D738">
        <v>0</v>
      </c>
    </row>
    <row r="739" spans="1:4">
      <c r="A739" t="s">
        <v>49</v>
      </c>
      <c r="B739" t="s">
        <v>84</v>
      </c>
      <c r="C739">
        <v>1</v>
      </c>
      <c r="D739">
        <v>1</v>
      </c>
    </row>
    <row r="740" spans="1:4">
      <c r="A740" t="s">
        <v>49</v>
      </c>
      <c r="B740" t="s">
        <v>85</v>
      </c>
      <c r="C740">
        <v>1</v>
      </c>
      <c r="D740">
        <v>1</v>
      </c>
    </row>
    <row r="741" spans="1:4">
      <c r="A741" t="s">
        <v>49</v>
      </c>
      <c r="B741" t="s">
        <v>86</v>
      </c>
      <c r="C741">
        <v>0</v>
      </c>
      <c r="D741">
        <v>0</v>
      </c>
    </row>
    <row r="742" spans="1:4">
      <c r="A742" t="s">
        <v>49</v>
      </c>
      <c r="B742" t="s">
        <v>87</v>
      </c>
      <c r="C742">
        <v>0</v>
      </c>
      <c r="D742">
        <v>0</v>
      </c>
    </row>
    <row r="743" spans="1:4">
      <c r="A743" t="s">
        <v>49</v>
      </c>
      <c r="B743" t="s">
        <v>88</v>
      </c>
      <c r="C743">
        <v>1</v>
      </c>
      <c r="D743">
        <v>1</v>
      </c>
    </row>
    <row r="744" spans="1:4">
      <c r="A744" t="s">
        <v>49</v>
      </c>
      <c r="B744" t="s">
        <v>89</v>
      </c>
      <c r="C744">
        <v>0</v>
      </c>
      <c r="D744">
        <v>0</v>
      </c>
    </row>
    <row r="745" spans="1:4">
      <c r="A745" t="s">
        <v>49</v>
      </c>
      <c r="B745" t="s">
        <v>90</v>
      </c>
      <c r="C745">
        <v>0</v>
      </c>
      <c r="D745">
        <v>0</v>
      </c>
    </row>
    <row r="746" spans="1:4">
      <c r="A746" t="s">
        <v>49</v>
      </c>
      <c r="B746" t="s">
        <v>81</v>
      </c>
      <c r="C746">
        <v>1</v>
      </c>
      <c r="D746">
        <v>1</v>
      </c>
    </row>
    <row r="747" spans="1:4">
      <c r="A747" t="s">
        <v>49</v>
      </c>
      <c r="B747" t="s">
        <v>79</v>
      </c>
      <c r="C747">
        <v>2</v>
      </c>
      <c r="D747">
        <v>3</v>
      </c>
    </row>
    <row r="748" spans="1:4">
      <c r="A748" t="s">
        <v>49</v>
      </c>
      <c r="B748" t="s">
        <v>74</v>
      </c>
      <c r="C748">
        <v>3</v>
      </c>
      <c r="D748">
        <v>3</v>
      </c>
    </row>
    <row r="749" spans="1:4">
      <c r="A749" t="s">
        <v>49</v>
      </c>
      <c r="B749" t="s">
        <v>73</v>
      </c>
      <c r="C749">
        <v>2</v>
      </c>
      <c r="D749">
        <v>2</v>
      </c>
    </row>
    <row r="750" spans="1:4">
      <c r="A750" t="s">
        <v>49</v>
      </c>
      <c r="B750" t="s">
        <v>72</v>
      </c>
      <c r="C750">
        <v>2</v>
      </c>
      <c r="D750">
        <v>2</v>
      </c>
    </row>
    <row r="751" spans="1:4">
      <c r="A751" t="s">
        <v>49</v>
      </c>
      <c r="B751" t="s">
        <v>77</v>
      </c>
      <c r="C751">
        <v>1</v>
      </c>
      <c r="D751">
        <v>1</v>
      </c>
    </row>
    <row r="752" spans="1:4">
      <c r="A752" t="s">
        <v>49</v>
      </c>
      <c r="B752" t="s">
        <v>71</v>
      </c>
      <c r="C752">
        <v>2</v>
      </c>
      <c r="D752">
        <v>2</v>
      </c>
    </row>
    <row r="753" spans="1:4">
      <c r="A753" t="s">
        <v>49</v>
      </c>
      <c r="B753" t="s">
        <v>76</v>
      </c>
      <c r="C753">
        <v>2</v>
      </c>
      <c r="D753">
        <v>1</v>
      </c>
    </row>
    <row r="754" spans="1:4">
      <c r="A754" t="s">
        <v>49</v>
      </c>
      <c r="B754" t="s">
        <v>82</v>
      </c>
      <c r="C754">
        <v>0</v>
      </c>
      <c r="D754">
        <v>0</v>
      </c>
    </row>
    <row r="755" spans="1:4">
      <c r="A755" t="s">
        <v>49</v>
      </c>
      <c r="B755" t="s">
        <v>70</v>
      </c>
      <c r="C755">
        <v>5</v>
      </c>
      <c r="D755">
        <v>5</v>
      </c>
    </row>
    <row r="756" spans="1:4">
      <c r="A756" t="s">
        <v>49</v>
      </c>
      <c r="B756" t="s">
        <v>75</v>
      </c>
      <c r="C756">
        <v>5</v>
      </c>
      <c r="D756">
        <v>5</v>
      </c>
    </row>
    <row r="757" spans="1:4">
      <c r="A757" t="s">
        <v>49</v>
      </c>
      <c r="B757" t="s">
        <v>78</v>
      </c>
      <c r="C757">
        <v>0</v>
      </c>
      <c r="D757">
        <v>0</v>
      </c>
    </row>
    <row r="758" spans="1:4">
      <c r="A758" t="s">
        <v>106</v>
      </c>
      <c r="B758" t="s">
        <v>69</v>
      </c>
      <c r="C758">
        <v>3</v>
      </c>
      <c r="D758">
        <v>3</v>
      </c>
    </row>
    <row r="759" spans="1:4">
      <c r="A759" t="s">
        <v>106</v>
      </c>
      <c r="B759" t="s">
        <v>80</v>
      </c>
      <c r="C759">
        <v>0</v>
      </c>
      <c r="D759">
        <v>0</v>
      </c>
    </row>
    <row r="760" spans="1:4">
      <c r="A760" t="s">
        <v>106</v>
      </c>
      <c r="B760" t="s">
        <v>84</v>
      </c>
      <c r="C760">
        <v>1</v>
      </c>
      <c r="D760">
        <v>1</v>
      </c>
    </row>
    <row r="761" spans="1:4">
      <c r="A761" t="s">
        <v>106</v>
      </c>
      <c r="B761" t="s">
        <v>85</v>
      </c>
      <c r="C761">
        <v>0</v>
      </c>
      <c r="D761">
        <v>0</v>
      </c>
    </row>
    <row r="762" spans="1:4">
      <c r="A762" t="s">
        <v>106</v>
      </c>
      <c r="B762" t="s">
        <v>86</v>
      </c>
      <c r="C762">
        <v>1</v>
      </c>
      <c r="D762">
        <v>1</v>
      </c>
    </row>
    <row r="763" spans="1:4">
      <c r="A763" t="s">
        <v>106</v>
      </c>
      <c r="B763" t="s">
        <v>87</v>
      </c>
      <c r="C763">
        <v>0</v>
      </c>
      <c r="D763">
        <v>0</v>
      </c>
    </row>
    <row r="764" spans="1:4">
      <c r="A764" t="s">
        <v>106</v>
      </c>
      <c r="B764" t="s">
        <v>88</v>
      </c>
      <c r="C764">
        <v>1</v>
      </c>
      <c r="D764">
        <v>1</v>
      </c>
    </row>
    <row r="765" spans="1:4">
      <c r="A765" t="s">
        <v>106</v>
      </c>
      <c r="B765" t="s">
        <v>89</v>
      </c>
      <c r="C765">
        <v>0</v>
      </c>
      <c r="D765">
        <v>0</v>
      </c>
    </row>
    <row r="766" spans="1:4">
      <c r="A766" t="s">
        <v>106</v>
      </c>
      <c r="B766" t="s">
        <v>90</v>
      </c>
      <c r="C766">
        <v>0</v>
      </c>
      <c r="D766">
        <v>0</v>
      </c>
    </row>
    <row r="767" spans="1:4">
      <c r="A767" t="s">
        <v>106</v>
      </c>
      <c r="B767" t="s">
        <v>81</v>
      </c>
      <c r="C767">
        <v>1</v>
      </c>
      <c r="D767">
        <v>1</v>
      </c>
    </row>
    <row r="768" spans="1:4">
      <c r="A768" t="s">
        <v>106</v>
      </c>
      <c r="B768" t="s">
        <v>79</v>
      </c>
      <c r="C768">
        <v>2</v>
      </c>
      <c r="D768">
        <v>2</v>
      </c>
    </row>
    <row r="769" spans="1:4">
      <c r="A769" t="s">
        <v>106</v>
      </c>
      <c r="B769" t="s">
        <v>74</v>
      </c>
      <c r="C769">
        <v>3</v>
      </c>
      <c r="D769">
        <v>3</v>
      </c>
    </row>
    <row r="770" spans="1:4">
      <c r="A770" t="s">
        <v>106</v>
      </c>
      <c r="B770" t="s">
        <v>73</v>
      </c>
      <c r="C770">
        <v>2</v>
      </c>
      <c r="D770">
        <v>2</v>
      </c>
    </row>
    <row r="771" spans="1:4">
      <c r="A771" t="s">
        <v>106</v>
      </c>
      <c r="B771" t="s">
        <v>72</v>
      </c>
      <c r="C771">
        <v>0</v>
      </c>
      <c r="D771">
        <v>0</v>
      </c>
    </row>
    <row r="772" spans="1:4">
      <c r="A772" t="s">
        <v>106</v>
      </c>
      <c r="B772" t="s">
        <v>77</v>
      </c>
      <c r="C772">
        <v>1</v>
      </c>
      <c r="D772">
        <v>1</v>
      </c>
    </row>
    <row r="773" spans="1:4">
      <c r="A773" t="s">
        <v>106</v>
      </c>
      <c r="B773" t="s">
        <v>71</v>
      </c>
      <c r="C773">
        <v>2</v>
      </c>
      <c r="D773">
        <v>2</v>
      </c>
    </row>
    <row r="774" spans="1:4">
      <c r="A774" t="s">
        <v>106</v>
      </c>
      <c r="B774" t="s">
        <v>76</v>
      </c>
      <c r="C774">
        <v>2</v>
      </c>
      <c r="D774">
        <v>2</v>
      </c>
    </row>
    <row r="775" spans="1:4">
      <c r="A775" t="s">
        <v>106</v>
      </c>
      <c r="B775" t="s">
        <v>82</v>
      </c>
      <c r="C775">
        <v>2</v>
      </c>
      <c r="D775">
        <v>2</v>
      </c>
    </row>
    <row r="776" spans="1:4">
      <c r="A776" t="s">
        <v>106</v>
      </c>
      <c r="B776" t="s">
        <v>70</v>
      </c>
      <c r="C776">
        <v>5</v>
      </c>
      <c r="D776">
        <v>5</v>
      </c>
    </row>
    <row r="777" spans="1:4">
      <c r="A777" t="s">
        <v>106</v>
      </c>
      <c r="B777" t="s">
        <v>75</v>
      </c>
      <c r="C777">
        <v>5</v>
      </c>
      <c r="D777">
        <v>5</v>
      </c>
    </row>
    <row r="778" spans="1:4">
      <c r="A778" t="s">
        <v>106</v>
      </c>
      <c r="B778" t="s">
        <v>78</v>
      </c>
      <c r="C778">
        <v>0</v>
      </c>
      <c r="D778">
        <v>0</v>
      </c>
    </row>
    <row r="779" spans="1:4">
      <c r="A779" t="s">
        <v>107</v>
      </c>
      <c r="B779" t="s">
        <v>69</v>
      </c>
      <c r="C779">
        <v>3</v>
      </c>
      <c r="D779">
        <v>3</v>
      </c>
    </row>
    <row r="780" spans="1:4">
      <c r="A780" t="s">
        <v>107</v>
      </c>
      <c r="B780" t="s">
        <v>80</v>
      </c>
      <c r="C780">
        <v>0</v>
      </c>
      <c r="D780">
        <v>0</v>
      </c>
    </row>
    <row r="781" spans="1:4">
      <c r="A781" t="s">
        <v>107</v>
      </c>
      <c r="B781" t="s">
        <v>84</v>
      </c>
      <c r="C781">
        <v>1</v>
      </c>
      <c r="D781">
        <v>1</v>
      </c>
    </row>
    <row r="782" spans="1:4">
      <c r="A782" t="s">
        <v>107</v>
      </c>
      <c r="B782" t="s">
        <v>85</v>
      </c>
      <c r="C782">
        <v>0</v>
      </c>
      <c r="D782">
        <v>0</v>
      </c>
    </row>
    <row r="783" spans="1:4">
      <c r="A783" t="s">
        <v>107</v>
      </c>
      <c r="B783" t="s">
        <v>86</v>
      </c>
      <c r="C783">
        <v>1</v>
      </c>
      <c r="D783">
        <v>1</v>
      </c>
    </row>
    <row r="784" spans="1:4">
      <c r="A784" t="s">
        <v>107</v>
      </c>
      <c r="B784" t="s">
        <v>87</v>
      </c>
      <c r="C784">
        <v>0</v>
      </c>
      <c r="D784">
        <v>0</v>
      </c>
    </row>
    <row r="785" spans="1:4">
      <c r="A785" t="s">
        <v>107</v>
      </c>
      <c r="B785" t="s">
        <v>88</v>
      </c>
      <c r="C785">
        <v>1</v>
      </c>
      <c r="D785">
        <v>1</v>
      </c>
    </row>
    <row r="786" spans="1:4">
      <c r="A786" t="s">
        <v>107</v>
      </c>
      <c r="B786" t="s">
        <v>89</v>
      </c>
      <c r="C786">
        <v>0</v>
      </c>
      <c r="D786">
        <v>0</v>
      </c>
    </row>
    <row r="787" spans="1:4">
      <c r="A787" t="s">
        <v>107</v>
      </c>
      <c r="B787" t="s">
        <v>90</v>
      </c>
      <c r="C787">
        <v>0</v>
      </c>
      <c r="D787">
        <v>0</v>
      </c>
    </row>
    <row r="788" spans="1:4">
      <c r="A788" t="s">
        <v>107</v>
      </c>
      <c r="B788" t="s">
        <v>81</v>
      </c>
      <c r="C788">
        <v>1</v>
      </c>
      <c r="D788">
        <v>1</v>
      </c>
    </row>
    <row r="789" spans="1:4">
      <c r="A789" t="s">
        <v>107</v>
      </c>
      <c r="B789" t="s">
        <v>79</v>
      </c>
      <c r="C789">
        <v>2</v>
      </c>
      <c r="D789">
        <v>2</v>
      </c>
    </row>
    <row r="790" spans="1:4">
      <c r="A790" t="s">
        <v>107</v>
      </c>
      <c r="B790" t="s">
        <v>74</v>
      </c>
      <c r="C790">
        <v>3</v>
      </c>
      <c r="D790">
        <v>3</v>
      </c>
    </row>
    <row r="791" spans="1:4">
      <c r="A791" t="s">
        <v>107</v>
      </c>
      <c r="B791" t="s">
        <v>73</v>
      </c>
      <c r="C791">
        <v>2</v>
      </c>
      <c r="D791">
        <v>2</v>
      </c>
    </row>
    <row r="792" spans="1:4">
      <c r="A792" t="s">
        <v>107</v>
      </c>
      <c r="B792" t="s">
        <v>72</v>
      </c>
      <c r="C792">
        <v>0</v>
      </c>
      <c r="D792">
        <v>0</v>
      </c>
    </row>
    <row r="793" spans="1:4">
      <c r="A793" t="s">
        <v>107</v>
      </c>
      <c r="B793" t="s">
        <v>77</v>
      </c>
      <c r="C793">
        <v>1</v>
      </c>
      <c r="D793">
        <v>1</v>
      </c>
    </row>
    <row r="794" spans="1:4">
      <c r="A794" t="s">
        <v>107</v>
      </c>
      <c r="B794" t="s">
        <v>71</v>
      </c>
      <c r="C794">
        <v>2</v>
      </c>
      <c r="D794">
        <v>2</v>
      </c>
    </row>
    <row r="795" spans="1:4">
      <c r="A795" t="s">
        <v>107</v>
      </c>
      <c r="B795" t="s">
        <v>76</v>
      </c>
      <c r="C795">
        <v>2</v>
      </c>
      <c r="D795">
        <v>2</v>
      </c>
    </row>
    <row r="796" spans="1:4">
      <c r="A796" t="s">
        <v>107</v>
      </c>
      <c r="B796" t="s">
        <v>82</v>
      </c>
      <c r="C796">
        <v>0</v>
      </c>
      <c r="D796">
        <v>0</v>
      </c>
    </row>
    <row r="797" spans="1:4">
      <c r="A797" t="s">
        <v>107</v>
      </c>
      <c r="B797" t="s">
        <v>70</v>
      </c>
      <c r="C797">
        <v>5</v>
      </c>
      <c r="D797">
        <v>5</v>
      </c>
    </row>
    <row r="798" spans="1:4">
      <c r="A798" t="s">
        <v>107</v>
      </c>
      <c r="B798" t="s">
        <v>75</v>
      </c>
      <c r="C798">
        <v>5</v>
      </c>
      <c r="D798">
        <v>5</v>
      </c>
    </row>
    <row r="799" spans="1:4">
      <c r="A799" t="s">
        <v>107</v>
      </c>
      <c r="B799" t="s">
        <v>78</v>
      </c>
      <c r="C799">
        <v>2</v>
      </c>
      <c r="D799">
        <v>2</v>
      </c>
    </row>
    <row r="800" spans="1:4">
      <c r="A800" t="s">
        <v>108</v>
      </c>
      <c r="B800" t="s">
        <v>69</v>
      </c>
      <c r="C800">
        <v>3</v>
      </c>
      <c r="D800">
        <v>3</v>
      </c>
    </row>
    <row r="801" spans="1:4">
      <c r="A801" t="s">
        <v>108</v>
      </c>
      <c r="B801" t="s">
        <v>80</v>
      </c>
      <c r="C801">
        <v>0</v>
      </c>
      <c r="D801">
        <v>0</v>
      </c>
    </row>
    <row r="802" spans="1:4">
      <c r="A802" t="s">
        <v>108</v>
      </c>
      <c r="B802" t="s">
        <v>84</v>
      </c>
      <c r="C802">
        <v>0</v>
      </c>
      <c r="D802">
        <v>0</v>
      </c>
    </row>
    <row r="803" spans="1:4">
      <c r="A803" t="s">
        <v>108</v>
      </c>
      <c r="B803" t="s">
        <v>85</v>
      </c>
      <c r="C803">
        <v>0</v>
      </c>
      <c r="D803">
        <v>0</v>
      </c>
    </row>
    <row r="804" spans="1:4">
      <c r="A804" t="s">
        <v>108</v>
      </c>
      <c r="B804" t="s">
        <v>86</v>
      </c>
      <c r="C804">
        <v>0</v>
      </c>
      <c r="D804">
        <v>0</v>
      </c>
    </row>
    <row r="805" spans="1:4">
      <c r="A805" t="s">
        <v>108</v>
      </c>
      <c r="B805" t="s">
        <v>87</v>
      </c>
      <c r="C805">
        <v>1</v>
      </c>
      <c r="D805">
        <v>1</v>
      </c>
    </row>
    <row r="806" spans="1:4">
      <c r="A806" t="s">
        <v>108</v>
      </c>
      <c r="B806" t="s">
        <v>88</v>
      </c>
      <c r="C806">
        <v>0</v>
      </c>
      <c r="D806">
        <v>0</v>
      </c>
    </row>
    <row r="807" spans="1:4">
      <c r="A807" t="s">
        <v>108</v>
      </c>
      <c r="B807" t="s">
        <v>89</v>
      </c>
      <c r="C807">
        <v>1</v>
      </c>
      <c r="D807">
        <v>1</v>
      </c>
    </row>
    <row r="808" spans="1:4">
      <c r="A808" t="s">
        <v>108</v>
      </c>
      <c r="B808" t="s">
        <v>90</v>
      </c>
      <c r="C808">
        <v>1</v>
      </c>
      <c r="D808">
        <v>1</v>
      </c>
    </row>
    <row r="809" spans="1:4">
      <c r="A809" t="s">
        <v>108</v>
      </c>
      <c r="B809" t="s">
        <v>81</v>
      </c>
      <c r="C809">
        <v>1</v>
      </c>
      <c r="D809">
        <v>1</v>
      </c>
    </row>
    <row r="810" spans="1:4">
      <c r="A810" t="s">
        <v>108</v>
      </c>
      <c r="B810" t="s">
        <v>79</v>
      </c>
      <c r="C810">
        <v>0</v>
      </c>
      <c r="D810">
        <v>0</v>
      </c>
    </row>
    <row r="811" spans="1:4">
      <c r="A811" t="s">
        <v>108</v>
      </c>
      <c r="B811" t="s">
        <v>74</v>
      </c>
      <c r="C811">
        <v>3</v>
      </c>
      <c r="D811">
        <v>3</v>
      </c>
    </row>
    <row r="812" spans="1:4">
      <c r="A812" t="s">
        <v>108</v>
      </c>
      <c r="B812" t="s">
        <v>73</v>
      </c>
      <c r="C812">
        <v>2</v>
      </c>
      <c r="D812">
        <v>2</v>
      </c>
    </row>
    <row r="813" spans="1:4">
      <c r="A813" t="s">
        <v>108</v>
      </c>
      <c r="B813" t="s">
        <v>72</v>
      </c>
      <c r="C813">
        <v>0</v>
      </c>
      <c r="D813">
        <v>0</v>
      </c>
    </row>
    <row r="814" spans="1:4">
      <c r="A814" t="s">
        <v>108</v>
      </c>
      <c r="B814" t="s">
        <v>77</v>
      </c>
      <c r="C814">
        <v>1</v>
      </c>
      <c r="D814">
        <v>1</v>
      </c>
    </row>
    <row r="815" spans="1:4">
      <c r="A815" t="s">
        <v>108</v>
      </c>
      <c r="B815" t="s">
        <v>71</v>
      </c>
      <c r="C815">
        <v>2</v>
      </c>
      <c r="D815">
        <v>2</v>
      </c>
    </row>
    <row r="816" spans="1:4">
      <c r="A816" t="s">
        <v>108</v>
      </c>
      <c r="B816" t="s">
        <v>76</v>
      </c>
      <c r="C816">
        <v>2</v>
      </c>
      <c r="D816">
        <v>2</v>
      </c>
    </row>
    <row r="817" spans="1:4">
      <c r="A817" t="s">
        <v>108</v>
      </c>
      <c r="B817" t="s">
        <v>82</v>
      </c>
      <c r="C817">
        <v>2</v>
      </c>
      <c r="D817">
        <v>2</v>
      </c>
    </row>
    <row r="818" spans="1:4">
      <c r="A818" t="s">
        <v>108</v>
      </c>
      <c r="B818" t="s">
        <v>70</v>
      </c>
      <c r="C818">
        <v>5</v>
      </c>
      <c r="D818">
        <v>5</v>
      </c>
    </row>
    <row r="819" spans="1:4">
      <c r="A819" t="s">
        <v>108</v>
      </c>
      <c r="B819" t="s">
        <v>75</v>
      </c>
      <c r="C819">
        <v>5</v>
      </c>
      <c r="D819">
        <v>5</v>
      </c>
    </row>
    <row r="820" spans="1:4">
      <c r="A820" t="s">
        <v>108</v>
      </c>
      <c r="B820" t="s">
        <v>78</v>
      </c>
      <c r="C820">
        <v>2</v>
      </c>
      <c r="D820">
        <v>2</v>
      </c>
    </row>
    <row r="821" spans="1:4">
      <c r="A821" t="s">
        <v>61</v>
      </c>
      <c r="B821" t="s">
        <v>69</v>
      </c>
      <c r="C821">
        <v>3</v>
      </c>
      <c r="D821">
        <v>3</v>
      </c>
    </row>
    <row r="822" spans="1:4">
      <c r="A822" t="s">
        <v>61</v>
      </c>
      <c r="B822" t="s">
        <v>80</v>
      </c>
      <c r="C822">
        <v>2</v>
      </c>
      <c r="D822">
        <v>2</v>
      </c>
    </row>
    <row r="823" spans="1:4">
      <c r="A823" t="s">
        <v>61</v>
      </c>
      <c r="B823" t="s">
        <v>84</v>
      </c>
      <c r="C823">
        <v>0</v>
      </c>
      <c r="D823">
        <v>0</v>
      </c>
    </row>
    <row r="824" spans="1:4">
      <c r="A824" t="s">
        <v>61</v>
      </c>
      <c r="B824" t="s">
        <v>85</v>
      </c>
      <c r="C824">
        <v>0</v>
      </c>
      <c r="D824">
        <v>0</v>
      </c>
    </row>
    <row r="825" spans="1:4">
      <c r="A825" t="s">
        <v>61</v>
      </c>
      <c r="B825" t="s">
        <v>86</v>
      </c>
      <c r="C825">
        <v>0</v>
      </c>
      <c r="D825">
        <v>0</v>
      </c>
    </row>
    <row r="826" spans="1:4">
      <c r="A826" t="s">
        <v>61</v>
      </c>
      <c r="B826" t="s">
        <v>87</v>
      </c>
      <c r="C826">
        <v>1</v>
      </c>
      <c r="D826">
        <v>1</v>
      </c>
    </row>
    <row r="827" spans="1:4">
      <c r="A827" t="s">
        <v>61</v>
      </c>
      <c r="B827" t="s">
        <v>88</v>
      </c>
      <c r="C827">
        <v>0</v>
      </c>
      <c r="D827">
        <v>0</v>
      </c>
    </row>
    <row r="828" spans="1:4">
      <c r="A828" t="s">
        <v>61</v>
      </c>
      <c r="B828" t="s">
        <v>89</v>
      </c>
      <c r="C828">
        <v>1</v>
      </c>
      <c r="D828">
        <v>1</v>
      </c>
    </row>
    <row r="829" spans="1:4">
      <c r="A829" t="s">
        <v>61</v>
      </c>
      <c r="B829" t="s">
        <v>90</v>
      </c>
      <c r="C829">
        <v>1</v>
      </c>
      <c r="D829">
        <v>1</v>
      </c>
    </row>
    <row r="830" spans="1:4">
      <c r="A830" t="s">
        <v>61</v>
      </c>
      <c r="B830" t="s">
        <v>81</v>
      </c>
      <c r="C830">
        <v>1</v>
      </c>
      <c r="D830">
        <v>1</v>
      </c>
    </row>
    <row r="831" spans="1:4">
      <c r="A831" t="s">
        <v>61</v>
      </c>
      <c r="B831" t="s">
        <v>79</v>
      </c>
      <c r="C831">
        <v>0</v>
      </c>
      <c r="D831">
        <v>0</v>
      </c>
    </row>
    <row r="832" spans="1:4">
      <c r="A832" t="s">
        <v>61</v>
      </c>
      <c r="B832" t="s">
        <v>74</v>
      </c>
      <c r="C832">
        <v>3</v>
      </c>
      <c r="D832">
        <v>3</v>
      </c>
    </row>
    <row r="833" spans="1:4">
      <c r="A833" t="s">
        <v>61</v>
      </c>
      <c r="B833" t="s">
        <v>73</v>
      </c>
      <c r="C833">
        <v>2</v>
      </c>
      <c r="D833">
        <v>2</v>
      </c>
    </row>
    <row r="834" spans="1:4">
      <c r="A834" t="s">
        <v>61</v>
      </c>
      <c r="B834" t="s">
        <v>72</v>
      </c>
      <c r="C834">
        <v>0</v>
      </c>
      <c r="D834">
        <v>0</v>
      </c>
    </row>
    <row r="835" spans="1:4">
      <c r="A835" t="s">
        <v>61</v>
      </c>
      <c r="B835" t="s">
        <v>77</v>
      </c>
      <c r="C835">
        <v>1</v>
      </c>
      <c r="D835">
        <v>1</v>
      </c>
    </row>
    <row r="836" spans="1:4">
      <c r="A836" t="s">
        <v>61</v>
      </c>
      <c r="B836" t="s">
        <v>71</v>
      </c>
      <c r="C836">
        <v>2</v>
      </c>
      <c r="D836">
        <v>1</v>
      </c>
    </row>
    <row r="837" spans="1:4">
      <c r="A837" t="s">
        <v>61</v>
      </c>
      <c r="B837" t="s">
        <v>76</v>
      </c>
      <c r="C837">
        <v>2</v>
      </c>
      <c r="D837">
        <v>3</v>
      </c>
    </row>
    <row r="838" spans="1:4">
      <c r="A838" t="s">
        <v>61</v>
      </c>
      <c r="B838" t="s">
        <v>82</v>
      </c>
      <c r="C838">
        <v>0</v>
      </c>
      <c r="D838">
        <v>0</v>
      </c>
    </row>
    <row r="839" spans="1:4">
      <c r="A839" t="s">
        <v>61</v>
      </c>
      <c r="B839" t="s">
        <v>70</v>
      </c>
      <c r="C839">
        <v>5</v>
      </c>
      <c r="D839">
        <v>5</v>
      </c>
    </row>
    <row r="840" spans="1:4">
      <c r="A840" t="s">
        <v>61</v>
      </c>
      <c r="B840" t="s">
        <v>75</v>
      </c>
      <c r="C840">
        <v>5</v>
      </c>
      <c r="D840">
        <v>5</v>
      </c>
    </row>
    <row r="841" spans="1:4">
      <c r="A841" t="s">
        <v>61</v>
      </c>
      <c r="B841" t="s">
        <v>78</v>
      </c>
      <c r="C841">
        <v>2</v>
      </c>
      <c r="D841">
        <v>2</v>
      </c>
    </row>
    <row r="842" spans="1:4">
      <c r="A842" t="s">
        <v>109</v>
      </c>
      <c r="B842" t="s">
        <v>69</v>
      </c>
      <c r="C842">
        <v>3</v>
      </c>
      <c r="D842">
        <v>3</v>
      </c>
    </row>
    <row r="843" spans="1:4">
      <c r="A843" t="s">
        <v>109</v>
      </c>
      <c r="B843" t="s">
        <v>80</v>
      </c>
      <c r="C843">
        <v>2</v>
      </c>
      <c r="D843">
        <v>2</v>
      </c>
    </row>
    <row r="844" spans="1:4">
      <c r="A844" t="s">
        <v>109</v>
      </c>
      <c r="B844" t="s">
        <v>84</v>
      </c>
      <c r="C844">
        <v>0</v>
      </c>
      <c r="D844">
        <v>0</v>
      </c>
    </row>
    <row r="845" spans="1:4">
      <c r="A845" t="s">
        <v>109</v>
      </c>
      <c r="B845" t="s">
        <v>85</v>
      </c>
      <c r="C845">
        <v>0</v>
      </c>
      <c r="D845">
        <v>0</v>
      </c>
    </row>
    <row r="846" spans="1:4">
      <c r="A846" t="s">
        <v>109</v>
      </c>
      <c r="B846" t="s">
        <v>86</v>
      </c>
      <c r="C846">
        <v>0</v>
      </c>
      <c r="D846">
        <v>0</v>
      </c>
    </row>
    <row r="847" spans="1:4">
      <c r="A847" t="s">
        <v>109</v>
      </c>
      <c r="B847" t="s">
        <v>87</v>
      </c>
      <c r="C847">
        <v>1</v>
      </c>
      <c r="D847">
        <v>1</v>
      </c>
    </row>
    <row r="848" spans="1:4">
      <c r="A848" t="s">
        <v>109</v>
      </c>
      <c r="B848" t="s">
        <v>88</v>
      </c>
      <c r="C848">
        <v>0</v>
      </c>
      <c r="D848">
        <v>0</v>
      </c>
    </row>
    <row r="849" spans="1:4">
      <c r="A849" t="s">
        <v>109</v>
      </c>
      <c r="B849" t="s">
        <v>89</v>
      </c>
      <c r="C849">
        <v>1</v>
      </c>
      <c r="D849">
        <v>1</v>
      </c>
    </row>
    <row r="850" spans="1:4">
      <c r="A850" t="s">
        <v>109</v>
      </c>
      <c r="B850" t="s">
        <v>90</v>
      </c>
      <c r="C850">
        <v>1</v>
      </c>
      <c r="D850">
        <v>1</v>
      </c>
    </row>
    <row r="851" spans="1:4">
      <c r="A851" t="s">
        <v>109</v>
      </c>
      <c r="B851" t="s">
        <v>81</v>
      </c>
      <c r="C851">
        <v>1</v>
      </c>
      <c r="D851">
        <v>1</v>
      </c>
    </row>
    <row r="852" spans="1:4">
      <c r="A852" t="s">
        <v>109</v>
      </c>
      <c r="B852" t="s">
        <v>79</v>
      </c>
      <c r="C852">
        <v>0</v>
      </c>
      <c r="D852">
        <v>0</v>
      </c>
    </row>
    <row r="853" spans="1:4">
      <c r="A853" t="s">
        <v>109</v>
      </c>
      <c r="B853" t="s">
        <v>74</v>
      </c>
      <c r="C853">
        <v>3</v>
      </c>
      <c r="D853">
        <v>3</v>
      </c>
    </row>
    <row r="854" spans="1:4">
      <c r="A854" t="s">
        <v>109</v>
      </c>
      <c r="B854" t="s">
        <v>73</v>
      </c>
      <c r="C854">
        <v>2</v>
      </c>
      <c r="D854">
        <v>2</v>
      </c>
    </row>
    <row r="855" spans="1:4">
      <c r="A855" t="s">
        <v>109</v>
      </c>
      <c r="B855" t="s">
        <v>72</v>
      </c>
      <c r="C855">
        <v>0</v>
      </c>
      <c r="D855">
        <v>0</v>
      </c>
    </row>
    <row r="856" spans="1:4">
      <c r="A856" t="s">
        <v>109</v>
      </c>
      <c r="B856" t="s">
        <v>77</v>
      </c>
      <c r="C856">
        <v>1</v>
      </c>
      <c r="D856">
        <v>1</v>
      </c>
    </row>
    <row r="857" spans="1:4">
      <c r="A857" t="s">
        <v>109</v>
      </c>
      <c r="B857" t="s">
        <v>71</v>
      </c>
      <c r="C857">
        <v>0</v>
      </c>
      <c r="D857">
        <v>0</v>
      </c>
    </row>
    <row r="858" spans="1:4">
      <c r="A858" t="s">
        <v>109</v>
      </c>
      <c r="B858" t="s">
        <v>76</v>
      </c>
      <c r="C858">
        <v>2</v>
      </c>
      <c r="D858">
        <v>2</v>
      </c>
    </row>
    <row r="859" spans="1:4">
      <c r="A859" t="s">
        <v>109</v>
      </c>
      <c r="B859" t="s">
        <v>82</v>
      </c>
      <c r="C859">
        <v>2</v>
      </c>
      <c r="D859">
        <v>2</v>
      </c>
    </row>
    <row r="860" spans="1:4">
      <c r="A860" t="s">
        <v>109</v>
      </c>
      <c r="B860" t="s">
        <v>70</v>
      </c>
      <c r="C860">
        <v>5</v>
      </c>
      <c r="D860">
        <v>5</v>
      </c>
    </row>
    <row r="861" spans="1:4">
      <c r="A861" t="s">
        <v>109</v>
      </c>
      <c r="B861" t="s">
        <v>75</v>
      </c>
      <c r="C861">
        <v>5</v>
      </c>
      <c r="D861">
        <v>5</v>
      </c>
    </row>
    <row r="862" spans="1:4">
      <c r="A862" t="s">
        <v>109</v>
      </c>
      <c r="B862" t="s">
        <v>78</v>
      </c>
      <c r="C862">
        <v>2</v>
      </c>
      <c r="D862">
        <v>2</v>
      </c>
    </row>
    <row r="863" spans="1:4">
      <c r="A863" t="s">
        <v>62</v>
      </c>
      <c r="B863" t="s">
        <v>69</v>
      </c>
      <c r="C863">
        <v>3</v>
      </c>
      <c r="D863">
        <v>3</v>
      </c>
    </row>
    <row r="864" spans="1:4">
      <c r="A864" t="s">
        <v>62</v>
      </c>
      <c r="B864" t="s">
        <v>80</v>
      </c>
      <c r="C864">
        <v>2</v>
      </c>
      <c r="D864">
        <v>3</v>
      </c>
    </row>
    <row r="865" spans="1:4">
      <c r="A865" t="s">
        <v>62</v>
      </c>
      <c r="B865" t="s">
        <v>84</v>
      </c>
      <c r="C865">
        <v>0</v>
      </c>
      <c r="D865">
        <v>0</v>
      </c>
    </row>
    <row r="866" spans="1:4">
      <c r="A866" t="s">
        <v>62</v>
      </c>
      <c r="B866" t="s">
        <v>85</v>
      </c>
      <c r="C866">
        <v>0</v>
      </c>
      <c r="D866">
        <v>0</v>
      </c>
    </row>
    <row r="867" spans="1:4">
      <c r="A867" t="s">
        <v>62</v>
      </c>
      <c r="B867" t="s">
        <v>86</v>
      </c>
      <c r="C867">
        <v>0</v>
      </c>
      <c r="D867">
        <v>0</v>
      </c>
    </row>
    <row r="868" spans="1:4">
      <c r="A868" t="s">
        <v>62</v>
      </c>
      <c r="B868" t="s">
        <v>87</v>
      </c>
      <c r="C868">
        <v>1</v>
      </c>
      <c r="D868">
        <v>1</v>
      </c>
    </row>
    <row r="869" spans="1:4">
      <c r="A869" t="s">
        <v>62</v>
      </c>
      <c r="B869" t="s">
        <v>88</v>
      </c>
      <c r="C869">
        <v>0</v>
      </c>
      <c r="D869">
        <v>0</v>
      </c>
    </row>
    <row r="870" spans="1:4">
      <c r="A870" t="s">
        <v>62</v>
      </c>
      <c r="B870" t="s">
        <v>89</v>
      </c>
      <c r="C870">
        <v>1</v>
      </c>
      <c r="D870">
        <v>1</v>
      </c>
    </row>
    <row r="871" spans="1:4">
      <c r="A871" t="s">
        <v>62</v>
      </c>
      <c r="B871" t="s">
        <v>90</v>
      </c>
      <c r="C871">
        <v>1</v>
      </c>
      <c r="D871">
        <v>1</v>
      </c>
    </row>
    <row r="872" spans="1:4">
      <c r="A872" t="s">
        <v>62</v>
      </c>
      <c r="B872" t="s">
        <v>81</v>
      </c>
      <c r="C872">
        <v>1</v>
      </c>
      <c r="D872">
        <v>1</v>
      </c>
    </row>
    <row r="873" spans="1:4">
      <c r="A873" t="s">
        <v>62</v>
      </c>
      <c r="B873" t="s">
        <v>79</v>
      </c>
      <c r="C873">
        <v>0</v>
      </c>
      <c r="D873">
        <v>0</v>
      </c>
    </row>
    <row r="874" spans="1:4">
      <c r="A874" t="s">
        <v>62</v>
      </c>
      <c r="B874" t="s">
        <v>74</v>
      </c>
      <c r="C874">
        <v>3</v>
      </c>
      <c r="D874">
        <v>3</v>
      </c>
    </row>
    <row r="875" spans="1:4">
      <c r="A875" t="s">
        <v>62</v>
      </c>
      <c r="B875" t="s">
        <v>73</v>
      </c>
      <c r="C875">
        <v>2</v>
      </c>
      <c r="D875">
        <v>2</v>
      </c>
    </row>
    <row r="876" spans="1:4">
      <c r="A876" t="s">
        <v>62</v>
      </c>
      <c r="B876" t="s">
        <v>72</v>
      </c>
      <c r="C876">
        <v>0</v>
      </c>
      <c r="D876">
        <v>0</v>
      </c>
    </row>
    <row r="877" spans="1:4">
      <c r="A877" t="s">
        <v>62</v>
      </c>
      <c r="B877" t="s">
        <v>77</v>
      </c>
      <c r="C877">
        <v>1</v>
      </c>
      <c r="D877">
        <v>1</v>
      </c>
    </row>
    <row r="878" spans="1:4">
      <c r="A878" t="s">
        <v>62</v>
      </c>
      <c r="B878" t="s">
        <v>71</v>
      </c>
      <c r="C878">
        <v>0</v>
      </c>
      <c r="D878">
        <v>0</v>
      </c>
    </row>
    <row r="879" spans="1:4">
      <c r="A879" t="s">
        <v>62</v>
      </c>
      <c r="B879" t="s">
        <v>76</v>
      </c>
      <c r="C879">
        <v>2</v>
      </c>
      <c r="D879">
        <v>1</v>
      </c>
    </row>
    <row r="880" spans="1:4">
      <c r="A880" t="s">
        <v>62</v>
      </c>
      <c r="B880" t="s">
        <v>82</v>
      </c>
      <c r="C880">
        <v>2</v>
      </c>
      <c r="D880">
        <v>2</v>
      </c>
    </row>
    <row r="881" spans="1:4">
      <c r="A881" t="s">
        <v>62</v>
      </c>
      <c r="B881" t="s">
        <v>70</v>
      </c>
      <c r="C881">
        <v>5</v>
      </c>
      <c r="D881">
        <v>6</v>
      </c>
    </row>
    <row r="882" spans="1:4">
      <c r="A882" t="s">
        <v>62</v>
      </c>
      <c r="B882" t="s">
        <v>75</v>
      </c>
      <c r="C882">
        <v>5</v>
      </c>
      <c r="D882">
        <v>4</v>
      </c>
    </row>
    <row r="883" spans="1:4">
      <c r="A883" t="s">
        <v>62</v>
      </c>
      <c r="B883" t="s">
        <v>78</v>
      </c>
      <c r="C883">
        <v>2</v>
      </c>
      <c r="D883">
        <v>2</v>
      </c>
    </row>
    <row r="884" spans="1:4">
      <c r="A884" t="s">
        <v>110</v>
      </c>
      <c r="B884" t="s">
        <v>69</v>
      </c>
      <c r="C884">
        <v>3</v>
      </c>
      <c r="D884">
        <v>3</v>
      </c>
    </row>
    <row r="885" spans="1:4">
      <c r="A885" t="s">
        <v>110</v>
      </c>
      <c r="B885" t="s">
        <v>80</v>
      </c>
      <c r="C885">
        <v>0</v>
      </c>
      <c r="D885">
        <v>0</v>
      </c>
    </row>
    <row r="886" spans="1:4">
      <c r="A886" t="s">
        <v>110</v>
      </c>
      <c r="B886" t="s">
        <v>84</v>
      </c>
      <c r="C886">
        <v>1</v>
      </c>
      <c r="D886">
        <v>1</v>
      </c>
    </row>
    <row r="887" spans="1:4">
      <c r="A887" t="s">
        <v>110</v>
      </c>
      <c r="B887" t="s">
        <v>85</v>
      </c>
      <c r="C887">
        <v>1</v>
      </c>
      <c r="D887">
        <v>1</v>
      </c>
    </row>
    <row r="888" spans="1:4">
      <c r="A888" t="s">
        <v>110</v>
      </c>
      <c r="B888" t="s">
        <v>86</v>
      </c>
      <c r="C888">
        <v>0</v>
      </c>
      <c r="D888">
        <v>0</v>
      </c>
    </row>
    <row r="889" spans="1:4">
      <c r="A889" t="s">
        <v>110</v>
      </c>
      <c r="B889" t="s">
        <v>87</v>
      </c>
      <c r="C889">
        <v>0</v>
      </c>
      <c r="D889">
        <v>0</v>
      </c>
    </row>
    <row r="890" spans="1:4">
      <c r="A890" t="s">
        <v>110</v>
      </c>
      <c r="B890" t="s">
        <v>88</v>
      </c>
      <c r="C890">
        <v>1</v>
      </c>
      <c r="D890">
        <v>1</v>
      </c>
    </row>
    <row r="891" spans="1:4">
      <c r="A891" t="s">
        <v>110</v>
      </c>
      <c r="B891" t="s">
        <v>89</v>
      </c>
      <c r="C891">
        <v>0</v>
      </c>
      <c r="D891">
        <v>0</v>
      </c>
    </row>
    <row r="892" spans="1:4">
      <c r="A892" t="s">
        <v>110</v>
      </c>
      <c r="B892" t="s">
        <v>90</v>
      </c>
      <c r="C892">
        <v>0</v>
      </c>
      <c r="D892">
        <v>0</v>
      </c>
    </row>
    <row r="893" spans="1:4">
      <c r="A893" t="s">
        <v>110</v>
      </c>
      <c r="B893" t="s">
        <v>81</v>
      </c>
      <c r="C893">
        <v>1</v>
      </c>
      <c r="D893">
        <v>1</v>
      </c>
    </row>
    <row r="894" spans="1:4">
      <c r="A894" t="s">
        <v>110</v>
      </c>
      <c r="B894" t="s">
        <v>79</v>
      </c>
      <c r="C894">
        <v>2</v>
      </c>
      <c r="D894">
        <v>2</v>
      </c>
    </row>
    <row r="895" spans="1:4">
      <c r="A895" t="s">
        <v>110</v>
      </c>
      <c r="B895" t="s">
        <v>74</v>
      </c>
      <c r="C895">
        <v>3</v>
      </c>
      <c r="D895">
        <v>3</v>
      </c>
    </row>
    <row r="896" spans="1:4">
      <c r="A896" t="s">
        <v>110</v>
      </c>
      <c r="B896" t="s">
        <v>73</v>
      </c>
      <c r="C896">
        <v>0</v>
      </c>
      <c r="D896">
        <v>0</v>
      </c>
    </row>
    <row r="897" spans="1:4">
      <c r="A897" t="s">
        <v>110</v>
      </c>
      <c r="B897" t="s">
        <v>72</v>
      </c>
      <c r="C897">
        <v>2</v>
      </c>
      <c r="D897">
        <v>2</v>
      </c>
    </row>
    <row r="898" spans="1:4">
      <c r="A898" t="s">
        <v>110</v>
      </c>
      <c r="B898" t="s">
        <v>77</v>
      </c>
      <c r="C898">
        <v>1</v>
      </c>
      <c r="D898">
        <v>1</v>
      </c>
    </row>
    <row r="899" spans="1:4">
      <c r="A899" t="s">
        <v>110</v>
      </c>
      <c r="B899" t="s">
        <v>71</v>
      </c>
      <c r="C899">
        <v>2</v>
      </c>
      <c r="D899">
        <v>2</v>
      </c>
    </row>
    <row r="900" spans="1:4">
      <c r="A900" t="s">
        <v>110</v>
      </c>
      <c r="B900" t="s">
        <v>76</v>
      </c>
      <c r="C900">
        <v>2</v>
      </c>
      <c r="D900">
        <v>2</v>
      </c>
    </row>
    <row r="901" spans="1:4">
      <c r="A901" t="s">
        <v>110</v>
      </c>
      <c r="B901" t="s">
        <v>82</v>
      </c>
      <c r="C901">
        <v>2</v>
      </c>
      <c r="D901">
        <v>2</v>
      </c>
    </row>
    <row r="902" spans="1:4">
      <c r="A902" t="s">
        <v>110</v>
      </c>
      <c r="B902" t="s">
        <v>70</v>
      </c>
      <c r="C902">
        <v>5</v>
      </c>
      <c r="D902">
        <v>5</v>
      </c>
    </row>
    <row r="903" spans="1:4">
      <c r="A903" t="s">
        <v>110</v>
      </c>
      <c r="B903" t="s">
        <v>75</v>
      </c>
      <c r="C903">
        <v>5</v>
      </c>
      <c r="D903">
        <v>5</v>
      </c>
    </row>
    <row r="904" spans="1:4">
      <c r="A904" t="s">
        <v>110</v>
      </c>
      <c r="B904" t="s">
        <v>78</v>
      </c>
      <c r="C904">
        <v>0</v>
      </c>
      <c r="D904">
        <v>0</v>
      </c>
    </row>
    <row r="905" spans="1:4">
      <c r="A905" t="s">
        <v>51</v>
      </c>
      <c r="B905" t="s">
        <v>69</v>
      </c>
      <c r="C905">
        <v>3</v>
      </c>
      <c r="D905">
        <v>3</v>
      </c>
    </row>
    <row r="906" spans="1:4">
      <c r="A906" t="s">
        <v>51</v>
      </c>
      <c r="B906" t="s">
        <v>80</v>
      </c>
      <c r="C906">
        <v>2</v>
      </c>
      <c r="D906">
        <v>1</v>
      </c>
    </row>
    <row r="907" spans="1:4">
      <c r="A907" t="s">
        <v>51</v>
      </c>
      <c r="B907" t="s">
        <v>84</v>
      </c>
      <c r="C907">
        <v>1</v>
      </c>
      <c r="D907">
        <v>1</v>
      </c>
    </row>
    <row r="908" spans="1:4">
      <c r="A908" t="s">
        <v>51</v>
      </c>
      <c r="B908" t="s">
        <v>85</v>
      </c>
      <c r="C908">
        <v>1</v>
      </c>
      <c r="D908">
        <v>1</v>
      </c>
    </row>
    <row r="909" spans="1:4">
      <c r="A909" t="s">
        <v>51</v>
      </c>
      <c r="B909" t="s">
        <v>86</v>
      </c>
      <c r="C909">
        <v>0</v>
      </c>
      <c r="D909">
        <v>0</v>
      </c>
    </row>
    <row r="910" spans="1:4">
      <c r="A910" t="s">
        <v>51</v>
      </c>
      <c r="B910" t="s">
        <v>87</v>
      </c>
      <c r="C910">
        <v>0</v>
      </c>
      <c r="D910">
        <v>0</v>
      </c>
    </row>
    <row r="911" spans="1:4">
      <c r="A911" t="s">
        <v>51</v>
      </c>
      <c r="B911" t="s">
        <v>88</v>
      </c>
      <c r="C911">
        <v>1</v>
      </c>
      <c r="D911">
        <v>0</v>
      </c>
    </row>
    <row r="912" spans="1:4">
      <c r="A912" t="s">
        <v>51</v>
      </c>
      <c r="B912" t="s">
        <v>89</v>
      </c>
      <c r="C912">
        <v>0</v>
      </c>
      <c r="D912">
        <v>1</v>
      </c>
    </row>
    <row r="913" spans="1:4">
      <c r="A913" t="s">
        <v>51</v>
      </c>
      <c r="B913" t="s">
        <v>90</v>
      </c>
      <c r="C913">
        <v>0</v>
      </c>
      <c r="D913">
        <v>0</v>
      </c>
    </row>
    <row r="914" spans="1:4">
      <c r="A914" t="s">
        <v>51</v>
      </c>
      <c r="B914" t="s">
        <v>81</v>
      </c>
      <c r="C914">
        <v>1</v>
      </c>
      <c r="D914">
        <v>2</v>
      </c>
    </row>
    <row r="915" spans="1:4">
      <c r="A915" t="s">
        <v>51</v>
      </c>
      <c r="B915" t="s">
        <v>79</v>
      </c>
      <c r="C915">
        <v>2</v>
      </c>
      <c r="D915">
        <v>2</v>
      </c>
    </row>
    <row r="916" spans="1:4">
      <c r="A916" t="s">
        <v>51</v>
      </c>
      <c r="B916" t="s">
        <v>74</v>
      </c>
      <c r="C916">
        <v>3</v>
      </c>
      <c r="D916">
        <v>3</v>
      </c>
    </row>
    <row r="917" spans="1:4">
      <c r="A917" t="s">
        <v>51</v>
      </c>
      <c r="B917" t="s">
        <v>73</v>
      </c>
      <c r="C917">
        <v>0</v>
      </c>
      <c r="D917">
        <v>0</v>
      </c>
    </row>
    <row r="918" spans="1:4">
      <c r="A918" t="s">
        <v>51</v>
      </c>
      <c r="B918" t="s">
        <v>72</v>
      </c>
      <c r="C918">
        <v>2</v>
      </c>
      <c r="D918">
        <v>2</v>
      </c>
    </row>
    <row r="919" spans="1:4">
      <c r="A919" t="s">
        <v>51</v>
      </c>
      <c r="B919" t="s">
        <v>77</v>
      </c>
      <c r="C919">
        <v>1</v>
      </c>
      <c r="D919">
        <v>1</v>
      </c>
    </row>
    <row r="920" spans="1:4">
      <c r="A920" t="s">
        <v>51</v>
      </c>
      <c r="B920" t="s">
        <v>71</v>
      </c>
      <c r="C920">
        <v>0</v>
      </c>
      <c r="D920">
        <v>0</v>
      </c>
    </row>
    <row r="921" spans="1:4">
      <c r="A921" t="s">
        <v>51</v>
      </c>
      <c r="B921" t="s">
        <v>76</v>
      </c>
      <c r="C921">
        <v>2</v>
      </c>
      <c r="D921">
        <v>2</v>
      </c>
    </row>
    <row r="922" spans="1:4">
      <c r="A922" t="s">
        <v>51</v>
      </c>
      <c r="B922" t="s">
        <v>82</v>
      </c>
      <c r="C922">
        <v>2</v>
      </c>
      <c r="D922">
        <v>2</v>
      </c>
    </row>
    <row r="923" spans="1:4">
      <c r="A923" t="s">
        <v>51</v>
      </c>
      <c r="B923" t="s">
        <v>70</v>
      </c>
      <c r="C923">
        <v>5</v>
      </c>
      <c r="D923">
        <v>5</v>
      </c>
    </row>
    <row r="924" spans="1:4">
      <c r="A924" t="s">
        <v>51</v>
      </c>
      <c r="B924" t="s">
        <v>75</v>
      </c>
      <c r="C924">
        <v>5</v>
      </c>
      <c r="D924">
        <v>5</v>
      </c>
    </row>
    <row r="925" spans="1:4">
      <c r="A925" t="s">
        <v>51</v>
      </c>
      <c r="B925" t="s">
        <v>78</v>
      </c>
      <c r="C925">
        <v>0</v>
      </c>
      <c r="D925">
        <v>0</v>
      </c>
    </row>
    <row r="926" spans="1:4">
      <c r="A926" t="s">
        <v>54</v>
      </c>
      <c r="B926" t="s">
        <v>69</v>
      </c>
      <c r="C926">
        <v>3</v>
      </c>
      <c r="D926">
        <v>3</v>
      </c>
    </row>
    <row r="927" spans="1:4">
      <c r="A927" t="s">
        <v>54</v>
      </c>
      <c r="B927" t="s">
        <v>80</v>
      </c>
      <c r="C927">
        <v>0</v>
      </c>
      <c r="D927">
        <v>0</v>
      </c>
    </row>
    <row r="928" spans="1:4">
      <c r="A928" t="s">
        <v>54</v>
      </c>
      <c r="B928" t="s">
        <v>84</v>
      </c>
      <c r="C928">
        <v>1</v>
      </c>
      <c r="D928">
        <v>1</v>
      </c>
    </row>
    <row r="929" spans="1:4">
      <c r="A929" t="s">
        <v>54</v>
      </c>
      <c r="B929" t="s">
        <v>85</v>
      </c>
      <c r="C929">
        <v>1</v>
      </c>
      <c r="D929">
        <v>1</v>
      </c>
    </row>
    <row r="930" spans="1:4">
      <c r="A930" t="s">
        <v>54</v>
      </c>
      <c r="B930" t="s">
        <v>86</v>
      </c>
      <c r="C930">
        <v>0</v>
      </c>
      <c r="D930">
        <v>0</v>
      </c>
    </row>
    <row r="931" spans="1:4">
      <c r="A931" t="s">
        <v>54</v>
      </c>
      <c r="B931" t="s">
        <v>87</v>
      </c>
      <c r="C931">
        <v>0</v>
      </c>
      <c r="D931">
        <v>0</v>
      </c>
    </row>
    <row r="932" spans="1:4">
      <c r="A932" t="s">
        <v>54</v>
      </c>
      <c r="B932" t="s">
        <v>88</v>
      </c>
      <c r="C932">
        <v>1</v>
      </c>
      <c r="D932">
        <v>1</v>
      </c>
    </row>
    <row r="933" spans="1:4">
      <c r="A933" t="s">
        <v>54</v>
      </c>
      <c r="B933" t="s">
        <v>89</v>
      </c>
      <c r="C933">
        <v>0</v>
      </c>
      <c r="D933">
        <v>0</v>
      </c>
    </row>
    <row r="934" spans="1:4">
      <c r="A934" t="s">
        <v>54</v>
      </c>
      <c r="B934" t="s">
        <v>90</v>
      </c>
      <c r="C934">
        <v>0</v>
      </c>
      <c r="D934">
        <v>0</v>
      </c>
    </row>
    <row r="935" spans="1:4">
      <c r="A935" t="s">
        <v>54</v>
      </c>
      <c r="B935" t="s">
        <v>81</v>
      </c>
      <c r="C935">
        <v>1</v>
      </c>
      <c r="D935">
        <v>1</v>
      </c>
    </row>
    <row r="936" spans="1:4">
      <c r="A936" t="s">
        <v>54</v>
      </c>
      <c r="B936" t="s">
        <v>79</v>
      </c>
      <c r="C936">
        <v>2</v>
      </c>
      <c r="D936">
        <v>3</v>
      </c>
    </row>
    <row r="937" spans="1:4">
      <c r="A937" t="s">
        <v>54</v>
      </c>
      <c r="B937" t="s">
        <v>74</v>
      </c>
      <c r="C937">
        <v>3</v>
      </c>
      <c r="D937">
        <v>3</v>
      </c>
    </row>
    <row r="938" spans="1:4">
      <c r="A938" t="s">
        <v>54</v>
      </c>
      <c r="B938" t="s">
        <v>73</v>
      </c>
      <c r="C938">
        <v>2</v>
      </c>
      <c r="D938">
        <v>1</v>
      </c>
    </row>
    <row r="939" spans="1:4">
      <c r="A939" t="s">
        <v>54</v>
      </c>
      <c r="B939" t="s">
        <v>72</v>
      </c>
      <c r="C939">
        <v>2</v>
      </c>
      <c r="D939">
        <v>2</v>
      </c>
    </row>
    <row r="940" spans="1:4">
      <c r="A940" t="s">
        <v>54</v>
      </c>
      <c r="B940" t="s">
        <v>77</v>
      </c>
      <c r="C940">
        <v>1</v>
      </c>
      <c r="D940">
        <v>1</v>
      </c>
    </row>
    <row r="941" spans="1:4">
      <c r="A941" t="s">
        <v>54</v>
      </c>
      <c r="B941" t="s">
        <v>71</v>
      </c>
      <c r="C941">
        <v>0</v>
      </c>
      <c r="D941">
        <v>0</v>
      </c>
    </row>
    <row r="942" spans="1:4">
      <c r="A942" t="s">
        <v>54</v>
      </c>
      <c r="B942" t="s">
        <v>76</v>
      </c>
      <c r="C942">
        <v>2</v>
      </c>
      <c r="D942">
        <v>2</v>
      </c>
    </row>
    <row r="943" spans="1:4">
      <c r="A943" t="s">
        <v>54</v>
      </c>
      <c r="B943" t="s">
        <v>82</v>
      </c>
      <c r="C943">
        <v>2</v>
      </c>
      <c r="D943">
        <v>0</v>
      </c>
    </row>
    <row r="944" spans="1:4">
      <c r="A944" t="s">
        <v>54</v>
      </c>
      <c r="B944" t="s">
        <v>70</v>
      </c>
      <c r="C944">
        <v>5</v>
      </c>
      <c r="D944">
        <v>5</v>
      </c>
    </row>
    <row r="945" spans="1:4">
      <c r="A945" t="s">
        <v>54</v>
      </c>
      <c r="B945" t="s">
        <v>75</v>
      </c>
      <c r="C945">
        <v>5</v>
      </c>
      <c r="D945">
        <v>7</v>
      </c>
    </row>
    <row r="946" spans="1:4">
      <c r="A946" t="s">
        <v>54</v>
      </c>
      <c r="B946" t="s">
        <v>78</v>
      </c>
      <c r="C946">
        <v>0</v>
      </c>
      <c r="D946">
        <v>0</v>
      </c>
    </row>
    <row r="947" spans="1:4">
      <c r="A947" t="s">
        <v>57</v>
      </c>
      <c r="B947" t="s">
        <v>69</v>
      </c>
      <c r="C947">
        <v>3</v>
      </c>
      <c r="D947">
        <v>3</v>
      </c>
    </row>
    <row r="948" spans="1:4">
      <c r="A948" t="s">
        <v>57</v>
      </c>
      <c r="B948" t="s">
        <v>80</v>
      </c>
      <c r="C948">
        <v>0</v>
      </c>
      <c r="D948">
        <v>0</v>
      </c>
    </row>
    <row r="949" spans="1:4">
      <c r="A949" t="s">
        <v>57</v>
      </c>
      <c r="B949" t="s">
        <v>84</v>
      </c>
      <c r="C949">
        <v>1</v>
      </c>
      <c r="D949">
        <v>1</v>
      </c>
    </row>
    <row r="950" spans="1:4">
      <c r="A950" t="s">
        <v>57</v>
      </c>
      <c r="B950" t="s">
        <v>85</v>
      </c>
      <c r="C950">
        <v>1</v>
      </c>
      <c r="D950">
        <v>1</v>
      </c>
    </row>
    <row r="951" spans="1:4">
      <c r="A951" t="s">
        <v>57</v>
      </c>
      <c r="B951" t="s">
        <v>86</v>
      </c>
      <c r="C951">
        <v>0</v>
      </c>
      <c r="D951">
        <v>0</v>
      </c>
    </row>
    <row r="952" spans="1:4">
      <c r="A952" t="s">
        <v>57</v>
      </c>
      <c r="B952" t="s">
        <v>87</v>
      </c>
      <c r="C952">
        <v>0</v>
      </c>
      <c r="D952">
        <v>0</v>
      </c>
    </row>
    <row r="953" spans="1:4">
      <c r="A953" t="s">
        <v>57</v>
      </c>
      <c r="B953" t="s">
        <v>88</v>
      </c>
      <c r="C953">
        <v>1</v>
      </c>
      <c r="D953">
        <v>1</v>
      </c>
    </row>
    <row r="954" spans="1:4">
      <c r="A954" t="s">
        <v>57</v>
      </c>
      <c r="B954" t="s">
        <v>89</v>
      </c>
      <c r="C954">
        <v>0</v>
      </c>
      <c r="D954">
        <v>0</v>
      </c>
    </row>
    <row r="955" spans="1:4">
      <c r="A955" t="s">
        <v>57</v>
      </c>
      <c r="B955" t="s">
        <v>90</v>
      </c>
      <c r="C955">
        <v>0</v>
      </c>
      <c r="D955">
        <v>0</v>
      </c>
    </row>
    <row r="956" spans="1:4">
      <c r="A956" t="s">
        <v>57</v>
      </c>
      <c r="B956" t="s">
        <v>81</v>
      </c>
      <c r="C956">
        <v>1</v>
      </c>
      <c r="D956">
        <v>1</v>
      </c>
    </row>
    <row r="957" spans="1:4">
      <c r="A957" t="s">
        <v>57</v>
      </c>
      <c r="B957" t="s">
        <v>79</v>
      </c>
      <c r="C957">
        <v>2</v>
      </c>
      <c r="D957">
        <v>3</v>
      </c>
    </row>
    <row r="958" spans="1:4">
      <c r="A958" t="s">
        <v>57</v>
      </c>
      <c r="B958" t="s">
        <v>74</v>
      </c>
      <c r="C958">
        <v>3</v>
      </c>
      <c r="D958">
        <v>3</v>
      </c>
    </row>
    <row r="959" spans="1:4">
      <c r="A959" t="s">
        <v>57</v>
      </c>
      <c r="B959" t="s">
        <v>73</v>
      </c>
      <c r="C959">
        <v>0</v>
      </c>
      <c r="D959">
        <v>0</v>
      </c>
    </row>
    <row r="960" spans="1:4">
      <c r="A960" t="s">
        <v>57</v>
      </c>
      <c r="B960" t="s">
        <v>72</v>
      </c>
      <c r="C960">
        <v>2</v>
      </c>
      <c r="D960">
        <v>2</v>
      </c>
    </row>
    <row r="961" spans="1:4">
      <c r="A961" t="s">
        <v>57</v>
      </c>
      <c r="B961" t="s">
        <v>77</v>
      </c>
      <c r="C961">
        <v>1</v>
      </c>
      <c r="D961">
        <v>1</v>
      </c>
    </row>
    <row r="962" spans="1:4">
      <c r="A962" t="s">
        <v>57</v>
      </c>
      <c r="B962" t="s">
        <v>71</v>
      </c>
      <c r="C962">
        <v>0</v>
      </c>
      <c r="D962">
        <v>0</v>
      </c>
    </row>
    <row r="963" spans="1:4">
      <c r="A963" t="s">
        <v>57</v>
      </c>
      <c r="B963" t="s">
        <v>76</v>
      </c>
      <c r="C963">
        <v>2</v>
      </c>
      <c r="D963">
        <v>1</v>
      </c>
    </row>
    <row r="964" spans="1:4">
      <c r="A964" t="s">
        <v>57</v>
      </c>
      <c r="B964" t="s">
        <v>82</v>
      </c>
      <c r="C964">
        <v>2</v>
      </c>
      <c r="D964">
        <v>2</v>
      </c>
    </row>
    <row r="965" spans="1:4">
      <c r="A965" t="s">
        <v>57</v>
      </c>
      <c r="B965" t="s">
        <v>70</v>
      </c>
      <c r="C965">
        <v>5</v>
      </c>
      <c r="D965">
        <v>5</v>
      </c>
    </row>
    <row r="966" spans="1:4">
      <c r="A966" t="s">
        <v>57</v>
      </c>
      <c r="B966" t="s">
        <v>75</v>
      </c>
      <c r="C966">
        <v>5</v>
      </c>
      <c r="D966">
        <v>5</v>
      </c>
    </row>
    <row r="967" spans="1:4">
      <c r="A967" t="s">
        <v>57</v>
      </c>
      <c r="B967" t="s">
        <v>78</v>
      </c>
      <c r="C967">
        <v>2</v>
      </c>
      <c r="D967">
        <v>2</v>
      </c>
    </row>
    <row r="968" spans="1:4">
      <c r="A968" t="s">
        <v>58</v>
      </c>
      <c r="B968" t="s">
        <v>69</v>
      </c>
      <c r="C968">
        <v>3</v>
      </c>
      <c r="D968">
        <v>3</v>
      </c>
    </row>
    <row r="969" spans="1:4">
      <c r="A969" t="s">
        <v>58</v>
      </c>
      <c r="B969" t="s">
        <v>80</v>
      </c>
      <c r="C969">
        <v>0</v>
      </c>
      <c r="D969">
        <v>0</v>
      </c>
    </row>
    <row r="970" spans="1:4">
      <c r="A970" t="s">
        <v>58</v>
      </c>
      <c r="B970" t="s">
        <v>84</v>
      </c>
      <c r="C970">
        <v>0</v>
      </c>
      <c r="D970">
        <v>0</v>
      </c>
    </row>
    <row r="971" spans="1:4">
      <c r="A971" t="s">
        <v>58</v>
      </c>
      <c r="B971" t="s">
        <v>85</v>
      </c>
      <c r="C971">
        <v>1</v>
      </c>
      <c r="D971">
        <v>1</v>
      </c>
    </row>
    <row r="972" spans="1:4">
      <c r="A972" t="s">
        <v>58</v>
      </c>
      <c r="B972" t="s">
        <v>86</v>
      </c>
      <c r="C972">
        <v>0</v>
      </c>
      <c r="D972">
        <v>0</v>
      </c>
    </row>
    <row r="973" spans="1:4">
      <c r="A973" t="s">
        <v>58</v>
      </c>
      <c r="B973" t="s">
        <v>87</v>
      </c>
      <c r="C973">
        <v>0</v>
      </c>
      <c r="D973">
        <v>1</v>
      </c>
    </row>
    <row r="974" spans="1:4">
      <c r="A974" t="s">
        <v>58</v>
      </c>
      <c r="B974" t="s">
        <v>88</v>
      </c>
      <c r="C974">
        <v>1</v>
      </c>
      <c r="D974">
        <v>1</v>
      </c>
    </row>
    <row r="975" spans="1:4">
      <c r="A975" t="s">
        <v>58</v>
      </c>
      <c r="B975" t="s">
        <v>89</v>
      </c>
      <c r="C975">
        <v>1</v>
      </c>
      <c r="D975">
        <v>0</v>
      </c>
    </row>
    <row r="976" spans="1:4">
      <c r="A976" t="s">
        <v>58</v>
      </c>
      <c r="B976" t="s">
        <v>90</v>
      </c>
      <c r="C976">
        <v>0</v>
      </c>
      <c r="D976">
        <v>0</v>
      </c>
    </row>
    <row r="977" spans="1:4">
      <c r="A977" t="s">
        <v>58</v>
      </c>
      <c r="B977" t="s">
        <v>81</v>
      </c>
      <c r="C977">
        <v>1</v>
      </c>
      <c r="D977">
        <v>1</v>
      </c>
    </row>
    <row r="978" spans="1:4">
      <c r="A978" t="s">
        <v>58</v>
      </c>
      <c r="B978" t="s">
        <v>79</v>
      </c>
      <c r="C978">
        <v>0</v>
      </c>
      <c r="D978">
        <v>0</v>
      </c>
    </row>
    <row r="979" spans="1:4">
      <c r="A979" t="s">
        <v>58</v>
      </c>
      <c r="B979" t="s">
        <v>74</v>
      </c>
      <c r="C979">
        <v>3</v>
      </c>
      <c r="D979">
        <v>3</v>
      </c>
    </row>
    <row r="980" spans="1:4">
      <c r="A980" t="s">
        <v>58</v>
      </c>
      <c r="B980" t="s">
        <v>73</v>
      </c>
      <c r="C980">
        <v>2</v>
      </c>
      <c r="D980">
        <v>2</v>
      </c>
    </row>
    <row r="981" spans="1:4">
      <c r="A981" t="s">
        <v>58</v>
      </c>
      <c r="B981" t="s">
        <v>72</v>
      </c>
      <c r="C981">
        <v>2</v>
      </c>
      <c r="D981">
        <v>2</v>
      </c>
    </row>
    <row r="982" spans="1:4">
      <c r="A982" t="s">
        <v>58</v>
      </c>
      <c r="B982" t="s">
        <v>77</v>
      </c>
      <c r="C982">
        <v>1</v>
      </c>
      <c r="D982">
        <v>1</v>
      </c>
    </row>
    <row r="983" spans="1:4">
      <c r="A983" t="s">
        <v>58</v>
      </c>
      <c r="B983" t="s">
        <v>71</v>
      </c>
      <c r="C983">
        <v>0</v>
      </c>
      <c r="D983">
        <v>0</v>
      </c>
    </row>
    <row r="984" spans="1:4">
      <c r="A984" t="s">
        <v>58</v>
      </c>
      <c r="B984" t="s">
        <v>76</v>
      </c>
      <c r="C984">
        <v>2</v>
      </c>
      <c r="D984">
        <v>2</v>
      </c>
    </row>
    <row r="985" spans="1:4">
      <c r="A985" t="s">
        <v>58</v>
      </c>
      <c r="B985" t="s">
        <v>82</v>
      </c>
      <c r="C985">
        <v>2</v>
      </c>
      <c r="D985">
        <v>2</v>
      </c>
    </row>
    <row r="986" spans="1:4">
      <c r="A986" t="s">
        <v>58</v>
      </c>
      <c r="B986" t="s">
        <v>70</v>
      </c>
      <c r="C986">
        <v>5</v>
      </c>
      <c r="D986">
        <v>5</v>
      </c>
    </row>
    <row r="987" spans="1:4">
      <c r="A987" t="s">
        <v>58</v>
      </c>
      <c r="B987" t="s">
        <v>75</v>
      </c>
      <c r="C987">
        <v>5</v>
      </c>
      <c r="D987">
        <v>5</v>
      </c>
    </row>
    <row r="988" spans="1:4">
      <c r="A988" t="s">
        <v>58</v>
      </c>
      <c r="B988" t="s">
        <v>78</v>
      </c>
      <c r="C988">
        <v>2</v>
      </c>
      <c r="D988">
        <v>2</v>
      </c>
    </row>
    <row r="989" spans="1:4">
      <c r="A989" t="s">
        <v>111</v>
      </c>
      <c r="B989" t="s">
        <v>69</v>
      </c>
      <c r="C989">
        <v>3</v>
      </c>
      <c r="D989">
        <v>3</v>
      </c>
    </row>
    <row r="990" spans="1:4">
      <c r="A990" t="s">
        <v>111</v>
      </c>
      <c r="B990" t="s">
        <v>80</v>
      </c>
      <c r="C990">
        <v>0</v>
      </c>
      <c r="D990">
        <v>0</v>
      </c>
    </row>
    <row r="991" spans="1:4">
      <c r="A991" t="s">
        <v>111</v>
      </c>
      <c r="B991" t="s">
        <v>84</v>
      </c>
      <c r="C991">
        <v>0</v>
      </c>
      <c r="D991">
        <v>0</v>
      </c>
    </row>
    <row r="992" spans="1:4">
      <c r="A992" t="s">
        <v>111</v>
      </c>
      <c r="B992" t="s">
        <v>85</v>
      </c>
      <c r="C992">
        <v>1</v>
      </c>
      <c r="D992">
        <v>1</v>
      </c>
    </row>
    <row r="993" spans="1:4">
      <c r="A993" t="s">
        <v>111</v>
      </c>
      <c r="B993" t="s">
        <v>86</v>
      </c>
      <c r="C993">
        <v>0</v>
      </c>
      <c r="D993">
        <v>0</v>
      </c>
    </row>
    <row r="994" spans="1:4">
      <c r="A994" t="s">
        <v>111</v>
      </c>
      <c r="B994" t="s">
        <v>87</v>
      </c>
      <c r="C994">
        <v>0</v>
      </c>
      <c r="D994">
        <v>0</v>
      </c>
    </row>
    <row r="995" spans="1:4">
      <c r="A995" t="s">
        <v>111</v>
      </c>
      <c r="B995" t="s">
        <v>88</v>
      </c>
      <c r="C995">
        <v>1</v>
      </c>
      <c r="D995">
        <v>1</v>
      </c>
    </row>
    <row r="996" spans="1:4">
      <c r="A996" t="s">
        <v>111</v>
      </c>
      <c r="B996" t="s">
        <v>89</v>
      </c>
      <c r="C996">
        <v>1</v>
      </c>
      <c r="D996">
        <v>1</v>
      </c>
    </row>
    <row r="997" spans="1:4">
      <c r="A997" t="s">
        <v>111</v>
      </c>
      <c r="B997" t="s">
        <v>90</v>
      </c>
      <c r="C997">
        <v>0</v>
      </c>
      <c r="D997">
        <v>0</v>
      </c>
    </row>
    <row r="998" spans="1:4">
      <c r="A998" t="s">
        <v>111</v>
      </c>
      <c r="B998" t="s">
        <v>81</v>
      </c>
      <c r="C998">
        <v>1</v>
      </c>
      <c r="D998">
        <v>1</v>
      </c>
    </row>
    <row r="999" spans="1:4">
      <c r="A999" t="s">
        <v>111</v>
      </c>
      <c r="B999" t="s">
        <v>79</v>
      </c>
      <c r="C999">
        <v>0</v>
      </c>
      <c r="D999">
        <v>0</v>
      </c>
    </row>
    <row r="1000" spans="1:4">
      <c r="A1000" t="s">
        <v>111</v>
      </c>
      <c r="B1000" t="s">
        <v>74</v>
      </c>
      <c r="C1000">
        <v>3</v>
      </c>
      <c r="D1000">
        <v>3</v>
      </c>
    </row>
    <row r="1001" spans="1:4">
      <c r="A1001" t="s">
        <v>111</v>
      </c>
      <c r="B1001" t="s">
        <v>73</v>
      </c>
      <c r="C1001">
        <v>2</v>
      </c>
      <c r="D1001">
        <v>2</v>
      </c>
    </row>
    <row r="1002" spans="1:4">
      <c r="A1002" t="s">
        <v>111</v>
      </c>
      <c r="B1002" t="s">
        <v>72</v>
      </c>
      <c r="C1002">
        <v>2</v>
      </c>
      <c r="D1002">
        <v>2</v>
      </c>
    </row>
    <row r="1003" spans="1:4">
      <c r="A1003" t="s">
        <v>111</v>
      </c>
      <c r="B1003" t="s">
        <v>77</v>
      </c>
      <c r="C1003">
        <v>1</v>
      </c>
      <c r="D1003">
        <v>1</v>
      </c>
    </row>
    <row r="1004" spans="1:4">
      <c r="A1004" t="s">
        <v>111</v>
      </c>
      <c r="B1004" t="s">
        <v>71</v>
      </c>
      <c r="C1004">
        <v>0</v>
      </c>
      <c r="D1004">
        <v>0</v>
      </c>
    </row>
    <row r="1005" spans="1:4">
      <c r="A1005" t="s">
        <v>111</v>
      </c>
      <c r="B1005" t="s">
        <v>76</v>
      </c>
      <c r="C1005">
        <v>2</v>
      </c>
      <c r="D1005">
        <v>2</v>
      </c>
    </row>
    <row r="1006" spans="1:4">
      <c r="A1006" t="s">
        <v>111</v>
      </c>
      <c r="B1006" t="s">
        <v>82</v>
      </c>
      <c r="C1006">
        <v>2</v>
      </c>
      <c r="D1006">
        <v>2</v>
      </c>
    </row>
    <row r="1007" spans="1:4">
      <c r="A1007" t="s">
        <v>111</v>
      </c>
      <c r="B1007" t="s">
        <v>70</v>
      </c>
      <c r="C1007">
        <v>5</v>
      </c>
      <c r="D1007">
        <v>5</v>
      </c>
    </row>
    <row r="1008" spans="1:4">
      <c r="A1008" t="s">
        <v>111</v>
      </c>
      <c r="B1008" t="s">
        <v>75</v>
      </c>
      <c r="C1008">
        <v>5</v>
      </c>
      <c r="D1008">
        <v>5</v>
      </c>
    </row>
    <row r="1009" spans="1:4">
      <c r="A1009" t="s">
        <v>111</v>
      </c>
      <c r="B1009" t="s">
        <v>78</v>
      </c>
      <c r="C1009">
        <v>2</v>
      </c>
      <c r="D1009">
        <v>2</v>
      </c>
    </row>
    <row r="1010" spans="1:4">
      <c r="A1010" t="s">
        <v>59</v>
      </c>
      <c r="B1010" t="s">
        <v>69</v>
      </c>
      <c r="C1010">
        <v>3</v>
      </c>
      <c r="D1010">
        <v>3</v>
      </c>
    </row>
    <row r="1011" spans="1:4">
      <c r="A1011" t="s">
        <v>59</v>
      </c>
      <c r="B1011" t="s">
        <v>80</v>
      </c>
      <c r="C1011">
        <v>2</v>
      </c>
      <c r="D1011">
        <v>2</v>
      </c>
    </row>
    <row r="1012" spans="1:4">
      <c r="A1012" t="s">
        <v>59</v>
      </c>
      <c r="B1012" t="s">
        <v>84</v>
      </c>
      <c r="C1012">
        <v>0</v>
      </c>
      <c r="D1012">
        <v>0</v>
      </c>
    </row>
    <row r="1013" spans="1:4">
      <c r="A1013" t="s">
        <v>59</v>
      </c>
      <c r="B1013" t="s">
        <v>112</v>
      </c>
      <c r="C1013">
        <v>0</v>
      </c>
      <c r="D1013">
        <v>1</v>
      </c>
    </row>
    <row r="1014" spans="1:4">
      <c r="A1014" t="s">
        <v>59</v>
      </c>
      <c r="B1014" t="s">
        <v>85</v>
      </c>
      <c r="C1014">
        <v>1</v>
      </c>
      <c r="D1014">
        <v>1</v>
      </c>
    </row>
    <row r="1015" spans="1:4">
      <c r="A1015" t="s">
        <v>59</v>
      </c>
      <c r="B1015" t="s">
        <v>86</v>
      </c>
      <c r="C1015">
        <v>0</v>
      </c>
      <c r="D1015">
        <v>0</v>
      </c>
    </row>
    <row r="1016" spans="1:4">
      <c r="A1016" t="s">
        <v>59</v>
      </c>
      <c r="B1016" t="s">
        <v>87</v>
      </c>
      <c r="C1016">
        <v>0</v>
      </c>
      <c r="D1016">
        <v>0</v>
      </c>
    </row>
    <row r="1017" spans="1:4">
      <c r="A1017" t="s">
        <v>59</v>
      </c>
      <c r="B1017" t="s">
        <v>88</v>
      </c>
      <c r="C1017">
        <v>1</v>
      </c>
      <c r="D1017">
        <v>1</v>
      </c>
    </row>
    <row r="1018" spans="1:4">
      <c r="A1018" t="s">
        <v>59</v>
      </c>
      <c r="B1018" t="s">
        <v>89</v>
      </c>
      <c r="C1018">
        <v>1</v>
      </c>
      <c r="D1018">
        <v>0</v>
      </c>
    </row>
    <row r="1019" spans="1:4">
      <c r="A1019" t="s">
        <v>59</v>
      </c>
      <c r="B1019" t="s">
        <v>90</v>
      </c>
      <c r="C1019">
        <v>0</v>
      </c>
      <c r="D1019">
        <v>0</v>
      </c>
    </row>
    <row r="1020" spans="1:4">
      <c r="A1020" t="s">
        <v>59</v>
      </c>
      <c r="B1020" t="s">
        <v>81</v>
      </c>
      <c r="C1020">
        <v>1</v>
      </c>
      <c r="D1020">
        <v>1</v>
      </c>
    </row>
    <row r="1021" spans="1:4">
      <c r="A1021" t="s">
        <v>59</v>
      </c>
      <c r="B1021" t="s">
        <v>79</v>
      </c>
      <c r="C1021">
        <v>0</v>
      </c>
      <c r="D1021">
        <v>0</v>
      </c>
    </row>
    <row r="1022" spans="1:4">
      <c r="A1022" t="s">
        <v>59</v>
      </c>
      <c r="B1022" t="s">
        <v>74</v>
      </c>
      <c r="C1022">
        <v>3</v>
      </c>
      <c r="D1022">
        <v>3</v>
      </c>
    </row>
    <row r="1023" spans="1:4">
      <c r="A1023" t="s">
        <v>59</v>
      </c>
      <c r="B1023" t="s">
        <v>73</v>
      </c>
      <c r="C1023">
        <v>2</v>
      </c>
      <c r="D1023">
        <v>2</v>
      </c>
    </row>
    <row r="1024" spans="1:4">
      <c r="A1024" t="s">
        <v>59</v>
      </c>
      <c r="B1024" t="s">
        <v>72</v>
      </c>
      <c r="C1024">
        <v>2</v>
      </c>
      <c r="D1024">
        <v>2</v>
      </c>
    </row>
    <row r="1025" spans="1:4">
      <c r="A1025" t="s">
        <v>59</v>
      </c>
      <c r="B1025" t="s">
        <v>77</v>
      </c>
      <c r="C1025">
        <v>1</v>
      </c>
      <c r="D1025">
        <v>1</v>
      </c>
    </row>
    <row r="1026" spans="1:4">
      <c r="A1026" t="s">
        <v>59</v>
      </c>
      <c r="B1026" t="s">
        <v>71</v>
      </c>
      <c r="C1026">
        <v>0</v>
      </c>
      <c r="D1026">
        <v>0</v>
      </c>
    </row>
    <row r="1027" spans="1:4">
      <c r="A1027" t="s">
        <v>59</v>
      </c>
      <c r="B1027" t="s">
        <v>76</v>
      </c>
      <c r="C1027">
        <v>2</v>
      </c>
      <c r="D1027">
        <v>2</v>
      </c>
    </row>
    <row r="1028" spans="1:4">
      <c r="A1028" t="s">
        <v>59</v>
      </c>
      <c r="B1028" t="s">
        <v>82</v>
      </c>
      <c r="C1028">
        <v>2</v>
      </c>
      <c r="D1028">
        <v>2</v>
      </c>
    </row>
    <row r="1029" spans="1:4">
      <c r="A1029" t="s">
        <v>59</v>
      </c>
      <c r="B1029" t="s">
        <v>70</v>
      </c>
      <c r="C1029">
        <v>5</v>
      </c>
      <c r="D1029">
        <v>4</v>
      </c>
    </row>
    <row r="1030" spans="1:4">
      <c r="A1030" t="s">
        <v>59</v>
      </c>
      <c r="B1030" t="s">
        <v>75</v>
      </c>
      <c r="C1030">
        <v>5</v>
      </c>
      <c r="D1030">
        <v>6</v>
      </c>
    </row>
    <row r="1031" spans="1:4">
      <c r="A1031" t="s">
        <v>59</v>
      </c>
      <c r="B1031" t="s">
        <v>78</v>
      </c>
      <c r="C1031">
        <v>0</v>
      </c>
      <c r="D1031">
        <v>0</v>
      </c>
    </row>
    <row r="1032" spans="1:4">
      <c r="A1032" t="s">
        <v>113</v>
      </c>
      <c r="B1032" t="s">
        <v>69</v>
      </c>
      <c r="C1032">
        <v>3</v>
      </c>
      <c r="D1032">
        <v>3</v>
      </c>
    </row>
    <row r="1033" spans="1:4">
      <c r="A1033" t="s">
        <v>113</v>
      </c>
      <c r="B1033" t="s">
        <v>80</v>
      </c>
      <c r="C1033">
        <v>0</v>
      </c>
      <c r="D1033">
        <v>0</v>
      </c>
    </row>
    <row r="1034" spans="1:4">
      <c r="A1034" t="s">
        <v>113</v>
      </c>
      <c r="B1034" t="s">
        <v>84</v>
      </c>
      <c r="C1034">
        <v>0</v>
      </c>
      <c r="D1034">
        <v>0</v>
      </c>
    </row>
    <row r="1035" spans="1:4">
      <c r="A1035" t="s">
        <v>113</v>
      </c>
      <c r="B1035" t="s">
        <v>85</v>
      </c>
      <c r="C1035">
        <v>0</v>
      </c>
      <c r="D1035">
        <v>0</v>
      </c>
    </row>
    <row r="1036" spans="1:4">
      <c r="A1036" t="s">
        <v>113</v>
      </c>
      <c r="B1036" t="s">
        <v>86</v>
      </c>
      <c r="C1036">
        <v>0</v>
      </c>
      <c r="D1036">
        <v>0</v>
      </c>
    </row>
    <row r="1037" spans="1:4">
      <c r="A1037" t="s">
        <v>113</v>
      </c>
      <c r="B1037" t="s">
        <v>87</v>
      </c>
      <c r="C1037">
        <v>1</v>
      </c>
      <c r="D1037">
        <v>1</v>
      </c>
    </row>
    <row r="1038" spans="1:4">
      <c r="A1038" t="s">
        <v>113</v>
      </c>
      <c r="B1038" t="s">
        <v>88</v>
      </c>
      <c r="C1038">
        <v>0</v>
      </c>
      <c r="D1038">
        <v>0</v>
      </c>
    </row>
    <row r="1039" spans="1:4">
      <c r="A1039" t="s">
        <v>113</v>
      </c>
      <c r="B1039" t="s">
        <v>89</v>
      </c>
      <c r="C1039">
        <v>1</v>
      </c>
      <c r="D1039">
        <v>1</v>
      </c>
    </row>
    <row r="1040" spans="1:4">
      <c r="A1040" t="s">
        <v>113</v>
      </c>
      <c r="B1040" t="s">
        <v>90</v>
      </c>
      <c r="C1040">
        <v>1</v>
      </c>
      <c r="D1040">
        <v>1</v>
      </c>
    </row>
    <row r="1041" spans="1:4">
      <c r="A1041" t="s">
        <v>113</v>
      </c>
      <c r="B1041" t="s">
        <v>81</v>
      </c>
      <c r="C1041">
        <v>1</v>
      </c>
      <c r="D1041">
        <v>1</v>
      </c>
    </row>
    <row r="1042" spans="1:4">
      <c r="A1042" t="s">
        <v>113</v>
      </c>
      <c r="B1042" t="s">
        <v>79</v>
      </c>
      <c r="C1042">
        <v>2</v>
      </c>
      <c r="D1042">
        <v>2</v>
      </c>
    </row>
    <row r="1043" spans="1:4">
      <c r="A1043" t="s">
        <v>113</v>
      </c>
      <c r="B1043" t="s">
        <v>74</v>
      </c>
      <c r="C1043">
        <v>3</v>
      </c>
      <c r="D1043">
        <v>3</v>
      </c>
    </row>
    <row r="1044" spans="1:4">
      <c r="A1044" t="s">
        <v>113</v>
      </c>
      <c r="B1044" t="s">
        <v>73</v>
      </c>
      <c r="C1044">
        <v>2</v>
      </c>
      <c r="D1044">
        <v>2</v>
      </c>
    </row>
    <row r="1045" spans="1:4">
      <c r="A1045" t="s">
        <v>113</v>
      </c>
      <c r="B1045" t="s">
        <v>72</v>
      </c>
      <c r="C1045">
        <v>0</v>
      </c>
      <c r="D1045">
        <v>0</v>
      </c>
    </row>
    <row r="1046" spans="1:4">
      <c r="A1046" t="s">
        <v>113</v>
      </c>
      <c r="B1046" t="s">
        <v>77</v>
      </c>
      <c r="C1046">
        <v>1</v>
      </c>
      <c r="D1046">
        <v>1</v>
      </c>
    </row>
    <row r="1047" spans="1:4">
      <c r="A1047" t="s">
        <v>113</v>
      </c>
      <c r="B1047" t="s">
        <v>71</v>
      </c>
      <c r="C1047">
        <v>0</v>
      </c>
      <c r="D1047">
        <v>0</v>
      </c>
    </row>
    <row r="1048" spans="1:4">
      <c r="A1048" t="s">
        <v>113</v>
      </c>
      <c r="B1048" t="s">
        <v>76</v>
      </c>
      <c r="C1048">
        <v>2</v>
      </c>
      <c r="D1048">
        <v>2</v>
      </c>
    </row>
    <row r="1049" spans="1:4">
      <c r="A1049" t="s">
        <v>113</v>
      </c>
      <c r="B1049" t="s">
        <v>82</v>
      </c>
      <c r="C1049">
        <v>2</v>
      </c>
      <c r="D1049">
        <v>2</v>
      </c>
    </row>
    <row r="1050" spans="1:4">
      <c r="A1050" t="s">
        <v>113</v>
      </c>
      <c r="B1050" t="s">
        <v>70</v>
      </c>
      <c r="C1050">
        <v>5</v>
      </c>
      <c r="D1050">
        <v>5</v>
      </c>
    </row>
    <row r="1051" spans="1:4">
      <c r="A1051" t="s">
        <v>113</v>
      </c>
      <c r="B1051" t="s">
        <v>75</v>
      </c>
      <c r="C1051">
        <v>5</v>
      </c>
      <c r="D1051">
        <v>5</v>
      </c>
    </row>
    <row r="1052" spans="1:4">
      <c r="A1052" t="s">
        <v>113</v>
      </c>
      <c r="B1052" t="s">
        <v>78</v>
      </c>
      <c r="C1052">
        <v>2</v>
      </c>
      <c r="D1052">
        <v>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FDCBC-5DB5-5E4E-BD8F-77E4F7087592}">
  <sheetPr filterMode="1"/>
  <dimension ref="A1:K66"/>
  <sheetViews>
    <sheetView topLeftCell="A10" workbookViewId="0">
      <selection activeCell="B73" sqref="B73"/>
    </sheetView>
  </sheetViews>
  <sheetFormatPr baseColWidth="10" defaultRowHeight="15"/>
  <cols>
    <col min="1" max="1" width="18.33203125" style="12" customWidth="1"/>
    <col min="2" max="2" width="31.6640625" style="12" customWidth="1"/>
    <col min="3" max="11" width="14.1640625" style="12" customWidth="1"/>
  </cols>
  <sheetData>
    <row r="1" spans="1:11" ht="18">
      <c r="A1" s="13" t="s">
        <v>173</v>
      </c>
    </row>
    <row r="2" spans="1:11">
      <c r="A2" s="14" t="s">
        <v>174</v>
      </c>
    </row>
    <row r="4" spans="1:11" ht="30" customHeight="1">
      <c r="A4" s="18" t="s">
        <v>175</v>
      </c>
      <c r="B4" s="18" t="s">
        <v>176</v>
      </c>
      <c r="C4" s="18" t="s">
        <v>177</v>
      </c>
      <c r="D4" s="17" t="s">
        <v>178</v>
      </c>
      <c r="E4" s="30" t="s">
        <v>179</v>
      </c>
      <c r="F4" s="31"/>
      <c r="G4" s="31"/>
      <c r="H4" s="31"/>
      <c r="I4" s="31"/>
      <c r="J4" s="31"/>
      <c r="K4" s="32"/>
    </row>
    <row r="5" spans="1:11" ht="45" customHeight="1">
      <c r="A5" s="26" t="str" cm="1">
        <f t="array" ref="A5">INDEX('12_THONG_KE_TIET'!$Q$4:$W$4,ROWS($A$5:A5))</f>
        <v>CĐ TOÁN</v>
      </c>
      <c r="B5" s="27">
        <f>COUNTIF(INDEX('12_THONG_KE_TIET'!$Q$5:$W$54,0,ROWS($A$5:A5)),"&gt;0")</f>
        <v>32</v>
      </c>
      <c r="C5" s="27">
        <f>SUM(INDEX('12_THONG_KE_TIET'!$Q$5:$W$54,0,ROWS($A$5:A5)))</f>
        <v>32</v>
      </c>
      <c r="D5" s="28">
        <f>B5/COUNTA('12_THONG_KE_TIET'!$A$5:$A$54)</f>
        <v>0.64</v>
      </c>
      <c r="E5" s="33" t="str" cm="1">
        <f t="array" ref="E5">_xlfn.TEXTJOIN(", ",TRUE,_xlfn._xlws.FILTER('12_THONG_KE_TIET'!$A$5:$A$54,INDEX('12_THONG_KE_TIET'!$Q$5:$W$54,0,ROWS($A$5:A5))&gt;0,""))</f>
        <v>10A1, 10A2, 10A3, 10A4, 10A5, 10A6, 10A7, 10A14, 10A15, 10A16, 10A17, 10A18, 10A19, 10A20, 10A21, 11A1, 11A3, 11A4, 11A5, 11A6, 11A7, 11A8, 12A1, 12A2, 12A3, 12A4, 12A5, 12A6, 12A7, 12A8, 12A10, 12A11</v>
      </c>
      <c r="F5" s="34"/>
      <c r="G5" s="34"/>
      <c r="H5" s="34"/>
      <c r="I5" s="34"/>
      <c r="J5" s="34"/>
      <c r="K5" s="35"/>
    </row>
    <row r="6" spans="1:11" ht="45" customHeight="1">
      <c r="A6" s="26" t="str" cm="1">
        <f t="array" ref="A6">INDEX('12_THONG_KE_TIET'!$Q$4:$W$4,ROWS($A$5:A6))</f>
        <v>CĐ VĂN</v>
      </c>
      <c r="B6" s="27">
        <f>COUNTIF(INDEX('12_THONG_KE_TIET'!$Q$5:$W$54,0,ROWS($A$5:A6)),"&gt;0")</f>
        <v>25</v>
      </c>
      <c r="C6" s="27">
        <f>SUM(INDEX('12_THONG_KE_TIET'!$Q$5:$W$54,0,ROWS($A$5:A6)))</f>
        <v>25</v>
      </c>
      <c r="D6" s="28">
        <f>B6/COUNTA('12_THONG_KE_TIET'!$A$5:$A$54)</f>
        <v>0.5</v>
      </c>
      <c r="E6" s="33" t="str" cm="1">
        <f t="array" ref="E6">_xlfn.TEXTJOIN(", ",TRUE,_xlfn._xlws.FILTER('12_THONG_KE_TIET'!$A$5:$A$54,INDEX('12_THONG_KE_TIET'!$Q$5:$W$54,0,ROWS($A$5:A6))&gt;0,""))</f>
        <v>10A8, 10A9, 10A10, 10A11, 10A12, 10A13, 10A18, 10A19, 10A20, 10A21, 11A2, 11A9, 11A10, 11A11, 11A12, 11A13, 11A14, 12A6, 12A7, 12A8, 12A9, 12A12, 12A13, 12A14, 12A15</v>
      </c>
      <c r="F6" s="34"/>
      <c r="G6" s="34"/>
      <c r="H6" s="34"/>
      <c r="I6" s="34"/>
      <c r="J6" s="34"/>
      <c r="K6" s="35"/>
    </row>
    <row r="7" spans="1:11" ht="45" customHeight="1">
      <c r="A7" s="26" t="str" cm="1">
        <f t="array" ref="A7">INDEX('12_THONG_KE_TIET'!$Q$4:$W$4,ROWS($A$5:A7))</f>
        <v>CĐ LÝ</v>
      </c>
      <c r="B7" s="27">
        <f>COUNTIF(INDEX('12_THONG_KE_TIET'!$Q$5:$W$54,0,ROWS($A$5:A7)),"&gt;0")</f>
        <v>22</v>
      </c>
      <c r="C7" s="27">
        <f>SUM(INDEX('12_THONG_KE_TIET'!$Q$5:$W$54,0,ROWS($A$5:A7)))</f>
        <v>22</v>
      </c>
      <c r="D7" s="28">
        <f>B7/COUNTA('12_THONG_KE_TIET'!$A$5:$A$54)</f>
        <v>0.44</v>
      </c>
      <c r="E7" s="33" t="str" cm="1">
        <f t="array" ref="E7">_xlfn.TEXTJOIN(", ",TRUE,_xlfn._xlws.FILTER('12_THONG_KE_TIET'!$A$5:$A$54,INDEX('12_THONG_KE_TIET'!$Q$5:$W$54,0,ROWS($A$5:A7))&gt;0,""))</f>
        <v>10A1, 10A2, 10A3, 10A4, 10A5, 10A6, 10A7, 10A14, 10A15, 11A1, 11A5, 11A6, 11A7, 11A8, 12A1, 12A2, 12A3, 12A4, 12A5, 12A6, 12A7, 12A8</v>
      </c>
      <c r="F7" s="34"/>
      <c r="G7" s="34"/>
      <c r="H7" s="34"/>
      <c r="I7" s="34"/>
      <c r="J7" s="34"/>
      <c r="K7" s="35"/>
    </row>
    <row r="8" spans="1:11" ht="45" customHeight="1">
      <c r="A8" s="26" t="str" cm="1">
        <f t="array" ref="A8">INDEX('12_THONG_KE_TIET'!$Q$4:$W$4,ROWS($A$5:A8))</f>
        <v>CĐ HÓA</v>
      </c>
      <c r="B8" s="27">
        <f>COUNTIF(INDEX('12_THONG_KE_TIET'!$Q$5:$W$54,0,ROWS($A$5:A8)),"&gt;0")</f>
        <v>24</v>
      </c>
      <c r="C8" s="27">
        <f>SUM(INDEX('12_THONG_KE_TIET'!$Q$5:$W$54,0,ROWS($A$5:A8)))</f>
        <v>24</v>
      </c>
      <c r="D8" s="28">
        <f>B8/COUNTA('12_THONG_KE_TIET'!$A$5:$A$54)</f>
        <v>0.48</v>
      </c>
      <c r="E8" s="33" t="str" cm="1">
        <f t="array" ref="E8">_xlfn.TEXTJOIN(", ",TRUE,_xlfn._xlws.FILTER('12_THONG_KE_TIET'!$A$5:$A$54,INDEX('12_THONG_KE_TIET'!$Q$5:$W$54,0,ROWS($A$5:A8))&gt;0,""))</f>
        <v>10A1, 10A2, 10A3, 10A4, 10A5, 10A6, 10A7, 10A16, 10A17, 10A21, 11A1, 11A3, 11A4, 11A5, 11A6, 11A7, 11A8, 12A1, 12A2, 12A3, 12A4, 12A5, 12A10, 12A11</v>
      </c>
      <c r="F8" s="34"/>
      <c r="G8" s="34"/>
      <c r="H8" s="34"/>
      <c r="I8" s="34"/>
      <c r="J8" s="34"/>
      <c r="K8" s="35"/>
    </row>
    <row r="9" spans="1:11" ht="45" customHeight="1">
      <c r="A9" s="26" t="str" cm="1">
        <f t="array" ref="A9">INDEX('12_THONG_KE_TIET'!$Q$4:$W$4,ROWS($A$5:A9))</f>
        <v>CĐ SINH</v>
      </c>
      <c r="B9" s="27">
        <f>COUNTIF(INDEX('12_THONG_KE_TIET'!$Q$5:$W$54,0,ROWS($A$5:A9)),"&gt;0")</f>
        <v>11</v>
      </c>
      <c r="C9" s="27">
        <f>SUM(INDEX('12_THONG_KE_TIET'!$Q$5:$W$54,0,ROWS($A$5:A9)))</f>
        <v>11</v>
      </c>
      <c r="D9" s="28">
        <f>B9/COUNTA('12_THONG_KE_TIET'!$A$5:$A$54)</f>
        <v>0.22</v>
      </c>
      <c r="E9" s="33" t="str" cm="1">
        <f t="array" ref="E9">_xlfn.TEXTJOIN(", ",TRUE,_xlfn._xlws.FILTER('12_THONG_KE_TIET'!$A$5:$A$54,INDEX('12_THONG_KE_TIET'!$Q$5:$W$54,0,ROWS($A$5:A9))&gt;0,""))</f>
        <v>10A14, 10A15, 10A16, 10A17, 10A18, 10A19, 10A20, 11A3, 11A4, 12A10, 12A11</v>
      </c>
      <c r="F9" s="34"/>
      <c r="G9" s="34"/>
      <c r="H9" s="34"/>
      <c r="I9" s="34"/>
      <c r="J9" s="34"/>
      <c r="K9" s="35"/>
    </row>
    <row r="10" spans="1:11" ht="45" customHeight="1">
      <c r="A10" s="26" t="str" cm="1">
        <f t="array" ref="A10">INDEX('12_THONG_KE_TIET'!$Q$4:$W$4,ROWS($A$5:A10))</f>
        <v>CĐ SỬ</v>
      </c>
      <c r="B10" s="27">
        <f>COUNTIF(INDEX('12_THONG_KE_TIET'!$Q$5:$W$54,0,ROWS($A$5:A10)),"&gt;0")</f>
        <v>18</v>
      </c>
      <c r="C10" s="27">
        <f>SUM(INDEX('12_THONG_KE_TIET'!$Q$5:$W$54,0,ROWS($A$5:A10)))</f>
        <v>18</v>
      </c>
      <c r="D10" s="28">
        <f>B10/COUNTA('12_THONG_KE_TIET'!$A$5:$A$54)</f>
        <v>0.36</v>
      </c>
      <c r="E10" s="33" t="str" cm="1">
        <f t="array" ref="E10">_xlfn.TEXTJOIN(", ",TRUE,_xlfn._xlws.FILTER('12_THONG_KE_TIET'!$A$5:$A$54,INDEX('12_THONG_KE_TIET'!$Q$5:$W$54,0,ROWS($A$5:A10))&gt;0,""))</f>
        <v>10A8, 10A9, 10A10, 10A11, 10A12, 10A13, 11A2, 11A9, 11A10, 11A11, 11A12, 11A13, 11A14, 12A9, 12A12, 12A13, 12A14, 12A15</v>
      </c>
      <c r="F10" s="34"/>
      <c r="G10" s="34"/>
      <c r="H10" s="34"/>
      <c r="I10" s="34"/>
      <c r="J10" s="34"/>
      <c r="K10" s="35"/>
    </row>
    <row r="11" spans="1:11" ht="45" customHeight="1">
      <c r="A11" s="26" t="str" cm="1">
        <f t="array" ref="A11">INDEX('12_THONG_KE_TIET'!$Q$4:$W$4,ROWS($A$5:A11))</f>
        <v>CĐ ĐỊA</v>
      </c>
      <c r="B11" s="27">
        <f>COUNTIF(INDEX('12_THONG_KE_TIET'!$Q$5:$W$54,0,ROWS($A$5:A11)),"&gt;0")</f>
        <v>18</v>
      </c>
      <c r="C11" s="27">
        <f>SUM(INDEX('12_THONG_KE_TIET'!$Q$5:$W$54,0,ROWS($A$5:A11)))</f>
        <v>18</v>
      </c>
      <c r="D11" s="28">
        <f>B11/COUNTA('12_THONG_KE_TIET'!$A$5:$A$54)</f>
        <v>0.36</v>
      </c>
      <c r="E11" s="33" t="str" cm="1">
        <f t="array" ref="E11">_xlfn.TEXTJOIN(", ",TRUE,_xlfn._xlws.FILTER('12_THONG_KE_TIET'!$A$5:$A$54,INDEX('12_THONG_KE_TIET'!$Q$5:$W$54,0,ROWS($A$5:A11))&gt;0,""))</f>
        <v>10A8, 10A9, 10A10, 10A11, 10A12, 10A13, 11A2, 11A9, 11A10, 11A11, 11A12, 11A13, 11A14, 12A9, 12A12, 12A13, 12A14, 12A15</v>
      </c>
      <c r="F11" s="34"/>
      <c r="G11" s="34"/>
      <c r="H11" s="34"/>
      <c r="I11" s="34"/>
      <c r="J11" s="34"/>
      <c r="K11" s="35"/>
    </row>
    <row r="12" spans="1:11">
      <c r="A12" s="20" t="s">
        <v>114</v>
      </c>
      <c r="B12" s="21">
        <f>SUM(B5:B11)</f>
        <v>150</v>
      </c>
      <c r="C12" s="21">
        <f>SUM(C5:C11)</f>
        <v>150</v>
      </c>
      <c r="D12" s="29"/>
      <c r="E12" s="36"/>
      <c r="F12" s="37"/>
      <c r="G12" s="37"/>
      <c r="H12" s="37"/>
      <c r="I12" s="37"/>
      <c r="J12" s="37"/>
      <c r="K12" s="38"/>
    </row>
    <row r="14" spans="1:11" ht="16">
      <c r="A14" s="16" t="s">
        <v>180</v>
      </c>
    </row>
    <row r="15" spans="1:11">
      <c r="A15" s="18" t="str">
        <f>'12_THONG_KE_TIET'!A4</f>
        <v>Lớp</v>
      </c>
      <c r="B15" s="18" t="str">
        <f>'12_THONG_KE_TIET'!B4</f>
        <v>GVCN</v>
      </c>
      <c r="C15" s="18" t="str">
        <f>INDEX('12_THONG_KE_TIET'!$Q$4:$W$4,1)</f>
        <v>CĐ TOÁN</v>
      </c>
      <c r="D15" s="18" t="str">
        <f>INDEX('12_THONG_KE_TIET'!$Q$4:$W$4,2)</f>
        <v>CĐ VĂN</v>
      </c>
      <c r="E15" s="18" t="str">
        <f>INDEX('12_THONG_KE_TIET'!$Q$4:$W$4,3)</f>
        <v>CĐ LÝ</v>
      </c>
      <c r="F15" s="18" t="str">
        <f>INDEX('12_THONG_KE_TIET'!$Q$4:$W$4,4)</f>
        <v>CĐ HÓA</v>
      </c>
      <c r="G15" s="18" t="str">
        <f>INDEX('12_THONG_KE_TIET'!$Q$4:$W$4,5)</f>
        <v>CĐ SINH</v>
      </c>
      <c r="H15" s="18" t="str">
        <f>INDEX('12_THONG_KE_TIET'!$Q$4:$W$4,6)</f>
        <v>CĐ SỬ</v>
      </c>
      <c r="I15" s="18" t="str">
        <f>INDEX('12_THONG_KE_TIET'!$Q$4:$W$4,7)</f>
        <v>CĐ ĐỊA</v>
      </c>
      <c r="J15" s="18" t="s">
        <v>181</v>
      </c>
      <c r="K15" s="18" t="s">
        <v>182</v>
      </c>
    </row>
    <row r="16" spans="1:11">
      <c r="A16" s="19" t="str">
        <f>'12_THONG_KE_TIET'!A5</f>
        <v>10A1</v>
      </c>
      <c r="B16" s="19" t="str">
        <f>'12_THONG_KE_TIET'!B5</f>
        <v>NGUYỄN THỊ QUỲNH DIỄM</v>
      </c>
      <c r="C16" s="23">
        <f>'12_THONG_KE_TIET'!Q5</f>
        <v>1</v>
      </c>
      <c r="D16" s="23">
        <f>'12_THONG_KE_TIET'!R5</f>
        <v>0</v>
      </c>
      <c r="E16" s="23">
        <f>'12_THONG_KE_TIET'!S5</f>
        <v>1</v>
      </c>
      <c r="F16" s="23">
        <f>'12_THONG_KE_TIET'!T5</f>
        <v>1</v>
      </c>
      <c r="G16" s="23">
        <f>'12_THONG_KE_TIET'!U5</f>
        <v>0</v>
      </c>
      <c r="H16" s="23">
        <f>'12_THONG_KE_TIET'!V5</f>
        <v>0</v>
      </c>
      <c r="I16" s="23">
        <f>'12_THONG_KE_TIET'!W5</f>
        <v>0</v>
      </c>
      <c r="J16" s="23">
        <f>COUNTIF(C16:I16,"&gt;0")</f>
        <v>3</v>
      </c>
      <c r="K16" s="23">
        <f>SUM(C16:I16)</f>
        <v>3</v>
      </c>
    </row>
    <row r="17" spans="1:11">
      <c r="A17" s="19" t="str">
        <f>'12_THONG_KE_TIET'!A6</f>
        <v>10A2</v>
      </c>
      <c r="B17" s="19" t="str">
        <f>'12_THONG_KE_TIET'!B6</f>
        <v>TRẦN THỊ KHUYÊN</v>
      </c>
      <c r="C17" s="23">
        <f>'12_THONG_KE_TIET'!Q6</f>
        <v>1</v>
      </c>
      <c r="D17" s="23">
        <f>'12_THONG_KE_TIET'!R6</f>
        <v>0</v>
      </c>
      <c r="E17" s="23">
        <f>'12_THONG_KE_TIET'!S6</f>
        <v>1</v>
      </c>
      <c r="F17" s="23">
        <f>'12_THONG_KE_TIET'!T6</f>
        <v>1</v>
      </c>
      <c r="G17" s="23">
        <f>'12_THONG_KE_TIET'!U6</f>
        <v>0</v>
      </c>
      <c r="H17" s="23">
        <f>'12_THONG_KE_TIET'!V6</f>
        <v>0</v>
      </c>
      <c r="I17" s="23">
        <f>'12_THONG_KE_TIET'!W6</f>
        <v>0</v>
      </c>
      <c r="J17" s="23">
        <f>COUNTIF(C17:I17,"&gt;0")</f>
        <v>3</v>
      </c>
      <c r="K17" s="23">
        <f>SUM(C17:I17)</f>
        <v>3</v>
      </c>
    </row>
    <row r="18" spans="1:11">
      <c r="A18" s="19" t="str">
        <f>'12_THONG_KE_TIET'!A7</f>
        <v>10A3</v>
      </c>
      <c r="B18" s="19" t="str">
        <f>'12_THONG_KE_TIET'!B7</f>
        <v>NGUYỄN MINH THANH TÙNG</v>
      </c>
      <c r="C18" s="23">
        <f>'12_THONG_KE_TIET'!Q7</f>
        <v>1</v>
      </c>
      <c r="D18" s="23">
        <f>'12_THONG_KE_TIET'!R7</f>
        <v>0</v>
      </c>
      <c r="E18" s="23">
        <f>'12_THONG_KE_TIET'!S7</f>
        <v>1</v>
      </c>
      <c r="F18" s="23">
        <f>'12_THONG_KE_TIET'!T7</f>
        <v>1</v>
      </c>
      <c r="G18" s="23">
        <f>'12_THONG_KE_TIET'!U7</f>
        <v>0</v>
      </c>
      <c r="H18" s="23">
        <f>'12_THONG_KE_TIET'!V7</f>
        <v>0</v>
      </c>
      <c r="I18" s="23">
        <f>'12_THONG_KE_TIET'!W7</f>
        <v>0</v>
      </c>
      <c r="J18" s="23">
        <f>COUNTIF(C18:I18,"&gt;0")</f>
        <v>3</v>
      </c>
      <c r="K18" s="23">
        <f>SUM(C18:I18)</f>
        <v>3</v>
      </c>
    </row>
    <row r="19" spans="1:11">
      <c r="A19" s="19" t="str">
        <f>'12_THONG_KE_TIET'!A8</f>
        <v>10A4</v>
      </c>
      <c r="B19" s="19" t="str">
        <f>'12_THONG_KE_TIET'!B8</f>
        <v>TRẦN THỊ LAM HỒNG</v>
      </c>
      <c r="C19" s="23">
        <f>'12_THONG_KE_TIET'!Q8</f>
        <v>1</v>
      </c>
      <c r="D19" s="23">
        <f>'12_THONG_KE_TIET'!R8</f>
        <v>0</v>
      </c>
      <c r="E19" s="23">
        <f>'12_THONG_KE_TIET'!S8</f>
        <v>1</v>
      </c>
      <c r="F19" s="23">
        <f>'12_THONG_KE_TIET'!T8</f>
        <v>1</v>
      </c>
      <c r="G19" s="23">
        <f>'12_THONG_KE_TIET'!U8</f>
        <v>0</v>
      </c>
      <c r="H19" s="23">
        <f>'12_THONG_KE_TIET'!V8</f>
        <v>0</v>
      </c>
      <c r="I19" s="23">
        <f>'12_THONG_KE_TIET'!W8</f>
        <v>0</v>
      </c>
      <c r="J19" s="23">
        <f>COUNTIF(C19:I19,"&gt;0")</f>
        <v>3</v>
      </c>
      <c r="K19" s="23">
        <f>SUM(C19:I19)</f>
        <v>3</v>
      </c>
    </row>
    <row r="20" spans="1:11">
      <c r="A20" s="19" t="str">
        <f>'12_THONG_KE_TIET'!A9</f>
        <v>10A5</v>
      </c>
      <c r="B20" s="19" t="str">
        <f>'12_THONG_KE_TIET'!B9</f>
        <v>LÂM GIA HÂN</v>
      </c>
      <c r="C20" s="23">
        <f>'12_THONG_KE_TIET'!Q9</f>
        <v>1</v>
      </c>
      <c r="D20" s="23">
        <f>'12_THONG_KE_TIET'!R9</f>
        <v>0</v>
      </c>
      <c r="E20" s="23">
        <f>'12_THONG_KE_TIET'!S9</f>
        <v>1</v>
      </c>
      <c r="F20" s="23">
        <f>'12_THONG_KE_TIET'!T9</f>
        <v>1</v>
      </c>
      <c r="G20" s="23">
        <f>'12_THONG_KE_TIET'!U9</f>
        <v>0</v>
      </c>
      <c r="H20" s="23">
        <f>'12_THONG_KE_TIET'!V9</f>
        <v>0</v>
      </c>
      <c r="I20" s="23">
        <f>'12_THONG_KE_TIET'!W9</f>
        <v>0</v>
      </c>
      <c r="J20" s="23">
        <f>COUNTIF(C20:I20,"&gt;0")</f>
        <v>3</v>
      </c>
      <c r="K20" s="23">
        <f>SUM(C20:I20)</f>
        <v>3</v>
      </c>
    </row>
    <row r="21" spans="1:11">
      <c r="A21" s="19" t="str">
        <f>'12_THONG_KE_TIET'!A10</f>
        <v>10A6</v>
      </c>
      <c r="B21" s="19" t="str">
        <f>'12_THONG_KE_TIET'!B10</f>
        <v>NGUYỄN XUÂN THU</v>
      </c>
      <c r="C21" s="23">
        <f>'12_THONG_KE_TIET'!Q10</f>
        <v>1</v>
      </c>
      <c r="D21" s="23">
        <f>'12_THONG_KE_TIET'!R10</f>
        <v>0</v>
      </c>
      <c r="E21" s="23">
        <f>'12_THONG_KE_TIET'!S10</f>
        <v>1</v>
      </c>
      <c r="F21" s="23">
        <f>'12_THONG_KE_TIET'!T10</f>
        <v>1</v>
      </c>
      <c r="G21" s="23">
        <f>'12_THONG_KE_TIET'!U10</f>
        <v>0</v>
      </c>
      <c r="H21" s="23">
        <f>'12_THONG_KE_TIET'!V10</f>
        <v>0</v>
      </c>
      <c r="I21" s="23">
        <f>'12_THONG_KE_TIET'!W10</f>
        <v>0</v>
      </c>
      <c r="J21" s="23">
        <f>COUNTIF(C21:I21,"&gt;0")</f>
        <v>3</v>
      </c>
      <c r="K21" s="23">
        <f>SUM(C21:I21)</f>
        <v>3</v>
      </c>
    </row>
    <row r="22" spans="1:11">
      <c r="A22" s="19" t="str">
        <f>'12_THONG_KE_TIET'!A11</f>
        <v>10A7</v>
      </c>
      <c r="B22" s="19" t="str">
        <f>'12_THONG_KE_TIET'!B11</f>
        <v>NGUYỄN TRẦN MAI THANH</v>
      </c>
      <c r="C22" s="23">
        <f>'12_THONG_KE_TIET'!Q11</f>
        <v>1</v>
      </c>
      <c r="D22" s="23">
        <f>'12_THONG_KE_TIET'!R11</f>
        <v>0</v>
      </c>
      <c r="E22" s="23">
        <f>'12_THONG_KE_TIET'!S11</f>
        <v>1</v>
      </c>
      <c r="F22" s="23">
        <f>'12_THONG_KE_TIET'!T11</f>
        <v>1</v>
      </c>
      <c r="G22" s="23">
        <f>'12_THONG_KE_TIET'!U11</f>
        <v>0</v>
      </c>
      <c r="H22" s="23">
        <f>'12_THONG_KE_TIET'!V11</f>
        <v>0</v>
      </c>
      <c r="I22" s="23">
        <f>'12_THONG_KE_TIET'!W11</f>
        <v>0</v>
      </c>
      <c r="J22" s="23">
        <f>COUNTIF(C22:I22,"&gt;0")</f>
        <v>3</v>
      </c>
      <c r="K22" s="23">
        <f>SUM(C22:I22)</f>
        <v>3</v>
      </c>
    </row>
    <row r="23" spans="1:11" hidden="1">
      <c r="A23" s="19" t="str">
        <f>'12_THONG_KE_TIET'!A12</f>
        <v>10A8</v>
      </c>
      <c r="B23" s="19" t="str">
        <f>'12_THONG_KE_TIET'!B12</f>
        <v>MAI LAN ANH</v>
      </c>
      <c r="C23" s="23">
        <f>'12_THONG_KE_TIET'!Q12</f>
        <v>0</v>
      </c>
      <c r="D23" s="23">
        <f>'12_THONG_KE_TIET'!R12</f>
        <v>1</v>
      </c>
      <c r="E23" s="23">
        <f>'12_THONG_KE_TIET'!S12</f>
        <v>0</v>
      </c>
      <c r="F23" s="23">
        <f>'12_THONG_KE_TIET'!T12</f>
        <v>0</v>
      </c>
      <c r="G23" s="23">
        <f>'12_THONG_KE_TIET'!U12</f>
        <v>0</v>
      </c>
      <c r="H23" s="23">
        <f>'12_THONG_KE_TIET'!V12</f>
        <v>1</v>
      </c>
      <c r="I23" s="23">
        <f>'12_THONG_KE_TIET'!W12</f>
        <v>1</v>
      </c>
      <c r="J23" s="23">
        <f>COUNTIF(C23:I23,"&gt;0")</f>
        <v>3</v>
      </c>
      <c r="K23" s="23">
        <f>SUM(C23:I23)</f>
        <v>3</v>
      </c>
    </row>
    <row r="24" spans="1:11" hidden="1">
      <c r="A24" s="19" t="str">
        <f>'12_THONG_KE_TIET'!A13</f>
        <v>10A9</v>
      </c>
      <c r="B24" s="19" t="str">
        <f>'12_THONG_KE_TIET'!B13</f>
        <v>HỒ PHƯƠNG THẢO</v>
      </c>
      <c r="C24" s="23">
        <f>'12_THONG_KE_TIET'!Q13</f>
        <v>0</v>
      </c>
      <c r="D24" s="23">
        <f>'12_THONG_KE_TIET'!R13</f>
        <v>1</v>
      </c>
      <c r="E24" s="23">
        <f>'12_THONG_KE_TIET'!S13</f>
        <v>0</v>
      </c>
      <c r="F24" s="23">
        <f>'12_THONG_KE_TIET'!T13</f>
        <v>0</v>
      </c>
      <c r="G24" s="23">
        <f>'12_THONG_KE_TIET'!U13</f>
        <v>0</v>
      </c>
      <c r="H24" s="23">
        <f>'12_THONG_KE_TIET'!V13</f>
        <v>1</v>
      </c>
      <c r="I24" s="23">
        <f>'12_THONG_KE_TIET'!W13</f>
        <v>1</v>
      </c>
      <c r="J24" s="23">
        <f>COUNTIF(C24:I24,"&gt;0")</f>
        <v>3</v>
      </c>
      <c r="K24" s="23">
        <f>SUM(C24:I24)</f>
        <v>3</v>
      </c>
    </row>
    <row r="25" spans="1:11" hidden="1">
      <c r="A25" s="19" t="str">
        <f>'12_THONG_KE_TIET'!A14</f>
        <v>10A10</v>
      </c>
      <c r="B25" s="19" t="str">
        <f>'12_THONG_KE_TIET'!B14</f>
        <v>LƯU BÍCH HOÀI THÊM</v>
      </c>
      <c r="C25" s="23">
        <f>'12_THONG_KE_TIET'!Q14</f>
        <v>0</v>
      </c>
      <c r="D25" s="23">
        <f>'12_THONG_KE_TIET'!R14</f>
        <v>1</v>
      </c>
      <c r="E25" s="23">
        <f>'12_THONG_KE_TIET'!S14</f>
        <v>0</v>
      </c>
      <c r="F25" s="23">
        <f>'12_THONG_KE_TIET'!T14</f>
        <v>0</v>
      </c>
      <c r="G25" s="23">
        <f>'12_THONG_KE_TIET'!U14</f>
        <v>0</v>
      </c>
      <c r="H25" s="23">
        <f>'12_THONG_KE_TIET'!V14</f>
        <v>1</v>
      </c>
      <c r="I25" s="23">
        <f>'12_THONG_KE_TIET'!W14</f>
        <v>1</v>
      </c>
      <c r="J25" s="23">
        <f>COUNTIF(C25:I25,"&gt;0")</f>
        <v>3</v>
      </c>
      <c r="K25" s="23">
        <f>SUM(C25:I25)</f>
        <v>3</v>
      </c>
    </row>
    <row r="26" spans="1:11" hidden="1">
      <c r="A26" s="19" t="str">
        <f>'12_THONG_KE_TIET'!A15</f>
        <v>10A11</v>
      </c>
      <c r="B26" s="19" t="str">
        <f>'12_THONG_KE_TIET'!B15</f>
        <v>TRƯƠNG THU TRANG</v>
      </c>
      <c r="C26" s="23">
        <f>'12_THONG_KE_TIET'!Q15</f>
        <v>0</v>
      </c>
      <c r="D26" s="23">
        <f>'12_THONG_KE_TIET'!R15</f>
        <v>1</v>
      </c>
      <c r="E26" s="23">
        <f>'12_THONG_KE_TIET'!S15</f>
        <v>0</v>
      </c>
      <c r="F26" s="23">
        <f>'12_THONG_KE_TIET'!T15</f>
        <v>0</v>
      </c>
      <c r="G26" s="23">
        <f>'12_THONG_KE_TIET'!U15</f>
        <v>0</v>
      </c>
      <c r="H26" s="23">
        <f>'12_THONG_KE_TIET'!V15</f>
        <v>1</v>
      </c>
      <c r="I26" s="23">
        <f>'12_THONG_KE_TIET'!W15</f>
        <v>1</v>
      </c>
      <c r="J26" s="23">
        <f>COUNTIF(C26:I26,"&gt;0")</f>
        <v>3</v>
      </c>
      <c r="K26" s="23">
        <f>SUM(C26:I26)</f>
        <v>3</v>
      </c>
    </row>
    <row r="27" spans="1:11" hidden="1">
      <c r="A27" s="19" t="str">
        <f>'12_THONG_KE_TIET'!A16</f>
        <v>10A12</v>
      </c>
      <c r="B27" s="19" t="str">
        <f>'12_THONG_KE_TIET'!B16</f>
        <v>NGUYỄN THỊ XUÂN HƯƠNG</v>
      </c>
      <c r="C27" s="23">
        <f>'12_THONG_KE_TIET'!Q16</f>
        <v>0</v>
      </c>
      <c r="D27" s="23">
        <f>'12_THONG_KE_TIET'!R16</f>
        <v>1</v>
      </c>
      <c r="E27" s="23">
        <f>'12_THONG_KE_TIET'!S16</f>
        <v>0</v>
      </c>
      <c r="F27" s="23">
        <f>'12_THONG_KE_TIET'!T16</f>
        <v>0</v>
      </c>
      <c r="G27" s="23">
        <f>'12_THONG_KE_TIET'!U16</f>
        <v>0</v>
      </c>
      <c r="H27" s="23">
        <f>'12_THONG_KE_TIET'!V16</f>
        <v>1</v>
      </c>
      <c r="I27" s="23">
        <f>'12_THONG_KE_TIET'!W16</f>
        <v>1</v>
      </c>
      <c r="J27" s="23">
        <f>COUNTIF(C27:I27,"&gt;0")</f>
        <v>3</v>
      </c>
      <c r="K27" s="23">
        <f>SUM(C27:I27)</f>
        <v>3</v>
      </c>
    </row>
    <row r="28" spans="1:11" hidden="1">
      <c r="A28" s="19" t="str">
        <f>'12_THONG_KE_TIET'!A17</f>
        <v>10A13</v>
      </c>
      <c r="B28" s="19" t="str">
        <f>'12_THONG_KE_TIET'!B17</f>
        <v>VĂN HUỲNH BẢO PHƯƠNG</v>
      </c>
      <c r="C28" s="23">
        <f>'12_THONG_KE_TIET'!Q17</f>
        <v>0</v>
      </c>
      <c r="D28" s="23">
        <f>'12_THONG_KE_TIET'!R17</f>
        <v>1</v>
      </c>
      <c r="E28" s="23">
        <f>'12_THONG_KE_TIET'!S17</f>
        <v>0</v>
      </c>
      <c r="F28" s="23">
        <f>'12_THONG_KE_TIET'!T17</f>
        <v>0</v>
      </c>
      <c r="G28" s="23">
        <f>'12_THONG_KE_TIET'!U17</f>
        <v>0</v>
      </c>
      <c r="H28" s="23">
        <f>'12_THONG_KE_TIET'!V17</f>
        <v>1</v>
      </c>
      <c r="I28" s="23">
        <f>'12_THONG_KE_TIET'!W17</f>
        <v>1</v>
      </c>
      <c r="J28" s="23">
        <f>COUNTIF(C28:I28,"&gt;0")</f>
        <v>3</v>
      </c>
      <c r="K28" s="23">
        <f>SUM(C28:I28)</f>
        <v>3</v>
      </c>
    </row>
    <row r="29" spans="1:11" hidden="1">
      <c r="A29" s="19" t="str">
        <f>'12_THONG_KE_TIET'!A18</f>
        <v>10A14</v>
      </c>
      <c r="B29" s="19" t="str">
        <f>'12_THONG_KE_TIET'!B18</f>
        <v>PHAN QUANG ÁNH</v>
      </c>
      <c r="C29" s="23">
        <f>'12_THONG_KE_TIET'!Q18</f>
        <v>1</v>
      </c>
      <c r="D29" s="23">
        <f>'12_THONG_KE_TIET'!R18</f>
        <v>0</v>
      </c>
      <c r="E29" s="23">
        <f>'12_THONG_KE_TIET'!S18</f>
        <v>1</v>
      </c>
      <c r="F29" s="23">
        <f>'12_THONG_KE_TIET'!T18</f>
        <v>0</v>
      </c>
      <c r="G29" s="23">
        <f>'12_THONG_KE_TIET'!U18</f>
        <v>1</v>
      </c>
      <c r="H29" s="23">
        <f>'12_THONG_KE_TIET'!V18</f>
        <v>0</v>
      </c>
      <c r="I29" s="23">
        <f>'12_THONG_KE_TIET'!W18</f>
        <v>0</v>
      </c>
      <c r="J29" s="23">
        <f>COUNTIF(C29:I29,"&gt;0")</f>
        <v>3</v>
      </c>
      <c r="K29" s="23">
        <f>SUM(C29:I29)</f>
        <v>3</v>
      </c>
    </row>
    <row r="30" spans="1:11" hidden="1">
      <c r="A30" s="19" t="str">
        <f>'12_THONG_KE_TIET'!A19</f>
        <v>10A15</v>
      </c>
      <c r="B30" s="19" t="str">
        <f>'12_THONG_KE_TIET'!B19</f>
        <v>TRẦN HỒNG UYÊN</v>
      </c>
      <c r="C30" s="23">
        <f>'12_THONG_KE_TIET'!Q19</f>
        <v>1</v>
      </c>
      <c r="D30" s="23">
        <f>'12_THONG_KE_TIET'!R19</f>
        <v>0</v>
      </c>
      <c r="E30" s="23">
        <f>'12_THONG_KE_TIET'!S19</f>
        <v>1</v>
      </c>
      <c r="F30" s="23">
        <f>'12_THONG_KE_TIET'!T19</f>
        <v>0</v>
      </c>
      <c r="G30" s="23">
        <f>'12_THONG_KE_TIET'!U19</f>
        <v>1</v>
      </c>
      <c r="H30" s="23">
        <f>'12_THONG_KE_TIET'!V19</f>
        <v>0</v>
      </c>
      <c r="I30" s="23">
        <f>'12_THONG_KE_TIET'!W19</f>
        <v>0</v>
      </c>
      <c r="J30" s="23">
        <f>COUNTIF(C30:I30,"&gt;0")</f>
        <v>3</v>
      </c>
      <c r="K30" s="23">
        <f>SUM(C30:I30)</f>
        <v>3</v>
      </c>
    </row>
    <row r="31" spans="1:11" hidden="1">
      <c r="A31" s="19" t="str">
        <f>'12_THONG_KE_TIET'!A20</f>
        <v>10A16</v>
      </c>
      <c r="B31" s="19" t="str">
        <f>'12_THONG_KE_TIET'!B20</f>
        <v>NGUYỄN VIỆT PHƯƠNG</v>
      </c>
      <c r="C31" s="23">
        <f>'12_THONG_KE_TIET'!Q20</f>
        <v>1</v>
      </c>
      <c r="D31" s="23">
        <f>'12_THONG_KE_TIET'!R20</f>
        <v>0</v>
      </c>
      <c r="E31" s="23">
        <f>'12_THONG_KE_TIET'!S20</f>
        <v>0</v>
      </c>
      <c r="F31" s="23">
        <f>'12_THONG_KE_TIET'!T20</f>
        <v>1</v>
      </c>
      <c r="G31" s="23">
        <f>'12_THONG_KE_TIET'!U20</f>
        <v>1</v>
      </c>
      <c r="H31" s="23">
        <f>'12_THONG_KE_TIET'!V20</f>
        <v>0</v>
      </c>
      <c r="I31" s="23">
        <f>'12_THONG_KE_TIET'!W20</f>
        <v>0</v>
      </c>
      <c r="J31" s="23">
        <f>COUNTIF(C31:I31,"&gt;0")</f>
        <v>3</v>
      </c>
      <c r="K31" s="23">
        <f>SUM(C31:I31)</f>
        <v>3</v>
      </c>
    </row>
    <row r="32" spans="1:11" hidden="1">
      <c r="A32" s="19" t="str">
        <f>'12_THONG_KE_TIET'!A21</f>
        <v>10A17</v>
      </c>
      <c r="B32" s="19" t="str">
        <f>'12_THONG_KE_TIET'!B21</f>
        <v>NGUYỄN BẢO TRANG</v>
      </c>
      <c r="C32" s="23">
        <f>'12_THONG_KE_TIET'!Q21</f>
        <v>1</v>
      </c>
      <c r="D32" s="23">
        <f>'12_THONG_KE_TIET'!R21</f>
        <v>0</v>
      </c>
      <c r="E32" s="23">
        <f>'12_THONG_KE_TIET'!S21</f>
        <v>0</v>
      </c>
      <c r="F32" s="23">
        <f>'12_THONG_KE_TIET'!T21</f>
        <v>1</v>
      </c>
      <c r="G32" s="23">
        <f>'12_THONG_KE_TIET'!U21</f>
        <v>1</v>
      </c>
      <c r="H32" s="23">
        <f>'12_THONG_KE_TIET'!V21</f>
        <v>0</v>
      </c>
      <c r="I32" s="23">
        <f>'12_THONG_KE_TIET'!W21</f>
        <v>0</v>
      </c>
      <c r="J32" s="23">
        <f>COUNTIF(C32:I32,"&gt;0")</f>
        <v>3</v>
      </c>
      <c r="K32" s="23">
        <f>SUM(C32:I32)</f>
        <v>3</v>
      </c>
    </row>
    <row r="33" spans="1:11" hidden="1">
      <c r="A33" s="19" t="str">
        <f>'12_THONG_KE_TIET'!A22</f>
        <v>10A18</v>
      </c>
      <c r="B33" s="19" t="str">
        <f>'12_THONG_KE_TIET'!B22</f>
        <v>NGUYỄN VĂN TÂM</v>
      </c>
      <c r="C33" s="23">
        <f>'12_THONG_KE_TIET'!Q22</f>
        <v>1</v>
      </c>
      <c r="D33" s="23">
        <f>'12_THONG_KE_TIET'!R22</f>
        <v>1</v>
      </c>
      <c r="E33" s="23">
        <f>'12_THONG_KE_TIET'!S22</f>
        <v>0</v>
      </c>
      <c r="F33" s="23">
        <f>'12_THONG_KE_TIET'!T22</f>
        <v>0</v>
      </c>
      <c r="G33" s="23">
        <f>'12_THONG_KE_TIET'!U22</f>
        <v>1</v>
      </c>
      <c r="H33" s="23">
        <f>'12_THONG_KE_TIET'!V22</f>
        <v>0</v>
      </c>
      <c r="I33" s="23">
        <f>'12_THONG_KE_TIET'!W22</f>
        <v>0</v>
      </c>
      <c r="J33" s="23">
        <f>COUNTIF(C33:I33,"&gt;0")</f>
        <v>3</v>
      </c>
      <c r="K33" s="23">
        <f>SUM(C33:I33)</f>
        <v>3</v>
      </c>
    </row>
    <row r="34" spans="1:11" hidden="1">
      <c r="A34" s="19" t="str">
        <f>'12_THONG_KE_TIET'!A23</f>
        <v>10A19</v>
      </c>
      <c r="B34" s="19" t="str">
        <f>'12_THONG_KE_TIET'!B23</f>
        <v>PHẠM LÊ THÙY DUNG</v>
      </c>
      <c r="C34" s="23">
        <f>'12_THONG_KE_TIET'!Q23</f>
        <v>1</v>
      </c>
      <c r="D34" s="23">
        <f>'12_THONG_KE_TIET'!R23</f>
        <v>1</v>
      </c>
      <c r="E34" s="23">
        <f>'12_THONG_KE_TIET'!S23</f>
        <v>0</v>
      </c>
      <c r="F34" s="23">
        <f>'12_THONG_KE_TIET'!T23</f>
        <v>0</v>
      </c>
      <c r="G34" s="23">
        <f>'12_THONG_KE_TIET'!U23</f>
        <v>1</v>
      </c>
      <c r="H34" s="23">
        <f>'12_THONG_KE_TIET'!V23</f>
        <v>0</v>
      </c>
      <c r="I34" s="23">
        <f>'12_THONG_KE_TIET'!W23</f>
        <v>0</v>
      </c>
      <c r="J34" s="23">
        <f>COUNTIF(C34:I34,"&gt;0")</f>
        <v>3</v>
      </c>
      <c r="K34" s="23">
        <f>SUM(C34:I34)</f>
        <v>3</v>
      </c>
    </row>
    <row r="35" spans="1:11" hidden="1">
      <c r="A35" s="19" t="str">
        <f>'12_THONG_KE_TIET'!A24</f>
        <v>10A20</v>
      </c>
      <c r="B35" s="19" t="str">
        <f>'12_THONG_KE_TIET'!B24</f>
        <v>LÊ THỊ TUYẾT THU</v>
      </c>
      <c r="C35" s="23">
        <f>'12_THONG_KE_TIET'!Q24</f>
        <v>1</v>
      </c>
      <c r="D35" s="23">
        <f>'12_THONG_KE_TIET'!R24</f>
        <v>1</v>
      </c>
      <c r="E35" s="23">
        <f>'12_THONG_KE_TIET'!S24</f>
        <v>0</v>
      </c>
      <c r="F35" s="23">
        <f>'12_THONG_KE_TIET'!T24</f>
        <v>0</v>
      </c>
      <c r="G35" s="23">
        <f>'12_THONG_KE_TIET'!U24</f>
        <v>1</v>
      </c>
      <c r="H35" s="23">
        <f>'12_THONG_KE_TIET'!V24</f>
        <v>0</v>
      </c>
      <c r="I35" s="23">
        <f>'12_THONG_KE_TIET'!W24</f>
        <v>0</v>
      </c>
      <c r="J35" s="23">
        <f>COUNTIF(C35:I35,"&gt;0")</f>
        <v>3</v>
      </c>
      <c r="K35" s="23">
        <f>SUM(C35:I35)</f>
        <v>3</v>
      </c>
    </row>
    <row r="36" spans="1:11" hidden="1">
      <c r="A36" s="19" t="str">
        <f>'12_THONG_KE_TIET'!A25</f>
        <v>10A21</v>
      </c>
      <c r="B36" s="19" t="str">
        <f>'12_THONG_KE_TIET'!B25</f>
        <v>HUỲNH THỊ DIỄM LINH</v>
      </c>
      <c r="C36" s="23">
        <f>'12_THONG_KE_TIET'!Q25</f>
        <v>1</v>
      </c>
      <c r="D36" s="23">
        <f>'12_THONG_KE_TIET'!R25</f>
        <v>1</v>
      </c>
      <c r="E36" s="23">
        <f>'12_THONG_KE_TIET'!S25</f>
        <v>0</v>
      </c>
      <c r="F36" s="23">
        <f>'12_THONG_KE_TIET'!T25</f>
        <v>1</v>
      </c>
      <c r="G36" s="23">
        <f>'12_THONG_KE_TIET'!U25</f>
        <v>0</v>
      </c>
      <c r="H36" s="23">
        <f>'12_THONG_KE_TIET'!V25</f>
        <v>0</v>
      </c>
      <c r="I36" s="23">
        <f>'12_THONG_KE_TIET'!W25</f>
        <v>0</v>
      </c>
      <c r="J36" s="23">
        <f>COUNTIF(C36:I36,"&gt;0")</f>
        <v>3</v>
      </c>
      <c r="K36" s="23">
        <f>SUM(C36:I36)</f>
        <v>3</v>
      </c>
    </row>
    <row r="37" spans="1:11">
      <c r="A37" s="19" t="str">
        <f>'12_THONG_KE_TIET'!A26</f>
        <v>11A1</v>
      </c>
      <c r="B37" s="19" t="str">
        <f>'12_THONG_KE_TIET'!B26</f>
        <v>NGUYỄN PHƯỚC KHÔI</v>
      </c>
      <c r="C37" s="23">
        <f>'12_THONG_KE_TIET'!Q26</f>
        <v>1</v>
      </c>
      <c r="D37" s="23">
        <f>'12_THONG_KE_TIET'!R26</f>
        <v>0</v>
      </c>
      <c r="E37" s="23">
        <f>'12_THONG_KE_TIET'!S26</f>
        <v>1</v>
      </c>
      <c r="F37" s="23">
        <f>'12_THONG_KE_TIET'!T26</f>
        <v>1</v>
      </c>
      <c r="G37" s="23">
        <f>'12_THONG_KE_TIET'!U26</f>
        <v>0</v>
      </c>
      <c r="H37" s="23">
        <f>'12_THONG_KE_TIET'!V26</f>
        <v>0</v>
      </c>
      <c r="I37" s="23">
        <f>'12_THONG_KE_TIET'!W26</f>
        <v>0</v>
      </c>
      <c r="J37" s="23">
        <f>COUNTIF(C37:I37,"&gt;0")</f>
        <v>3</v>
      </c>
      <c r="K37" s="23">
        <f>SUM(C37:I37)</f>
        <v>3</v>
      </c>
    </row>
    <row r="38" spans="1:11" hidden="1">
      <c r="A38" s="19" t="str">
        <f>'12_THONG_KE_TIET'!A27</f>
        <v>11A2</v>
      </c>
      <c r="B38" s="19" t="str">
        <f>'12_THONG_KE_TIET'!B27</f>
        <v>NGUYỄN THỊ NGÂN</v>
      </c>
      <c r="C38" s="23">
        <f>'12_THONG_KE_TIET'!Q27</f>
        <v>0</v>
      </c>
      <c r="D38" s="23">
        <f>'12_THONG_KE_TIET'!R27</f>
        <v>1</v>
      </c>
      <c r="E38" s="23">
        <f>'12_THONG_KE_TIET'!S27</f>
        <v>0</v>
      </c>
      <c r="F38" s="23">
        <f>'12_THONG_KE_TIET'!T27</f>
        <v>0</v>
      </c>
      <c r="G38" s="23">
        <f>'12_THONG_KE_TIET'!U27</f>
        <v>0</v>
      </c>
      <c r="H38" s="23">
        <f>'12_THONG_KE_TIET'!V27</f>
        <v>1</v>
      </c>
      <c r="I38" s="23">
        <f>'12_THONG_KE_TIET'!W27</f>
        <v>1</v>
      </c>
      <c r="J38" s="23">
        <f>COUNTIF(C38:I38,"&gt;0")</f>
        <v>3</v>
      </c>
      <c r="K38" s="23">
        <f>SUM(C38:I38)</f>
        <v>3</v>
      </c>
    </row>
    <row r="39" spans="1:11" hidden="1">
      <c r="A39" s="19" t="str">
        <f>'12_THONG_KE_TIET'!A28</f>
        <v>11A3</v>
      </c>
      <c r="B39" s="19" t="str">
        <f>'12_THONG_KE_TIET'!B28</f>
        <v>MÃ THỊ MINH THI</v>
      </c>
      <c r="C39" s="23">
        <f>'12_THONG_KE_TIET'!Q28</f>
        <v>1</v>
      </c>
      <c r="D39" s="23">
        <f>'12_THONG_KE_TIET'!R28</f>
        <v>0</v>
      </c>
      <c r="E39" s="23">
        <f>'12_THONG_KE_TIET'!S28</f>
        <v>0</v>
      </c>
      <c r="F39" s="23">
        <f>'12_THONG_KE_TIET'!T28</f>
        <v>1</v>
      </c>
      <c r="G39" s="23">
        <f>'12_THONG_KE_TIET'!U28</f>
        <v>1</v>
      </c>
      <c r="H39" s="23">
        <f>'12_THONG_KE_TIET'!V28</f>
        <v>0</v>
      </c>
      <c r="I39" s="23">
        <f>'12_THONG_KE_TIET'!W28</f>
        <v>0</v>
      </c>
      <c r="J39" s="23">
        <f>COUNTIF(C39:I39,"&gt;0")</f>
        <v>3</v>
      </c>
      <c r="K39" s="23">
        <f>SUM(C39:I39)</f>
        <v>3</v>
      </c>
    </row>
    <row r="40" spans="1:11" hidden="1">
      <c r="A40" s="19" t="str">
        <f>'12_THONG_KE_TIET'!A29</f>
        <v>11A4</v>
      </c>
      <c r="B40" s="19" t="str">
        <f>'12_THONG_KE_TIET'!B29</f>
        <v>NGUYỄN THỊ DIẾN</v>
      </c>
      <c r="C40" s="23">
        <f>'12_THONG_KE_TIET'!Q29</f>
        <v>1</v>
      </c>
      <c r="D40" s="23">
        <f>'12_THONG_KE_TIET'!R29</f>
        <v>0</v>
      </c>
      <c r="E40" s="23">
        <f>'12_THONG_KE_TIET'!S29</f>
        <v>0</v>
      </c>
      <c r="F40" s="23">
        <f>'12_THONG_KE_TIET'!T29</f>
        <v>1</v>
      </c>
      <c r="G40" s="23">
        <f>'12_THONG_KE_TIET'!U29</f>
        <v>1</v>
      </c>
      <c r="H40" s="23">
        <f>'12_THONG_KE_TIET'!V29</f>
        <v>0</v>
      </c>
      <c r="I40" s="23">
        <f>'12_THONG_KE_TIET'!W29</f>
        <v>0</v>
      </c>
      <c r="J40" s="23">
        <f>COUNTIF(C40:I40,"&gt;0")</f>
        <v>3</v>
      </c>
      <c r="K40" s="23">
        <f>SUM(C40:I40)</f>
        <v>3</v>
      </c>
    </row>
    <row r="41" spans="1:11">
      <c r="A41" s="19" t="str">
        <f>'12_THONG_KE_TIET'!A30</f>
        <v>11A5</v>
      </c>
      <c r="B41" s="19" t="str">
        <f>'12_THONG_KE_TIET'!B30</f>
        <v>NGUYỄN DUY HƯNG</v>
      </c>
      <c r="C41" s="23">
        <f>'12_THONG_KE_TIET'!Q30</f>
        <v>1</v>
      </c>
      <c r="D41" s="23">
        <f>'12_THONG_KE_TIET'!R30</f>
        <v>0</v>
      </c>
      <c r="E41" s="23">
        <f>'12_THONG_KE_TIET'!S30</f>
        <v>1</v>
      </c>
      <c r="F41" s="23">
        <f>'12_THONG_KE_TIET'!T30</f>
        <v>1</v>
      </c>
      <c r="G41" s="23">
        <f>'12_THONG_KE_TIET'!U30</f>
        <v>0</v>
      </c>
      <c r="H41" s="23">
        <f>'12_THONG_KE_TIET'!V30</f>
        <v>0</v>
      </c>
      <c r="I41" s="23">
        <f>'12_THONG_KE_TIET'!W30</f>
        <v>0</v>
      </c>
      <c r="J41" s="23">
        <f>COUNTIF(C41:I41,"&gt;0")</f>
        <v>3</v>
      </c>
      <c r="K41" s="23">
        <f>SUM(C41:I41)</f>
        <v>3</v>
      </c>
    </row>
    <row r="42" spans="1:11">
      <c r="A42" s="19" t="str">
        <f>'12_THONG_KE_TIET'!A31</f>
        <v>11A6</v>
      </c>
      <c r="B42" s="19" t="str">
        <f>'12_THONG_KE_TIET'!B31</f>
        <v>NGUYỄN VĂN TRỌNG</v>
      </c>
      <c r="C42" s="23">
        <f>'12_THONG_KE_TIET'!Q31</f>
        <v>1</v>
      </c>
      <c r="D42" s="23">
        <f>'12_THONG_KE_TIET'!R31</f>
        <v>0</v>
      </c>
      <c r="E42" s="23">
        <f>'12_THONG_KE_TIET'!S31</f>
        <v>1</v>
      </c>
      <c r="F42" s="23">
        <f>'12_THONG_KE_TIET'!T31</f>
        <v>1</v>
      </c>
      <c r="G42" s="23">
        <f>'12_THONG_KE_TIET'!U31</f>
        <v>0</v>
      </c>
      <c r="H42" s="23">
        <f>'12_THONG_KE_TIET'!V31</f>
        <v>0</v>
      </c>
      <c r="I42" s="23">
        <f>'12_THONG_KE_TIET'!W31</f>
        <v>0</v>
      </c>
      <c r="J42" s="23">
        <f>COUNTIF(C42:I42,"&gt;0")</f>
        <v>3</v>
      </c>
      <c r="K42" s="23">
        <f>SUM(C42:I42)</f>
        <v>3</v>
      </c>
    </row>
    <row r="43" spans="1:11">
      <c r="A43" s="19" t="str">
        <f>'12_THONG_KE_TIET'!A32</f>
        <v>11A7</v>
      </c>
      <c r="B43" s="19" t="str">
        <f>'12_THONG_KE_TIET'!B32</f>
        <v>KIM VĨNH ANH KHOA</v>
      </c>
      <c r="C43" s="23">
        <f>'12_THONG_KE_TIET'!Q32</f>
        <v>1</v>
      </c>
      <c r="D43" s="23">
        <f>'12_THONG_KE_TIET'!R32</f>
        <v>0</v>
      </c>
      <c r="E43" s="23">
        <f>'12_THONG_KE_TIET'!S32</f>
        <v>1</v>
      </c>
      <c r="F43" s="23">
        <f>'12_THONG_KE_TIET'!T32</f>
        <v>1</v>
      </c>
      <c r="G43" s="23">
        <f>'12_THONG_KE_TIET'!U32</f>
        <v>0</v>
      </c>
      <c r="H43" s="23">
        <f>'12_THONG_KE_TIET'!V32</f>
        <v>0</v>
      </c>
      <c r="I43" s="23">
        <f>'12_THONG_KE_TIET'!W32</f>
        <v>0</v>
      </c>
      <c r="J43" s="23">
        <f>COUNTIF(C43:I43,"&gt;0")</f>
        <v>3</v>
      </c>
      <c r="K43" s="23">
        <f>SUM(C43:I43)</f>
        <v>3</v>
      </c>
    </row>
    <row r="44" spans="1:11">
      <c r="A44" s="19" t="str">
        <f>'12_THONG_KE_TIET'!A33</f>
        <v>11A8</v>
      </c>
      <c r="B44" s="19" t="str">
        <f>'12_THONG_KE_TIET'!B33</f>
        <v>NGUYỄN THỊ NGỌC MINH</v>
      </c>
      <c r="C44" s="23">
        <f>'12_THONG_KE_TIET'!Q33</f>
        <v>1</v>
      </c>
      <c r="D44" s="23">
        <f>'12_THONG_KE_TIET'!R33</f>
        <v>0</v>
      </c>
      <c r="E44" s="23">
        <f>'12_THONG_KE_TIET'!S33</f>
        <v>1</v>
      </c>
      <c r="F44" s="23">
        <f>'12_THONG_KE_TIET'!T33</f>
        <v>1</v>
      </c>
      <c r="G44" s="23">
        <f>'12_THONG_KE_TIET'!U33</f>
        <v>0</v>
      </c>
      <c r="H44" s="23">
        <f>'12_THONG_KE_TIET'!V33</f>
        <v>0</v>
      </c>
      <c r="I44" s="23">
        <f>'12_THONG_KE_TIET'!W33</f>
        <v>0</v>
      </c>
      <c r="J44" s="23">
        <f>COUNTIF(C44:I44,"&gt;0")</f>
        <v>3</v>
      </c>
      <c r="K44" s="23">
        <f>SUM(C44:I44)</f>
        <v>3</v>
      </c>
    </row>
    <row r="45" spans="1:11" hidden="1">
      <c r="A45" s="19" t="str">
        <f>'12_THONG_KE_TIET'!A34</f>
        <v>11A9</v>
      </c>
      <c r="B45" s="19" t="str">
        <f>'12_THONG_KE_TIET'!B34</f>
        <v>TRẦN THỊ HẠNH</v>
      </c>
      <c r="C45" s="23">
        <f>'12_THONG_KE_TIET'!Q34</f>
        <v>0</v>
      </c>
      <c r="D45" s="23">
        <f>'12_THONG_KE_TIET'!R34</f>
        <v>1</v>
      </c>
      <c r="E45" s="23">
        <f>'12_THONG_KE_TIET'!S34</f>
        <v>0</v>
      </c>
      <c r="F45" s="23">
        <f>'12_THONG_KE_TIET'!T34</f>
        <v>0</v>
      </c>
      <c r="G45" s="23">
        <f>'12_THONG_KE_TIET'!U34</f>
        <v>0</v>
      </c>
      <c r="H45" s="23">
        <f>'12_THONG_KE_TIET'!V34</f>
        <v>1</v>
      </c>
      <c r="I45" s="23">
        <f>'12_THONG_KE_TIET'!W34</f>
        <v>1</v>
      </c>
      <c r="J45" s="23">
        <f>COUNTIF(C45:I45,"&gt;0")</f>
        <v>3</v>
      </c>
      <c r="K45" s="23">
        <f>SUM(C45:I45)</f>
        <v>3</v>
      </c>
    </row>
    <row r="46" spans="1:11" hidden="1">
      <c r="A46" s="19" t="str">
        <f>'12_THONG_KE_TIET'!A35</f>
        <v>11A10</v>
      </c>
      <c r="B46" s="19" t="str">
        <f>'12_THONG_KE_TIET'!B35</f>
        <v>VŨ THANH VÂN</v>
      </c>
      <c r="C46" s="23">
        <f>'12_THONG_KE_TIET'!Q35</f>
        <v>0</v>
      </c>
      <c r="D46" s="23">
        <f>'12_THONG_KE_TIET'!R35</f>
        <v>1</v>
      </c>
      <c r="E46" s="23">
        <f>'12_THONG_KE_TIET'!S35</f>
        <v>0</v>
      </c>
      <c r="F46" s="23">
        <f>'12_THONG_KE_TIET'!T35</f>
        <v>0</v>
      </c>
      <c r="G46" s="23">
        <f>'12_THONG_KE_TIET'!U35</f>
        <v>0</v>
      </c>
      <c r="H46" s="23">
        <f>'12_THONG_KE_TIET'!V35</f>
        <v>1</v>
      </c>
      <c r="I46" s="23">
        <f>'12_THONG_KE_TIET'!W35</f>
        <v>1</v>
      </c>
      <c r="J46" s="23">
        <f>COUNTIF(C46:I46,"&gt;0")</f>
        <v>3</v>
      </c>
      <c r="K46" s="23">
        <f>SUM(C46:I46)</f>
        <v>3</v>
      </c>
    </row>
    <row r="47" spans="1:11" hidden="1">
      <c r="A47" s="19" t="str">
        <f>'12_THONG_KE_TIET'!A36</f>
        <v>11A11</v>
      </c>
      <c r="B47" s="19" t="str">
        <f>'12_THONG_KE_TIET'!B36</f>
        <v>NGUYỄN HỒNG GIANG</v>
      </c>
      <c r="C47" s="23">
        <f>'12_THONG_KE_TIET'!Q36</f>
        <v>0</v>
      </c>
      <c r="D47" s="23">
        <f>'12_THONG_KE_TIET'!R36</f>
        <v>1</v>
      </c>
      <c r="E47" s="23">
        <f>'12_THONG_KE_TIET'!S36</f>
        <v>0</v>
      </c>
      <c r="F47" s="23">
        <f>'12_THONG_KE_TIET'!T36</f>
        <v>0</v>
      </c>
      <c r="G47" s="23">
        <f>'12_THONG_KE_TIET'!U36</f>
        <v>0</v>
      </c>
      <c r="H47" s="23">
        <f>'12_THONG_KE_TIET'!V36</f>
        <v>1</v>
      </c>
      <c r="I47" s="23">
        <f>'12_THONG_KE_TIET'!W36</f>
        <v>1</v>
      </c>
      <c r="J47" s="23">
        <f>COUNTIF(C47:I47,"&gt;0")</f>
        <v>3</v>
      </c>
      <c r="K47" s="23">
        <f>SUM(C47:I47)</f>
        <v>3</v>
      </c>
    </row>
    <row r="48" spans="1:11" hidden="1">
      <c r="A48" s="19" t="str">
        <f>'12_THONG_KE_TIET'!A37</f>
        <v>11A12</v>
      </c>
      <c r="B48" s="19" t="str">
        <f>'12_THONG_KE_TIET'!B37</f>
        <v>TRẦN ĐẠI NGHĨA</v>
      </c>
      <c r="C48" s="23">
        <f>'12_THONG_KE_TIET'!Q37</f>
        <v>0</v>
      </c>
      <c r="D48" s="23">
        <f>'12_THONG_KE_TIET'!R37</f>
        <v>1</v>
      </c>
      <c r="E48" s="23">
        <f>'12_THONG_KE_TIET'!S37</f>
        <v>0</v>
      </c>
      <c r="F48" s="23">
        <f>'12_THONG_KE_TIET'!T37</f>
        <v>0</v>
      </c>
      <c r="G48" s="23">
        <f>'12_THONG_KE_TIET'!U37</f>
        <v>0</v>
      </c>
      <c r="H48" s="23">
        <f>'12_THONG_KE_TIET'!V37</f>
        <v>1</v>
      </c>
      <c r="I48" s="23">
        <f>'12_THONG_KE_TIET'!W37</f>
        <v>1</v>
      </c>
      <c r="J48" s="23">
        <f>COUNTIF(C48:I48,"&gt;0")</f>
        <v>3</v>
      </c>
      <c r="K48" s="23">
        <f>SUM(C48:I48)</f>
        <v>3</v>
      </c>
    </row>
    <row r="49" spans="1:11" hidden="1">
      <c r="A49" s="19" t="str">
        <f>'12_THONG_KE_TIET'!A38</f>
        <v>11A13</v>
      </c>
      <c r="B49" s="19" t="str">
        <f>'12_THONG_KE_TIET'!B38</f>
        <v>ĐỖ ỨC TUỆ</v>
      </c>
      <c r="C49" s="23">
        <f>'12_THONG_KE_TIET'!Q38</f>
        <v>0</v>
      </c>
      <c r="D49" s="23">
        <f>'12_THONG_KE_TIET'!R38</f>
        <v>1</v>
      </c>
      <c r="E49" s="23">
        <f>'12_THONG_KE_TIET'!S38</f>
        <v>0</v>
      </c>
      <c r="F49" s="23">
        <f>'12_THONG_KE_TIET'!T38</f>
        <v>0</v>
      </c>
      <c r="G49" s="23">
        <f>'12_THONG_KE_TIET'!U38</f>
        <v>0</v>
      </c>
      <c r="H49" s="23">
        <f>'12_THONG_KE_TIET'!V38</f>
        <v>1</v>
      </c>
      <c r="I49" s="23">
        <f>'12_THONG_KE_TIET'!W38</f>
        <v>1</v>
      </c>
      <c r="J49" s="23">
        <f>COUNTIF(C49:I49,"&gt;0")</f>
        <v>3</v>
      </c>
      <c r="K49" s="23">
        <f>SUM(C49:I49)</f>
        <v>3</v>
      </c>
    </row>
    <row r="50" spans="1:11" hidden="1">
      <c r="A50" s="19" t="str">
        <f>'12_THONG_KE_TIET'!A39</f>
        <v>11A14</v>
      </c>
      <c r="B50" s="19" t="str">
        <f>'12_THONG_KE_TIET'!B39</f>
        <v>TRẦN THỊ HẰNG</v>
      </c>
      <c r="C50" s="23">
        <f>'12_THONG_KE_TIET'!Q39</f>
        <v>0</v>
      </c>
      <c r="D50" s="23">
        <f>'12_THONG_KE_TIET'!R39</f>
        <v>1</v>
      </c>
      <c r="E50" s="23">
        <f>'12_THONG_KE_TIET'!S39</f>
        <v>0</v>
      </c>
      <c r="F50" s="23">
        <f>'12_THONG_KE_TIET'!T39</f>
        <v>0</v>
      </c>
      <c r="G50" s="23">
        <f>'12_THONG_KE_TIET'!U39</f>
        <v>0</v>
      </c>
      <c r="H50" s="23">
        <f>'12_THONG_KE_TIET'!V39</f>
        <v>1</v>
      </c>
      <c r="I50" s="23">
        <f>'12_THONG_KE_TIET'!W39</f>
        <v>1</v>
      </c>
      <c r="J50" s="23">
        <f>COUNTIF(C50:I50,"&gt;0")</f>
        <v>3</v>
      </c>
      <c r="K50" s="23">
        <f>SUM(C50:I50)</f>
        <v>3</v>
      </c>
    </row>
    <row r="51" spans="1:11">
      <c r="A51" s="19" t="str">
        <f>'12_THONG_KE_TIET'!A40</f>
        <v>12A1</v>
      </c>
      <c r="B51" s="19" t="str">
        <f>'12_THONG_KE_TIET'!B40</f>
        <v>TRƯƠNG NGỌC ANH LUÂN</v>
      </c>
      <c r="C51" s="23">
        <f>'12_THONG_KE_TIET'!Q40</f>
        <v>1</v>
      </c>
      <c r="D51" s="23">
        <f>'12_THONG_KE_TIET'!R40</f>
        <v>0</v>
      </c>
      <c r="E51" s="23">
        <f>'12_THONG_KE_TIET'!S40</f>
        <v>1</v>
      </c>
      <c r="F51" s="23">
        <f>'12_THONG_KE_TIET'!T40</f>
        <v>1</v>
      </c>
      <c r="G51" s="23">
        <f>'12_THONG_KE_TIET'!U40</f>
        <v>0</v>
      </c>
      <c r="H51" s="23">
        <f>'12_THONG_KE_TIET'!V40</f>
        <v>0</v>
      </c>
      <c r="I51" s="23">
        <f>'12_THONG_KE_TIET'!W40</f>
        <v>0</v>
      </c>
      <c r="J51" s="23">
        <f>COUNTIF(C51:I51,"&gt;0")</f>
        <v>3</v>
      </c>
      <c r="K51" s="23">
        <f>SUM(C51:I51)</f>
        <v>3</v>
      </c>
    </row>
    <row r="52" spans="1:11">
      <c r="A52" s="19" t="str">
        <f>'12_THONG_KE_TIET'!A41</f>
        <v>12A2</v>
      </c>
      <c r="B52" s="19" t="str">
        <f>'12_THONG_KE_TIET'!B41</f>
        <v>TRẦN PHƯƠNG NHƯ</v>
      </c>
      <c r="C52" s="23">
        <f>'12_THONG_KE_TIET'!Q41</f>
        <v>1</v>
      </c>
      <c r="D52" s="23">
        <f>'12_THONG_KE_TIET'!R41</f>
        <v>0</v>
      </c>
      <c r="E52" s="23">
        <f>'12_THONG_KE_TIET'!S41</f>
        <v>1</v>
      </c>
      <c r="F52" s="23">
        <f>'12_THONG_KE_TIET'!T41</f>
        <v>1</v>
      </c>
      <c r="G52" s="23">
        <f>'12_THONG_KE_TIET'!U41</f>
        <v>0</v>
      </c>
      <c r="H52" s="23">
        <f>'12_THONG_KE_TIET'!V41</f>
        <v>0</v>
      </c>
      <c r="I52" s="23">
        <f>'12_THONG_KE_TIET'!W41</f>
        <v>0</v>
      </c>
      <c r="J52" s="23">
        <f>COUNTIF(C52:I52,"&gt;0")</f>
        <v>3</v>
      </c>
      <c r="K52" s="23">
        <f>SUM(C52:I52)</f>
        <v>3</v>
      </c>
    </row>
    <row r="53" spans="1:11">
      <c r="A53" s="19" t="str">
        <f>'12_THONG_KE_TIET'!A42</f>
        <v>12A3</v>
      </c>
      <c r="B53" s="19" t="str">
        <f>'12_THONG_KE_TIET'!B42</f>
        <v>TRƯƠNG THÚC QUẢNG</v>
      </c>
      <c r="C53" s="23">
        <f>'12_THONG_KE_TIET'!Q42</f>
        <v>1</v>
      </c>
      <c r="D53" s="23">
        <f>'12_THONG_KE_TIET'!R42</f>
        <v>0</v>
      </c>
      <c r="E53" s="23">
        <f>'12_THONG_KE_TIET'!S42</f>
        <v>1</v>
      </c>
      <c r="F53" s="23">
        <f>'12_THONG_KE_TIET'!T42</f>
        <v>1</v>
      </c>
      <c r="G53" s="23">
        <f>'12_THONG_KE_TIET'!U42</f>
        <v>0</v>
      </c>
      <c r="H53" s="23">
        <f>'12_THONG_KE_TIET'!V42</f>
        <v>0</v>
      </c>
      <c r="I53" s="23">
        <f>'12_THONG_KE_TIET'!W42</f>
        <v>0</v>
      </c>
      <c r="J53" s="23">
        <f>COUNTIF(C53:I53,"&gt;0")</f>
        <v>3</v>
      </c>
      <c r="K53" s="23">
        <f>SUM(C53:I53)</f>
        <v>3</v>
      </c>
    </row>
    <row r="54" spans="1:11">
      <c r="A54" s="19" t="str">
        <f>'12_THONG_KE_TIET'!A43</f>
        <v>12A4</v>
      </c>
      <c r="B54" s="19" t="str">
        <f>'12_THONG_KE_TIET'!B43</f>
        <v>HỒ VĂN BÌNH</v>
      </c>
      <c r="C54" s="23">
        <f>'12_THONG_KE_TIET'!Q43</f>
        <v>1</v>
      </c>
      <c r="D54" s="23">
        <f>'12_THONG_KE_TIET'!R43</f>
        <v>0</v>
      </c>
      <c r="E54" s="23">
        <f>'12_THONG_KE_TIET'!S43</f>
        <v>1</v>
      </c>
      <c r="F54" s="23">
        <f>'12_THONG_KE_TIET'!T43</f>
        <v>1</v>
      </c>
      <c r="G54" s="23">
        <f>'12_THONG_KE_TIET'!U43</f>
        <v>0</v>
      </c>
      <c r="H54" s="23">
        <f>'12_THONG_KE_TIET'!V43</f>
        <v>0</v>
      </c>
      <c r="I54" s="23">
        <f>'12_THONG_KE_TIET'!W43</f>
        <v>0</v>
      </c>
      <c r="J54" s="23">
        <f>COUNTIF(C54:I54,"&gt;0")</f>
        <v>3</v>
      </c>
      <c r="K54" s="23">
        <f>SUM(C54:I54)</f>
        <v>3</v>
      </c>
    </row>
    <row r="55" spans="1:11">
      <c r="A55" s="19" t="str">
        <f>'12_THONG_KE_TIET'!A44</f>
        <v>12A5</v>
      </c>
      <c r="B55" s="19" t="str">
        <f>'12_THONG_KE_TIET'!B44</f>
        <v>NGUYỄN THỊ THU BA</v>
      </c>
      <c r="C55" s="23">
        <f>'12_THONG_KE_TIET'!Q44</f>
        <v>1</v>
      </c>
      <c r="D55" s="23">
        <f>'12_THONG_KE_TIET'!R44</f>
        <v>0</v>
      </c>
      <c r="E55" s="23">
        <f>'12_THONG_KE_TIET'!S44</f>
        <v>1</v>
      </c>
      <c r="F55" s="23">
        <f>'12_THONG_KE_TIET'!T44</f>
        <v>1</v>
      </c>
      <c r="G55" s="23">
        <f>'12_THONG_KE_TIET'!U44</f>
        <v>0</v>
      </c>
      <c r="H55" s="23">
        <f>'12_THONG_KE_TIET'!V44</f>
        <v>0</v>
      </c>
      <c r="I55" s="23">
        <f>'12_THONG_KE_TIET'!W44</f>
        <v>0</v>
      </c>
      <c r="J55" s="23">
        <f>COUNTIF(C55:I55,"&gt;0")</f>
        <v>3</v>
      </c>
      <c r="K55" s="23">
        <f>SUM(C55:I55)</f>
        <v>3</v>
      </c>
    </row>
    <row r="56" spans="1:11" hidden="1">
      <c r="A56" s="19" t="str">
        <f>'12_THONG_KE_TIET'!A45</f>
        <v>12A6</v>
      </c>
      <c r="B56" s="19" t="str">
        <f>'12_THONG_KE_TIET'!B45</f>
        <v>NGUYỄN HỮU BẮC</v>
      </c>
      <c r="C56" s="23">
        <f>'12_THONG_KE_TIET'!Q45</f>
        <v>1</v>
      </c>
      <c r="D56" s="23">
        <f>'12_THONG_KE_TIET'!R45</f>
        <v>1</v>
      </c>
      <c r="E56" s="23">
        <f>'12_THONG_KE_TIET'!S45</f>
        <v>1</v>
      </c>
      <c r="F56" s="23">
        <f>'12_THONG_KE_TIET'!T45</f>
        <v>0</v>
      </c>
      <c r="G56" s="23">
        <f>'12_THONG_KE_TIET'!U45</f>
        <v>0</v>
      </c>
      <c r="H56" s="23">
        <f>'12_THONG_KE_TIET'!V45</f>
        <v>0</v>
      </c>
      <c r="I56" s="23">
        <f>'12_THONG_KE_TIET'!W45</f>
        <v>0</v>
      </c>
      <c r="J56" s="23">
        <f>COUNTIF(C56:I56,"&gt;0")</f>
        <v>3</v>
      </c>
      <c r="K56" s="23">
        <f>SUM(C56:I56)</f>
        <v>3</v>
      </c>
    </row>
    <row r="57" spans="1:11" hidden="1">
      <c r="A57" s="19" t="str">
        <f>'12_THONG_KE_TIET'!A46</f>
        <v>12A7</v>
      </c>
      <c r="B57" s="19" t="str">
        <f>'12_THONG_KE_TIET'!B46</f>
        <v>LƯU THỊ ANH THƯ</v>
      </c>
      <c r="C57" s="23">
        <f>'12_THONG_KE_TIET'!Q46</f>
        <v>1</v>
      </c>
      <c r="D57" s="23">
        <f>'12_THONG_KE_TIET'!R46</f>
        <v>1</v>
      </c>
      <c r="E57" s="23">
        <f>'12_THONG_KE_TIET'!S46</f>
        <v>1</v>
      </c>
      <c r="F57" s="23">
        <f>'12_THONG_KE_TIET'!T46</f>
        <v>0</v>
      </c>
      <c r="G57" s="23">
        <f>'12_THONG_KE_TIET'!U46</f>
        <v>0</v>
      </c>
      <c r="H57" s="23">
        <f>'12_THONG_KE_TIET'!V46</f>
        <v>0</v>
      </c>
      <c r="I57" s="23">
        <f>'12_THONG_KE_TIET'!W46</f>
        <v>0</v>
      </c>
      <c r="J57" s="23">
        <f>COUNTIF(C57:I57,"&gt;0")</f>
        <v>3</v>
      </c>
      <c r="K57" s="23">
        <f>SUM(C57:I57)</f>
        <v>3</v>
      </c>
    </row>
    <row r="58" spans="1:11" hidden="1">
      <c r="A58" s="19" t="str">
        <f>'12_THONG_KE_TIET'!A47</f>
        <v>12A8</v>
      </c>
      <c r="B58" s="19" t="str">
        <f>'12_THONG_KE_TIET'!B47</f>
        <v>LÊ THỊ TƯỜNG VY</v>
      </c>
      <c r="C58" s="23">
        <f>'12_THONG_KE_TIET'!Q47</f>
        <v>1</v>
      </c>
      <c r="D58" s="23">
        <f>'12_THONG_KE_TIET'!R47</f>
        <v>1</v>
      </c>
      <c r="E58" s="23">
        <f>'12_THONG_KE_TIET'!S47</f>
        <v>1</v>
      </c>
      <c r="F58" s="23">
        <f>'12_THONG_KE_TIET'!T47</f>
        <v>0</v>
      </c>
      <c r="G58" s="23">
        <f>'12_THONG_KE_TIET'!U47</f>
        <v>0</v>
      </c>
      <c r="H58" s="23">
        <f>'12_THONG_KE_TIET'!V47</f>
        <v>0</v>
      </c>
      <c r="I58" s="23">
        <f>'12_THONG_KE_TIET'!W47</f>
        <v>0</v>
      </c>
      <c r="J58" s="23">
        <f>COUNTIF(C58:I58,"&gt;0")</f>
        <v>3</v>
      </c>
      <c r="K58" s="23">
        <f>SUM(C58:I58)</f>
        <v>3</v>
      </c>
    </row>
    <row r="59" spans="1:11" hidden="1">
      <c r="A59" s="19" t="str">
        <f>'12_THONG_KE_TIET'!A48</f>
        <v>12A9</v>
      </c>
      <c r="B59" s="19" t="str">
        <f>'12_THONG_KE_TIET'!B48</f>
        <v>TRẦN THỊ MỸ THANH</v>
      </c>
      <c r="C59" s="23">
        <f>'12_THONG_KE_TIET'!Q48</f>
        <v>0</v>
      </c>
      <c r="D59" s="23">
        <f>'12_THONG_KE_TIET'!R48</f>
        <v>1</v>
      </c>
      <c r="E59" s="23">
        <f>'12_THONG_KE_TIET'!S48</f>
        <v>0</v>
      </c>
      <c r="F59" s="23">
        <f>'12_THONG_KE_TIET'!T48</f>
        <v>0</v>
      </c>
      <c r="G59" s="23">
        <f>'12_THONG_KE_TIET'!U48</f>
        <v>0</v>
      </c>
      <c r="H59" s="23">
        <f>'12_THONG_KE_TIET'!V48</f>
        <v>1</v>
      </c>
      <c r="I59" s="23">
        <f>'12_THONG_KE_TIET'!W48</f>
        <v>1</v>
      </c>
      <c r="J59" s="23">
        <f>COUNTIF(C59:I59,"&gt;0")</f>
        <v>3</v>
      </c>
      <c r="K59" s="23">
        <f>SUM(C59:I59)</f>
        <v>3</v>
      </c>
    </row>
    <row r="60" spans="1:11" hidden="1">
      <c r="A60" s="19" t="str">
        <f>'12_THONG_KE_TIET'!A49</f>
        <v>12A10</v>
      </c>
      <c r="B60" s="19" t="str">
        <f>'12_THONG_KE_TIET'!B49</f>
        <v>NGUYỄN THỊ TUYẾT NHUNG</v>
      </c>
      <c r="C60" s="23">
        <f>'12_THONG_KE_TIET'!Q49</f>
        <v>1</v>
      </c>
      <c r="D60" s="23">
        <f>'12_THONG_KE_TIET'!R49</f>
        <v>0</v>
      </c>
      <c r="E60" s="23">
        <f>'12_THONG_KE_TIET'!S49</f>
        <v>0</v>
      </c>
      <c r="F60" s="23">
        <f>'12_THONG_KE_TIET'!T49</f>
        <v>1</v>
      </c>
      <c r="G60" s="23">
        <f>'12_THONG_KE_TIET'!U49</f>
        <v>1</v>
      </c>
      <c r="H60" s="23">
        <f>'12_THONG_KE_TIET'!V49</f>
        <v>0</v>
      </c>
      <c r="I60" s="23">
        <f>'12_THONG_KE_TIET'!W49</f>
        <v>0</v>
      </c>
      <c r="J60" s="23">
        <f>COUNTIF(C60:I60,"&gt;0")</f>
        <v>3</v>
      </c>
      <c r="K60" s="23">
        <f>SUM(C60:I60)</f>
        <v>3</v>
      </c>
    </row>
    <row r="61" spans="1:11" hidden="1">
      <c r="A61" s="19" t="str">
        <f>'12_THONG_KE_TIET'!A50</f>
        <v>12A11</v>
      </c>
      <c r="B61" s="19" t="str">
        <f>'12_THONG_KE_TIET'!B50</f>
        <v>ĐOÀN THỊ KIM HẠNH</v>
      </c>
      <c r="C61" s="23">
        <f>'12_THONG_KE_TIET'!Q50</f>
        <v>1</v>
      </c>
      <c r="D61" s="23">
        <f>'12_THONG_KE_TIET'!R50</f>
        <v>0</v>
      </c>
      <c r="E61" s="23">
        <f>'12_THONG_KE_TIET'!S50</f>
        <v>0</v>
      </c>
      <c r="F61" s="23">
        <f>'12_THONG_KE_TIET'!T50</f>
        <v>1</v>
      </c>
      <c r="G61" s="23">
        <f>'12_THONG_KE_TIET'!U50</f>
        <v>1</v>
      </c>
      <c r="H61" s="23">
        <f>'12_THONG_KE_TIET'!V50</f>
        <v>0</v>
      </c>
      <c r="I61" s="23">
        <f>'12_THONG_KE_TIET'!W50</f>
        <v>0</v>
      </c>
      <c r="J61" s="23">
        <f>COUNTIF(C61:I61,"&gt;0")</f>
        <v>3</v>
      </c>
      <c r="K61" s="23">
        <f>SUM(C61:I61)</f>
        <v>3</v>
      </c>
    </row>
    <row r="62" spans="1:11" hidden="1">
      <c r="A62" s="19" t="str">
        <f>'12_THONG_KE_TIET'!A51</f>
        <v>12A12</v>
      </c>
      <c r="B62" s="19" t="str">
        <f>'12_THONG_KE_TIET'!B51</f>
        <v>NGUYỄN THỊ THUỲ DƯƠNG</v>
      </c>
      <c r="C62" s="23">
        <f>'12_THONG_KE_TIET'!Q51</f>
        <v>0</v>
      </c>
      <c r="D62" s="23">
        <f>'12_THONG_KE_TIET'!R51</f>
        <v>1</v>
      </c>
      <c r="E62" s="23">
        <f>'12_THONG_KE_TIET'!S51</f>
        <v>0</v>
      </c>
      <c r="F62" s="23">
        <f>'12_THONG_KE_TIET'!T51</f>
        <v>0</v>
      </c>
      <c r="G62" s="23">
        <f>'12_THONG_KE_TIET'!U51</f>
        <v>0</v>
      </c>
      <c r="H62" s="23">
        <f>'12_THONG_KE_TIET'!V51</f>
        <v>1</v>
      </c>
      <c r="I62" s="23">
        <f>'12_THONG_KE_TIET'!W51</f>
        <v>1</v>
      </c>
      <c r="J62" s="23">
        <f>COUNTIF(C62:I62,"&gt;0")</f>
        <v>3</v>
      </c>
      <c r="K62" s="23">
        <f>SUM(C62:I62)</f>
        <v>3</v>
      </c>
    </row>
    <row r="63" spans="1:11" hidden="1">
      <c r="A63" s="19" t="str">
        <f>'12_THONG_KE_TIET'!A52</f>
        <v>12A13</v>
      </c>
      <c r="B63" s="19" t="str">
        <f>'12_THONG_KE_TIET'!B52</f>
        <v>HOÀNG THỊ HẢI YẾN</v>
      </c>
      <c r="C63" s="23">
        <f>'12_THONG_KE_TIET'!Q52</f>
        <v>0</v>
      </c>
      <c r="D63" s="23">
        <f>'12_THONG_KE_TIET'!R52</f>
        <v>1</v>
      </c>
      <c r="E63" s="23">
        <f>'12_THONG_KE_TIET'!S52</f>
        <v>0</v>
      </c>
      <c r="F63" s="23">
        <f>'12_THONG_KE_TIET'!T52</f>
        <v>0</v>
      </c>
      <c r="G63" s="23">
        <f>'12_THONG_KE_TIET'!U52</f>
        <v>0</v>
      </c>
      <c r="H63" s="23">
        <f>'12_THONG_KE_TIET'!V52</f>
        <v>1</v>
      </c>
      <c r="I63" s="23">
        <f>'12_THONG_KE_TIET'!W52</f>
        <v>1</v>
      </c>
      <c r="J63" s="23">
        <f>COUNTIF(C63:I63,"&gt;0")</f>
        <v>3</v>
      </c>
      <c r="K63" s="23">
        <f>SUM(C63:I63)</f>
        <v>3</v>
      </c>
    </row>
    <row r="64" spans="1:11" hidden="1">
      <c r="A64" s="19" t="str">
        <f>'12_THONG_KE_TIET'!A53</f>
        <v>12A14</v>
      </c>
      <c r="B64" s="19" t="str">
        <f>'12_THONG_KE_TIET'!B53</f>
        <v>PHẠM THỊ PHƯƠNG ĐIỀN</v>
      </c>
      <c r="C64" s="23">
        <f>'12_THONG_KE_TIET'!Q53</f>
        <v>0</v>
      </c>
      <c r="D64" s="23">
        <f>'12_THONG_KE_TIET'!R53</f>
        <v>1</v>
      </c>
      <c r="E64" s="23">
        <f>'12_THONG_KE_TIET'!S53</f>
        <v>0</v>
      </c>
      <c r="F64" s="23">
        <f>'12_THONG_KE_TIET'!T53</f>
        <v>0</v>
      </c>
      <c r="G64" s="23">
        <f>'12_THONG_KE_TIET'!U53</f>
        <v>0</v>
      </c>
      <c r="H64" s="23">
        <f>'12_THONG_KE_TIET'!V53</f>
        <v>1</v>
      </c>
      <c r="I64" s="23">
        <f>'12_THONG_KE_TIET'!W53</f>
        <v>1</v>
      </c>
      <c r="J64" s="23">
        <f>COUNTIF(C64:I64,"&gt;0")</f>
        <v>3</v>
      </c>
      <c r="K64" s="23">
        <f>SUM(C64:I64)</f>
        <v>3</v>
      </c>
    </row>
    <row r="65" spans="1:11" hidden="1">
      <c r="A65" s="19" t="str">
        <f>'12_THONG_KE_TIET'!A54</f>
        <v>12A15</v>
      </c>
      <c r="B65" s="19" t="str">
        <f>'12_THONG_KE_TIET'!B54</f>
        <v>QUÁCH THỊ THỦY</v>
      </c>
      <c r="C65" s="23">
        <f>'12_THONG_KE_TIET'!Q54</f>
        <v>0</v>
      </c>
      <c r="D65" s="23">
        <f>'12_THONG_KE_TIET'!R54</f>
        <v>1</v>
      </c>
      <c r="E65" s="23">
        <f>'12_THONG_KE_TIET'!S54</f>
        <v>0</v>
      </c>
      <c r="F65" s="23">
        <f>'12_THONG_KE_TIET'!T54</f>
        <v>0</v>
      </c>
      <c r="G65" s="23">
        <f>'12_THONG_KE_TIET'!U54</f>
        <v>0</v>
      </c>
      <c r="H65" s="23">
        <f>'12_THONG_KE_TIET'!V54</f>
        <v>1</v>
      </c>
      <c r="I65" s="23">
        <f>'12_THONG_KE_TIET'!W54</f>
        <v>1</v>
      </c>
      <c r="J65" s="23">
        <f>COUNTIF(C65:I65,"&gt;0")</f>
        <v>3</v>
      </c>
      <c r="K65" s="23">
        <f>SUM(C65:I65)</f>
        <v>3</v>
      </c>
    </row>
    <row r="66" spans="1:11" hidden="1">
      <c r="A66" s="20" t="s">
        <v>183</v>
      </c>
      <c r="B66" s="20"/>
      <c r="C66" s="24">
        <f>COUNTIF(C16:C65,"&gt;0")</f>
        <v>32</v>
      </c>
      <c r="D66" s="24">
        <f>COUNTIF(D16:D65,"&gt;0")</f>
        <v>25</v>
      </c>
      <c r="E66" s="24">
        <f>COUNTIF(E16:E65,"&gt;0")</f>
        <v>22</v>
      </c>
      <c r="F66" s="24">
        <f>COUNTIF(F16:F65,"&gt;0")</f>
        <v>24</v>
      </c>
      <c r="G66" s="24">
        <f>COUNTIF(G16:G65,"&gt;0")</f>
        <v>11</v>
      </c>
      <c r="H66" s="24">
        <f>COUNTIF(H16:H65,"&gt;0")</f>
        <v>18</v>
      </c>
      <c r="I66" s="24">
        <f>COUNTIF(I16:I65,"&gt;0")</f>
        <v>18</v>
      </c>
      <c r="J66" s="24">
        <f>SUM(J16:J65)</f>
        <v>150</v>
      </c>
      <c r="K66" s="24">
        <f>SUM(K16:K65)</f>
        <v>150</v>
      </c>
    </row>
  </sheetData>
  <autoFilter ref="A15:K66" xr:uid="{CD5FDCBC-5DB5-5E4E-BD8F-77E4F7087592}">
    <filterColumn colId="2">
      <filters>
        <filter val="1"/>
      </filters>
    </filterColumn>
    <filterColumn colId="4">
      <filters>
        <filter val="1"/>
      </filters>
    </filterColumn>
    <filterColumn colId="5">
      <filters>
        <filter val="1"/>
      </filters>
    </filterColumn>
  </autoFilter>
  <mergeCells count="9">
    <mergeCell ref="E10:K10"/>
    <mergeCell ref="E11:K11"/>
    <mergeCell ref="E12:K12"/>
    <mergeCell ref="E4:K4"/>
    <mergeCell ref="E5:K5"/>
    <mergeCell ref="E6:K6"/>
    <mergeCell ref="E7:K7"/>
    <mergeCell ref="E8:K8"/>
    <mergeCell ref="E9:K9"/>
  </mergeCells>
  <conditionalFormatting sqref="C16:I65">
    <cfRule type="cellIs" dxfId="23" priority="1" operator="greater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C9BF1-663A-634A-B6A6-FB861C5A5DAE}">
  <dimension ref="A1:L55"/>
  <sheetViews>
    <sheetView workbookViewId="0">
      <selection activeCell="B10" sqref="B10"/>
    </sheetView>
  </sheetViews>
  <sheetFormatPr baseColWidth="10" defaultRowHeight="15"/>
  <cols>
    <col min="1" max="1" width="33.33203125" style="12" customWidth="1"/>
    <col min="2" max="5" width="10.83203125" style="12"/>
    <col min="6" max="6" width="18.33203125" style="12" customWidth="1"/>
    <col min="7" max="7" width="3.33203125" style="12" customWidth="1"/>
    <col min="8" max="11" width="10" style="12" customWidth="1"/>
    <col min="12" max="12" width="55" style="12" customWidth="1"/>
  </cols>
  <sheetData>
    <row r="1" spans="1:12" ht="18">
      <c r="A1" s="13" t="s">
        <v>963</v>
      </c>
    </row>
    <row r="2" spans="1:12">
      <c r="A2" s="14" t="s">
        <v>964</v>
      </c>
    </row>
    <row r="4" spans="1:12">
      <c r="A4" s="15" t="s">
        <v>965</v>
      </c>
      <c r="B4" s="216">
        <f>COUNTIF('TKB-S-C-GV'!C3:BE32,"#N/A")+COUNTIF('TKB-S-C-GV'!C40:BE69,"#N/A")</f>
        <v>42</v>
      </c>
    </row>
    <row r="5" spans="1:12">
      <c r="A5" s="15" t="s">
        <v>966</v>
      </c>
      <c r="B5" s="216">
        <f>COUNTA(D9:D55)</f>
        <v>47</v>
      </c>
    </row>
    <row r="8" spans="1:12">
      <c r="A8" s="217" t="s">
        <v>967</v>
      </c>
      <c r="B8" s="217" t="s">
        <v>968</v>
      </c>
      <c r="C8" s="217" t="s">
        <v>969</v>
      </c>
      <c r="D8" s="217" t="s">
        <v>970</v>
      </c>
      <c r="E8" s="217" t="s">
        <v>0</v>
      </c>
      <c r="F8" s="217" t="s">
        <v>971</v>
      </c>
      <c r="H8" s="217" t="s">
        <v>968</v>
      </c>
      <c r="I8" s="217" t="s">
        <v>969</v>
      </c>
      <c r="J8" s="217" t="s">
        <v>970</v>
      </c>
      <c r="K8" s="217" t="s">
        <v>176</v>
      </c>
      <c r="L8" s="217" t="s">
        <v>179</v>
      </c>
    </row>
    <row r="9" spans="1:12" ht="16">
      <c r="A9" s="218">
        <v>1</v>
      </c>
      <c r="B9" s="218" t="s">
        <v>972</v>
      </c>
      <c r="C9" s="218" t="s">
        <v>191</v>
      </c>
      <c r="D9" s="218">
        <v>3</v>
      </c>
      <c r="E9" s="218" t="s">
        <v>92</v>
      </c>
      <c r="F9" s="218" t="s">
        <v>973</v>
      </c>
      <c r="H9" s="218" t="s">
        <v>972</v>
      </c>
      <c r="I9" s="218" t="s">
        <v>191</v>
      </c>
      <c r="J9" s="218">
        <v>3</v>
      </c>
      <c r="K9" s="218">
        <f>COUNTIFS($B$9:$B$55,H9,$C$9:$C$55,I9,$D$9:$D$55,J9)</f>
        <v>1</v>
      </c>
      <c r="L9" s="25" t="str" cm="1">
        <f t="array" ref="L9">_xlfn.TEXTJOIN(", ",TRUE,_xlfn._xlws.FILTER($E$9:$E$55,($B$9:$B$55=H9)*($C$9:$C$55=I9)*($D$9:$D$55=J9),""))</f>
        <v>10A11</v>
      </c>
    </row>
    <row r="10" spans="1:12" ht="16">
      <c r="A10" s="218">
        <v>2</v>
      </c>
      <c r="B10" s="218" t="s">
        <v>972</v>
      </c>
      <c r="C10" s="218" t="s">
        <v>191</v>
      </c>
      <c r="D10" s="218">
        <v>4</v>
      </c>
      <c r="E10" s="218" t="s">
        <v>92</v>
      </c>
      <c r="F10" s="218" t="s">
        <v>974</v>
      </c>
      <c r="H10" s="218" t="s">
        <v>972</v>
      </c>
      <c r="I10" s="218" t="s">
        <v>191</v>
      </c>
      <c r="J10" s="218">
        <v>4</v>
      </c>
      <c r="K10" s="218">
        <f>COUNTIFS($B$9:$B$55,H10,$C$9:$C$55,I10,$D$9:$D$55,J10)</f>
        <v>2</v>
      </c>
      <c r="L10" s="25" t="str" cm="1">
        <f t="array" ref="L10">_xlfn.TEXTJOIN(", ",TRUE,_xlfn._xlws.FILTER($E$9:$E$55,($B$9:$B$55=H10)*($C$9:$C$55=I10)*($D$9:$D$55=J10),""))</f>
        <v>10A11, 10A19</v>
      </c>
    </row>
    <row r="11" spans="1:12" ht="16">
      <c r="A11" s="218">
        <v>3</v>
      </c>
      <c r="B11" s="218" t="s">
        <v>972</v>
      </c>
      <c r="C11" s="218" t="s">
        <v>191</v>
      </c>
      <c r="D11" s="218">
        <v>4</v>
      </c>
      <c r="E11" s="218" t="s">
        <v>33</v>
      </c>
      <c r="F11" s="218" t="s">
        <v>975</v>
      </c>
      <c r="H11" s="218" t="s">
        <v>972</v>
      </c>
      <c r="I11" s="218" t="s">
        <v>193</v>
      </c>
      <c r="J11" s="218">
        <v>2</v>
      </c>
      <c r="K11" s="218">
        <f>COUNTIFS($B$9:$B$55,H11,$C$9:$C$55,I11,$D$9:$D$55,J11)</f>
        <v>1</v>
      </c>
      <c r="L11" s="25" t="str" cm="1">
        <f t="array" ref="L11">_xlfn.TEXTJOIN(", ",TRUE,_xlfn._xlws.FILTER($E$9:$E$55,($B$9:$B$55=H11)*($C$9:$C$55=I11)*($D$9:$D$55=J11),""))</f>
        <v>10A16</v>
      </c>
    </row>
    <row r="12" spans="1:12" ht="16">
      <c r="A12" s="218">
        <v>4</v>
      </c>
      <c r="B12" s="218" t="s">
        <v>972</v>
      </c>
      <c r="C12" s="218" t="s">
        <v>193</v>
      </c>
      <c r="D12" s="218">
        <v>2</v>
      </c>
      <c r="E12" s="218" t="s">
        <v>93</v>
      </c>
      <c r="F12" s="218" t="s">
        <v>976</v>
      </c>
      <c r="H12" s="218" t="s">
        <v>972</v>
      </c>
      <c r="I12" s="218" t="s">
        <v>193</v>
      </c>
      <c r="J12" s="218">
        <v>3</v>
      </c>
      <c r="K12" s="218">
        <f>COUNTIFS($B$9:$B$55,H12,$C$9:$C$55,I12,$D$9:$D$55,J12)</f>
        <v>1</v>
      </c>
      <c r="L12" s="25" t="str" cm="1">
        <f t="array" ref="L12">_xlfn.TEXTJOIN(", ",TRUE,_xlfn._xlws.FILTER($E$9:$E$55,($B$9:$B$55=H12)*($C$9:$C$55=I12)*($D$9:$D$55=J12),""))</f>
        <v>10A16</v>
      </c>
    </row>
    <row r="13" spans="1:12" ht="16">
      <c r="A13" s="218">
        <v>5</v>
      </c>
      <c r="B13" s="218" t="s">
        <v>972</v>
      </c>
      <c r="C13" s="218" t="s">
        <v>193</v>
      </c>
      <c r="D13" s="218">
        <v>3</v>
      </c>
      <c r="E13" s="218" t="s">
        <v>93</v>
      </c>
      <c r="F13" s="218" t="s">
        <v>977</v>
      </c>
      <c r="H13" s="218" t="s">
        <v>972</v>
      </c>
      <c r="I13" s="218" t="s">
        <v>195</v>
      </c>
      <c r="J13" s="218">
        <v>3</v>
      </c>
      <c r="K13" s="218">
        <f>COUNTIFS($B$9:$B$55,H13,$C$9:$C$55,I13,$D$9:$D$55,J13)</f>
        <v>1</v>
      </c>
      <c r="L13" s="25" t="str" cm="1">
        <f t="array" ref="L13">_xlfn.TEXTJOIN(", ",TRUE,_xlfn._xlws.FILTER($E$9:$E$55,($B$9:$B$55=H13)*($C$9:$C$55=I13)*($D$9:$D$55=J13),""))</f>
        <v>10A13</v>
      </c>
    </row>
    <row r="14" spans="1:12" ht="16">
      <c r="A14" s="218">
        <v>6</v>
      </c>
      <c r="B14" s="218" t="s">
        <v>972</v>
      </c>
      <c r="C14" s="218" t="s">
        <v>195</v>
      </c>
      <c r="D14" s="218">
        <v>3</v>
      </c>
      <c r="E14" s="218" t="s">
        <v>20</v>
      </c>
      <c r="F14" s="218" t="s">
        <v>978</v>
      </c>
      <c r="H14" s="218" t="s">
        <v>972</v>
      </c>
      <c r="I14" s="218" t="s">
        <v>195</v>
      </c>
      <c r="J14" s="218">
        <v>4</v>
      </c>
      <c r="K14" s="218">
        <f>COUNTIFS($B$9:$B$55,H14,$C$9:$C$55,I14,$D$9:$D$55,J14)</f>
        <v>1</v>
      </c>
      <c r="L14" s="25" t="str" cm="1">
        <f t="array" ref="L14">_xlfn.TEXTJOIN(", ",TRUE,_xlfn._xlws.FILTER($E$9:$E$55,($B$9:$B$55=H14)*($C$9:$C$55=I14)*($D$9:$D$55=J14),""))</f>
        <v>10A13</v>
      </c>
    </row>
    <row r="15" spans="1:12" ht="16">
      <c r="A15" s="218">
        <v>7</v>
      </c>
      <c r="B15" s="218" t="s">
        <v>972</v>
      </c>
      <c r="C15" s="218" t="s">
        <v>195</v>
      </c>
      <c r="D15" s="218">
        <v>4</v>
      </c>
      <c r="E15" s="218" t="s">
        <v>20</v>
      </c>
      <c r="F15" s="218" t="s">
        <v>979</v>
      </c>
      <c r="H15" s="218" t="s">
        <v>980</v>
      </c>
      <c r="I15" s="218" t="s">
        <v>189</v>
      </c>
      <c r="J15" s="218">
        <v>1</v>
      </c>
      <c r="K15" s="218">
        <f>COUNTIFS($B$9:$B$55,H15,$C$9:$C$55,I15,$D$9:$D$55,J15)</f>
        <v>1</v>
      </c>
      <c r="L15" s="25" t="str" cm="1">
        <f t="array" ref="L15">_xlfn.TEXTJOIN(", ",TRUE,_xlfn._xlws.FILTER($E$9:$E$55,($B$9:$B$55=H15)*($C$9:$C$55=I15)*($D$9:$D$55=J15),""))</f>
        <v>10A18</v>
      </c>
    </row>
    <row r="16" spans="1:12" ht="16">
      <c r="A16" s="218">
        <v>8</v>
      </c>
      <c r="B16" s="218" t="s">
        <v>980</v>
      </c>
      <c r="C16" s="218" t="s">
        <v>189</v>
      </c>
      <c r="D16" s="218">
        <v>1</v>
      </c>
      <c r="E16" s="218" t="s">
        <v>30</v>
      </c>
      <c r="F16" s="218" t="s">
        <v>981</v>
      </c>
      <c r="H16" s="218" t="s">
        <v>980</v>
      </c>
      <c r="I16" s="218" t="s">
        <v>189</v>
      </c>
      <c r="J16" s="218">
        <v>2</v>
      </c>
      <c r="K16" s="218">
        <f>COUNTIFS($B$9:$B$55,H16,$C$9:$C$55,I16,$D$9:$D$55,J16)</f>
        <v>1</v>
      </c>
      <c r="L16" s="25" t="str" cm="1">
        <f t="array" ref="L16">_xlfn.TEXTJOIN(", ",TRUE,_xlfn._xlws.FILTER($E$9:$E$55,($B$9:$B$55=H16)*($C$9:$C$55=I16)*($D$9:$D$55=J16),""))</f>
        <v>10A18</v>
      </c>
    </row>
    <row r="17" spans="1:12" ht="16">
      <c r="A17" s="218">
        <v>9</v>
      </c>
      <c r="B17" s="218" t="s">
        <v>980</v>
      </c>
      <c r="C17" s="218" t="s">
        <v>189</v>
      </c>
      <c r="D17" s="218">
        <v>2</v>
      </c>
      <c r="E17" s="218" t="s">
        <v>30</v>
      </c>
      <c r="F17" s="218" t="s">
        <v>982</v>
      </c>
      <c r="H17" s="218" t="s">
        <v>980</v>
      </c>
      <c r="I17" s="218" t="s">
        <v>191</v>
      </c>
      <c r="J17" s="218">
        <v>1</v>
      </c>
      <c r="K17" s="218">
        <f>COUNTIFS($B$9:$B$55,H17,$C$9:$C$55,I17,$D$9:$D$55,J17)</f>
        <v>3</v>
      </c>
      <c r="L17" s="25" t="str" cm="1">
        <f t="array" ref="L17">_xlfn.TEXTJOIN(", ",TRUE,_xlfn._xlws.FILTER($E$9:$E$55,($B$9:$B$55=H17)*($C$9:$C$55=I17)*($D$9:$D$55=J17),""))</f>
        <v>10A5, 11A1, 11A10</v>
      </c>
    </row>
    <row r="18" spans="1:12" ht="16">
      <c r="A18" s="218">
        <v>10</v>
      </c>
      <c r="B18" s="218" t="s">
        <v>980</v>
      </c>
      <c r="C18" s="218" t="s">
        <v>191</v>
      </c>
      <c r="D18" s="218">
        <v>1</v>
      </c>
      <c r="E18" s="218" t="s">
        <v>12</v>
      </c>
      <c r="F18" s="218" t="s">
        <v>983</v>
      </c>
      <c r="H18" s="218" t="s">
        <v>980</v>
      </c>
      <c r="I18" s="218" t="s">
        <v>191</v>
      </c>
      <c r="J18" s="218">
        <v>2</v>
      </c>
      <c r="K18" s="218">
        <f>COUNTIFS($B$9:$B$55,H18,$C$9:$C$55,I18,$D$9:$D$55,J18)</f>
        <v>3</v>
      </c>
      <c r="L18" s="25" t="str" cm="1">
        <f t="array" ref="L18">_xlfn.TEXTJOIN(", ",TRUE,_xlfn._xlws.FILTER($E$9:$E$55,($B$9:$B$55=H18)*($C$9:$C$55=I18)*($D$9:$D$55=J18),""))</f>
        <v>10A5, 11A1, 11A10</v>
      </c>
    </row>
    <row r="19" spans="1:12" ht="16">
      <c r="A19" s="218">
        <v>11</v>
      </c>
      <c r="B19" s="218" t="s">
        <v>980</v>
      </c>
      <c r="C19" s="218" t="s">
        <v>191</v>
      </c>
      <c r="D19" s="218">
        <v>1</v>
      </c>
      <c r="E19" s="218" t="s">
        <v>40</v>
      </c>
      <c r="F19" s="218" t="s">
        <v>984</v>
      </c>
      <c r="H19" s="218" t="s">
        <v>980</v>
      </c>
      <c r="I19" s="218" t="s">
        <v>191</v>
      </c>
      <c r="J19" s="218">
        <v>3</v>
      </c>
      <c r="K19" s="218">
        <f>COUNTIFS($B$9:$B$55,H19,$C$9:$C$55,I19,$D$9:$D$55,J19)</f>
        <v>1</v>
      </c>
      <c r="L19" s="25" t="str" cm="1">
        <f t="array" ref="L19">_xlfn.TEXTJOIN(", ",TRUE,_xlfn._xlws.FILTER($E$9:$E$55,($B$9:$B$55=H19)*($C$9:$C$55=I19)*($D$9:$D$55=J19),""))</f>
        <v>10A13</v>
      </c>
    </row>
    <row r="20" spans="1:12" ht="16">
      <c r="A20" s="218">
        <v>12</v>
      </c>
      <c r="B20" s="218" t="s">
        <v>980</v>
      </c>
      <c r="C20" s="218" t="s">
        <v>191</v>
      </c>
      <c r="D20" s="218">
        <v>1</v>
      </c>
      <c r="E20" s="218" t="s">
        <v>98</v>
      </c>
      <c r="F20" s="218" t="s">
        <v>985</v>
      </c>
      <c r="H20" s="218" t="s">
        <v>980</v>
      </c>
      <c r="I20" s="218" t="s">
        <v>191</v>
      </c>
      <c r="J20" s="218">
        <v>4</v>
      </c>
      <c r="K20" s="218">
        <f>COUNTIFS($B$9:$B$55,H20,$C$9:$C$55,I20,$D$9:$D$55,J20)</f>
        <v>1</v>
      </c>
      <c r="L20" s="25" t="str" cm="1">
        <f t="array" ref="L20">_xlfn.TEXTJOIN(", ",TRUE,_xlfn._xlws.FILTER($E$9:$E$55,($B$9:$B$55=H20)*($C$9:$C$55=I20)*($D$9:$D$55=J20),""))</f>
        <v>10A13</v>
      </c>
    </row>
    <row r="21" spans="1:12" ht="16">
      <c r="A21" s="218">
        <v>13</v>
      </c>
      <c r="B21" s="218" t="s">
        <v>980</v>
      </c>
      <c r="C21" s="218" t="s">
        <v>191</v>
      </c>
      <c r="D21" s="218">
        <v>2</v>
      </c>
      <c r="E21" s="218" t="s">
        <v>12</v>
      </c>
      <c r="F21" s="218" t="s">
        <v>986</v>
      </c>
      <c r="H21" s="218" t="s">
        <v>980</v>
      </c>
      <c r="I21" s="218" t="s">
        <v>193</v>
      </c>
      <c r="J21" s="218">
        <v>1</v>
      </c>
      <c r="K21" s="218">
        <f>COUNTIFS($B$9:$B$55,H21,$C$9:$C$55,I21,$D$9:$D$55,J21)</f>
        <v>2</v>
      </c>
      <c r="L21" s="25" t="str" cm="1">
        <f t="array" ref="L21">_xlfn.TEXTJOIN(", ",TRUE,_xlfn._xlws.FILTER($E$9:$E$55,($B$9:$B$55=H21)*($C$9:$C$55=I21)*($D$9:$D$55=J21),""))</f>
        <v>10A17, 12A10</v>
      </c>
    </row>
    <row r="22" spans="1:12" ht="16">
      <c r="A22" s="218">
        <v>14</v>
      </c>
      <c r="B22" s="218" t="s">
        <v>980</v>
      </c>
      <c r="C22" s="218" t="s">
        <v>191</v>
      </c>
      <c r="D22" s="218">
        <v>2</v>
      </c>
      <c r="E22" s="218" t="s">
        <v>40</v>
      </c>
      <c r="F22" s="218" t="s">
        <v>987</v>
      </c>
      <c r="H22" s="218" t="s">
        <v>980</v>
      </c>
      <c r="I22" s="218" t="s">
        <v>193</v>
      </c>
      <c r="J22" s="218">
        <v>2</v>
      </c>
      <c r="K22" s="218">
        <f>COUNTIFS($B$9:$B$55,H22,$C$9:$C$55,I22,$D$9:$D$55,J22)</f>
        <v>2</v>
      </c>
      <c r="L22" s="25" t="str" cm="1">
        <f t="array" ref="L22">_xlfn.TEXTJOIN(", ",TRUE,_xlfn._xlws.FILTER($E$9:$E$55,($B$9:$B$55=H22)*($C$9:$C$55=I22)*($D$9:$D$55=J22),""))</f>
        <v>10A17, 12A10</v>
      </c>
    </row>
    <row r="23" spans="1:12" ht="16">
      <c r="A23" s="218">
        <v>15</v>
      </c>
      <c r="B23" s="218" t="s">
        <v>980</v>
      </c>
      <c r="C23" s="218" t="s">
        <v>191</v>
      </c>
      <c r="D23" s="218">
        <v>2</v>
      </c>
      <c r="E23" s="218" t="s">
        <v>98</v>
      </c>
      <c r="F23" s="218" t="s">
        <v>988</v>
      </c>
      <c r="H23" s="218" t="s">
        <v>980</v>
      </c>
      <c r="I23" s="218" t="s">
        <v>193</v>
      </c>
      <c r="J23" s="218">
        <v>3</v>
      </c>
      <c r="K23" s="218">
        <f>COUNTIFS($B$9:$B$55,H23,$C$9:$C$55,I23,$D$9:$D$55,J23)</f>
        <v>2</v>
      </c>
      <c r="L23" s="25" t="str" cm="1">
        <f t="array" ref="L23">_xlfn.TEXTJOIN(", ",TRUE,_xlfn._xlws.FILTER($E$9:$E$55,($B$9:$B$55=H23)*($C$9:$C$55=I23)*($D$9:$D$55=J23),""))</f>
        <v>12A2, 12A6</v>
      </c>
    </row>
    <row r="24" spans="1:12" ht="16">
      <c r="A24" s="218">
        <v>16</v>
      </c>
      <c r="B24" s="218" t="s">
        <v>980</v>
      </c>
      <c r="C24" s="218" t="s">
        <v>191</v>
      </c>
      <c r="D24" s="218">
        <v>3</v>
      </c>
      <c r="E24" s="218" t="s">
        <v>20</v>
      </c>
      <c r="F24" s="218" t="s">
        <v>989</v>
      </c>
      <c r="H24" s="218" t="s">
        <v>980</v>
      </c>
      <c r="I24" s="218" t="s">
        <v>193</v>
      </c>
      <c r="J24" s="218">
        <v>4</v>
      </c>
      <c r="K24" s="218">
        <f>COUNTIFS($B$9:$B$55,H24,$C$9:$C$55,I24,$D$9:$D$55,J24)</f>
        <v>2</v>
      </c>
      <c r="L24" s="25" t="str" cm="1">
        <f t="array" ref="L24">_xlfn.TEXTJOIN(", ",TRUE,_xlfn._xlws.FILTER($E$9:$E$55,($B$9:$B$55=H24)*($C$9:$C$55=I24)*($D$9:$D$55=J24),""))</f>
        <v>12A2, 12A6</v>
      </c>
    </row>
    <row r="25" spans="1:12" ht="16">
      <c r="A25" s="218">
        <v>17</v>
      </c>
      <c r="B25" s="218" t="s">
        <v>980</v>
      </c>
      <c r="C25" s="218" t="s">
        <v>191</v>
      </c>
      <c r="D25" s="218">
        <v>4</v>
      </c>
      <c r="E25" s="218" t="s">
        <v>20</v>
      </c>
      <c r="F25" s="218" t="s">
        <v>990</v>
      </c>
      <c r="H25" s="218" t="s">
        <v>980</v>
      </c>
      <c r="I25" s="218" t="s">
        <v>195</v>
      </c>
      <c r="J25" s="218">
        <v>3</v>
      </c>
      <c r="K25" s="218">
        <f>COUNTIFS($B$9:$B$55,H25,$C$9:$C$55,I25,$D$9:$D$55,J25)</f>
        <v>5</v>
      </c>
      <c r="L25" s="25" t="str" cm="1">
        <f t="array" ref="L25">_xlfn.TEXTJOIN(", ",TRUE,_xlfn._xlws.FILTER($E$9:$E$55,($B$9:$B$55=H25)*($C$9:$C$55=I25)*($D$9:$D$55=J25),""))</f>
        <v>10A11, 11A3, 11A4, 11A8, 11A13</v>
      </c>
    </row>
    <row r="26" spans="1:12" ht="16">
      <c r="A26" s="218">
        <v>18</v>
      </c>
      <c r="B26" s="218" t="s">
        <v>980</v>
      </c>
      <c r="C26" s="218" t="s">
        <v>193</v>
      </c>
      <c r="D26" s="218">
        <v>1</v>
      </c>
      <c r="E26" s="218" t="s">
        <v>28</v>
      </c>
      <c r="F26" s="218" t="s">
        <v>991</v>
      </c>
      <c r="H26" s="218" t="s">
        <v>980</v>
      </c>
      <c r="I26" s="218" t="s">
        <v>195</v>
      </c>
      <c r="J26" s="218">
        <v>4</v>
      </c>
      <c r="K26" s="218">
        <f>COUNTIFS($B$9:$B$55,H26,$C$9:$C$55,I26,$D$9:$D$55,J26)</f>
        <v>5</v>
      </c>
      <c r="L26" s="25" t="str" cm="1">
        <f t="array" ref="L26">_xlfn.TEXTJOIN(", ",TRUE,_xlfn._xlws.FILTER($E$9:$E$55,($B$9:$B$55=H26)*($C$9:$C$55=I26)*($D$9:$D$55=J26),""))</f>
        <v>10A11, 11A3, 11A4, 11A8, 11A13</v>
      </c>
    </row>
    <row r="27" spans="1:12" ht="16">
      <c r="A27" s="218">
        <v>19</v>
      </c>
      <c r="B27" s="218" t="s">
        <v>980</v>
      </c>
      <c r="C27" s="218" t="s">
        <v>193</v>
      </c>
      <c r="D27" s="218">
        <v>1</v>
      </c>
      <c r="E27" s="218" t="s">
        <v>106</v>
      </c>
      <c r="F27" s="218" t="s">
        <v>992</v>
      </c>
      <c r="H27" s="218" t="s">
        <v>980</v>
      </c>
      <c r="I27" s="218" t="s">
        <v>197</v>
      </c>
      <c r="J27" s="218">
        <v>1</v>
      </c>
      <c r="K27" s="218">
        <f>COUNTIFS($B$9:$B$55,H27,$C$9:$C$55,I27,$D$9:$D$55,J27)</f>
        <v>3</v>
      </c>
      <c r="L27" s="25" t="str" cm="1">
        <f t="array" ref="L27">_xlfn.TEXTJOIN(", ",TRUE,_xlfn._xlws.FILTER($E$9:$E$55,($B$9:$B$55=H27)*($C$9:$C$55=I27)*($D$9:$D$55=J27),""))</f>
        <v>10A21, 12A15, 11A9</v>
      </c>
    </row>
    <row r="28" spans="1:12" ht="16">
      <c r="A28" s="218">
        <v>20</v>
      </c>
      <c r="B28" s="218" t="s">
        <v>980</v>
      </c>
      <c r="C28" s="218" t="s">
        <v>193</v>
      </c>
      <c r="D28" s="218">
        <v>2</v>
      </c>
      <c r="E28" s="218" t="s">
        <v>28</v>
      </c>
      <c r="F28" s="218" t="s">
        <v>993</v>
      </c>
      <c r="H28" s="218" t="s">
        <v>980</v>
      </c>
      <c r="I28" s="218" t="s">
        <v>197</v>
      </c>
      <c r="J28" s="218">
        <v>2</v>
      </c>
      <c r="K28" s="218">
        <f>COUNTIFS($B$9:$B$55,H28,$C$9:$C$55,I28,$D$9:$D$55,J28)</f>
        <v>3</v>
      </c>
      <c r="L28" s="25" t="str" cm="1">
        <f t="array" ref="L28">_xlfn.TEXTJOIN(", ",TRUE,_xlfn._xlws.FILTER($E$9:$E$55,($B$9:$B$55=H28)*($C$9:$C$55=I28)*($D$9:$D$55=J28),""))</f>
        <v>10A21, 12A15, 11A9</v>
      </c>
    </row>
    <row r="29" spans="1:12" ht="16">
      <c r="A29" s="218">
        <v>21</v>
      </c>
      <c r="B29" s="218" t="s">
        <v>980</v>
      </c>
      <c r="C29" s="218" t="s">
        <v>193</v>
      </c>
      <c r="D29" s="218">
        <v>2</v>
      </c>
      <c r="E29" s="218" t="s">
        <v>106</v>
      </c>
      <c r="F29" s="218" t="s">
        <v>994</v>
      </c>
      <c r="H29" s="218" t="s">
        <v>980</v>
      </c>
      <c r="I29" s="218" t="s">
        <v>197</v>
      </c>
      <c r="J29" s="218">
        <v>3</v>
      </c>
      <c r="K29" s="218">
        <f>COUNTIFS($B$9:$B$55,H29,$C$9:$C$55,I29,$D$9:$D$55,J29)</f>
        <v>3</v>
      </c>
      <c r="L29" s="25" t="str" cm="1">
        <f t="array" ref="L29">_xlfn.TEXTJOIN(", ",TRUE,_xlfn._xlws.FILTER($E$9:$E$55,($B$9:$B$55=H29)*($C$9:$C$55=I29)*($D$9:$D$55=J29),""))</f>
        <v>12A4, 12A5, 11A14</v>
      </c>
    </row>
    <row r="30" spans="1:12" ht="16">
      <c r="A30" s="218">
        <v>22</v>
      </c>
      <c r="B30" s="218" t="s">
        <v>980</v>
      </c>
      <c r="C30" s="218" t="s">
        <v>193</v>
      </c>
      <c r="D30" s="218">
        <v>3</v>
      </c>
      <c r="E30" s="218" t="s">
        <v>110</v>
      </c>
      <c r="F30" s="218" t="s">
        <v>995</v>
      </c>
      <c r="H30" s="218" t="s">
        <v>980</v>
      </c>
      <c r="I30" s="218" t="s">
        <v>197</v>
      </c>
      <c r="J30" s="218">
        <v>4</v>
      </c>
      <c r="K30" s="218">
        <f>COUNTIFS($B$9:$B$55,H30,$C$9:$C$55,I30,$D$9:$D$55,J30)</f>
        <v>3</v>
      </c>
      <c r="L30" s="25" t="str" cm="1">
        <f t="array" ref="L30">_xlfn.TEXTJOIN(", ",TRUE,_xlfn._xlws.FILTER($E$9:$E$55,($B$9:$B$55=H30)*($C$9:$C$55=I30)*($D$9:$D$55=J30),""))</f>
        <v>12A4, 12A5, 11A14</v>
      </c>
    </row>
    <row r="31" spans="1:12">
      <c r="A31" s="218">
        <v>23</v>
      </c>
      <c r="B31" s="218" t="s">
        <v>980</v>
      </c>
      <c r="C31" s="218" t="s">
        <v>193</v>
      </c>
      <c r="D31" s="218">
        <v>3</v>
      </c>
      <c r="E31" s="218" t="s">
        <v>58</v>
      </c>
      <c r="F31" s="218" t="s">
        <v>996</v>
      </c>
      <c r="H31" s="22" t="s">
        <v>114</v>
      </c>
      <c r="I31" s="22"/>
      <c r="J31" s="22"/>
      <c r="K31" s="22">
        <f>SUM(K9:K30)</f>
        <v>47</v>
      </c>
      <c r="L31" s="20"/>
    </row>
    <row r="32" spans="1:12">
      <c r="A32" s="218">
        <v>24</v>
      </c>
      <c r="B32" s="218" t="s">
        <v>980</v>
      </c>
      <c r="C32" s="218" t="s">
        <v>193</v>
      </c>
      <c r="D32" s="218">
        <v>4</v>
      </c>
      <c r="E32" s="218" t="s">
        <v>110</v>
      </c>
      <c r="F32" s="218" t="s">
        <v>997</v>
      </c>
    </row>
    <row r="33" spans="1:6">
      <c r="A33" s="218">
        <v>25</v>
      </c>
      <c r="B33" s="218" t="s">
        <v>980</v>
      </c>
      <c r="C33" s="218" t="s">
        <v>193</v>
      </c>
      <c r="D33" s="218">
        <v>4</v>
      </c>
      <c r="E33" s="218" t="s">
        <v>58</v>
      </c>
      <c r="F33" s="218" t="s">
        <v>998</v>
      </c>
    </row>
    <row r="34" spans="1:6">
      <c r="A34" s="218">
        <v>26</v>
      </c>
      <c r="B34" s="218" t="s">
        <v>980</v>
      </c>
      <c r="C34" s="218" t="s">
        <v>195</v>
      </c>
      <c r="D34" s="218">
        <v>3</v>
      </c>
      <c r="E34" s="218" t="s">
        <v>92</v>
      </c>
      <c r="F34" s="218" t="s">
        <v>999</v>
      </c>
    </row>
    <row r="35" spans="1:6">
      <c r="A35" s="218">
        <v>27</v>
      </c>
      <c r="B35" s="218" t="s">
        <v>980</v>
      </c>
      <c r="C35" s="218" t="s">
        <v>195</v>
      </c>
      <c r="D35" s="218">
        <v>3</v>
      </c>
      <c r="E35" s="218" t="s">
        <v>41</v>
      </c>
      <c r="F35" s="218" t="s">
        <v>1000</v>
      </c>
    </row>
    <row r="36" spans="1:6">
      <c r="A36" s="218">
        <v>28</v>
      </c>
      <c r="B36" s="218" t="s">
        <v>980</v>
      </c>
      <c r="C36" s="218" t="s">
        <v>195</v>
      </c>
      <c r="D36" s="218">
        <v>3</v>
      </c>
      <c r="E36" s="218" t="s">
        <v>42</v>
      </c>
      <c r="F36" s="218" t="s">
        <v>1001</v>
      </c>
    </row>
    <row r="37" spans="1:6">
      <c r="A37" s="218">
        <v>29</v>
      </c>
      <c r="B37" s="218" t="s">
        <v>980</v>
      </c>
      <c r="C37" s="218" t="s">
        <v>195</v>
      </c>
      <c r="D37" s="218">
        <v>3</v>
      </c>
      <c r="E37" s="218" t="s">
        <v>104</v>
      </c>
      <c r="F37" s="218" t="s">
        <v>1002</v>
      </c>
    </row>
    <row r="38" spans="1:6">
      <c r="A38" s="218">
        <v>30</v>
      </c>
      <c r="B38" s="218" t="s">
        <v>980</v>
      </c>
      <c r="C38" s="218" t="s">
        <v>195</v>
      </c>
      <c r="D38" s="218">
        <v>3</v>
      </c>
      <c r="E38" s="218" t="s">
        <v>48</v>
      </c>
      <c r="F38" s="218" t="s">
        <v>1003</v>
      </c>
    </row>
    <row r="39" spans="1:6">
      <c r="A39" s="218">
        <v>31</v>
      </c>
      <c r="B39" s="218" t="s">
        <v>980</v>
      </c>
      <c r="C39" s="218" t="s">
        <v>195</v>
      </c>
      <c r="D39" s="218">
        <v>4</v>
      </c>
      <c r="E39" s="218" t="s">
        <v>92</v>
      </c>
      <c r="F39" s="218" t="s">
        <v>1004</v>
      </c>
    </row>
    <row r="40" spans="1:6">
      <c r="A40" s="218">
        <v>32</v>
      </c>
      <c r="B40" s="218" t="s">
        <v>980</v>
      </c>
      <c r="C40" s="218" t="s">
        <v>195</v>
      </c>
      <c r="D40" s="218">
        <v>4</v>
      </c>
      <c r="E40" s="218" t="s">
        <v>41</v>
      </c>
      <c r="F40" s="218" t="s">
        <v>1005</v>
      </c>
    </row>
    <row r="41" spans="1:6">
      <c r="A41" s="218">
        <v>33</v>
      </c>
      <c r="B41" s="218" t="s">
        <v>980</v>
      </c>
      <c r="C41" s="218" t="s">
        <v>195</v>
      </c>
      <c r="D41" s="218">
        <v>4</v>
      </c>
      <c r="E41" s="218" t="s">
        <v>42</v>
      </c>
      <c r="F41" s="218" t="s">
        <v>1006</v>
      </c>
    </row>
    <row r="42" spans="1:6">
      <c r="A42" s="218">
        <v>34</v>
      </c>
      <c r="B42" s="218" t="s">
        <v>980</v>
      </c>
      <c r="C42" s="218" t="s">
        <v>195</v>
      </c>
      <c r="D42" s="218">
        <v>4</v>
      </c>
      <c r="E42" s="218" t="s">
        <v>104</v>
      </c>
      <c r="F42" s="218" t="s">
        <v>1007</v>
      </c>
    </row>
    <row r="43" spans="1:6">
      <c r="A43" s="218">
        <v>35</v>
      </c>
      <c r="B43" s="218" t="s">
        <v>980</v>
      </c>
      <c r="C43" s="218" t="s">
        <v>195</v>
      </c>
      <c r="D43" s="218">
        <v>4</v>
      </c>
      <c r="E43" s="218" t="s">
        <v>48</v>
      </c>
      <c r="F43" s="218" t="s">
        <v>1008</v>
      </c>
    </row>
    <row r="44" spans="1:6">
      <c r="A44" s="218">
        <v>36</v>
      </c>
      <c r="B44" s="218" t="s">
        <v>980</v>
      </c>
      <c r="C44" s="218" t="s">
        <v>197</v>
      </c>
      <c r="D44" s="218">
        <v>1</v>
      </c>
      <c r="E44" s="218" t="s">
        <v>37</v>
      </c>
      <c r="F44" s="218" t="s">
        <v>1009</v>
      </c>
    </row>
    <row r="45" spans="1:6">
      <c r="A45" s="218">
        <v>37</v>
      </c>
      <c r="B45" s="218" t="s">
        <v>980</v>
      </c>
      <c r="C45" s="218" t="s">
        <v>197</v>
      </c>
      <c r="D45" s="218">
        <v>1</v>
      </c>
      <c r="E45" s="218" t="s">
        <v>62</v>
      </c>
      <c r="F45" s="218" t="s">
        <v>1010</v>
      </c>
    </row>
    <row r="46" spans="1:6">
      <c r="A46" s="218">
        <v>38</v>
      </c>
      <c r="B46" s="218" t="s">
        <v>980</v>
      </c>
      <c r="C46" s="218" t="s">
        <v>197</v>
      </c>
      <c r="D46" s="218">
        <v>1</v>
      </c>
      <c r="E46" s="218" t="s">
        <v>105</v>
      </c>
      <c r="F46" s="218" t="s">
        <v>1011</v>
      </c>
    </row>
    <row r="47" spans="1:6">
      <c r="A47" s="218">
        <v>39</v>
      </c>
      <c r="B47" s="218" t="s">
        <v>980</v>
      </c>
      <c r="C47" s="218" t="s">
        <v>197</v>
      </c>
      <c r="D47" s="218">
        <v>2</v>
      </c>
      <c r="E47" s="218" t="s">
        <v>37</v>
      </c>
      <c r="F47" s="218" t="s">
        <v>1012</v>
      </c>
    </row>
    <row r="48" spans="1:6">
      <c r="A48" s="218">
        <v>40</v>
      </c>
      <c r="B48" s="218" t="s">
        <v>980</v>
      </c>
      <c r="C48" s="218" t="s">
        <v>197</v>
      </c>
      <c r="D48" s="218">
        <v>2</v>
      </c>
      <c r="E48" s="218" t="s">
        <v>62</v>
      </c>
      <c r="F48" s="218" t="s">
        <v>1013</v>
      </c>
    </row>
    <row r="49" spans="1:6">
      <c r="A49" s="218">
        <v>41</v>
      </c>
      <c r="B49" s="218" t="s">
        <v>980</v>
      </c>
      <c r="C49" s="218" t="s">
        <v>197</v>
      </c>
      <c r="D49" s="218">
        <v>2</v>
      </c>
      <c r="E49" s="218" t="s">
        <v>105</v>
      </c>
      <c r="F49" s="218" t="s">
        <v>1014</v>
      </c>
    </row>
    <row r="50" spans="1:6">
      <c r="A50" s="218">
        <v>42</v>
      </c>
      <c r="B50" s="218" t="s">
        <v>980</v>
      </c>
      <c r="C50" s="218" t="s">
        <v>197</v>
      </c>
      <c r="D50" s="218">
        <v>3</v>
      </c>
      <c r="E50" s="218" t="s">
        <v>54</v>
      </c>
      <c r="F50" s="218" t="s">
        <v>1015</v>
      </c>
    </row>
    <row r="51" spans="1:6">
      <c r="A51" s="218">
        <v>43</v>
      </c>
      <c r="B51" s="218" t="s">
        <v>980</v>
      </c>
      <c r="C51" s="218" t="s">
        <v>197</v>
      </c>
      <c r="D51" s="218">
        <v>3</v>
      </c>
      <c r="E51" s="218" t="s">
        <v>57</v>
      </c>
      <c r="F51" s="218" t="s">
        <v>1016</v>
      </c>
    </row>
    <row r="52" spans="1:6">
      <c r="A52" s="218">
        <v>44</v>
      </c>
      <c r="B52" s="218" t="s">
        <v>980</v>
      </c>
      <c r="C52" s="218" t="s">
        <v>197</v>
      </c>
      <c r="D52" s="218">
        <v>3</v>
      </c>
      <c r="E52" s="218" t="s">
        <v>100</v>
      </c>
      <c r="F52" s="218" t="s">
        <v>1017</v>
      </c>
    </row>
    <row r="53" spans="1:6">
      <c r="A53" s="218">
        <v>45</v>
      </c>
      <c r="B53" s="218" t="s">
        <v>980</v>
      </c>
      <c r="C53" s="218" t="s">
        <v>197</v>
      </c>
      <c r="D53" s="218">
        <v>4</v>
      </c>
      <c r="E53" s="218" t="s">
        <v>54</v>
      </c>
      <c r="F53" s="218" t="s">
        <v>1018</v>
      </c>
    </row>
    <row r="54" spans="1:6">
      <c r="A54" s="218">
        <v>46</v>
      </c>
      <c r="B54" s="218" t="s">
        <v>980</v>
      </c>
      <c r="C54" s="218" t="s">
        <v>197</v>
      </c>
      <c r="D54" s="218">
        <v>4</v>
      </c>
      <c r="E54" s="218" t="s">
        <v>57</v>
      </c>
      <c r="F54" s="218" t="s">
        <v>1019</v>
      </c>
    </row>
    <row r="55" spans="1:6">
      <c r="A55" s="218">
        <v>47</v>
      </c>
      <c r="B55" s="218" t="s">
        <v>980</v>
      </c>
      <c r="C55" s="218" t="s">
        <v>197</v>
      </c>
      <c r="D55" s="218">
        <v>4</v>
      </c>
      <c r="E55" s="218" t="s">
        <v>100</v>
      </c>
      <c r="F55" s="218" t="s">
        <v>1020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12_THONG_KE_TIET</vt:lpstr>
      <vt:lpstr>Tóm tắt theo lớp</vt:lpstr>
      <vt:lpstr>Sheet2</vt:lpstr>
      <vt:lpstr>CTNT-THQT-STEM-AVBN</vt:lpstr>
      <vt:lpstr>TKB-S-C-GV</vt:lpstr>
      <vt:lpstr>TKB-S-C-GV (gốc)</vt:lpstr>
      <vt:lpstr>TKB-S-C-LOP</vt:lpstr>
      <vt:lpstr>MAGV</vt:lpstr>
      <vt:lpstr>Chi tiết</vt:lpstr>
      <vt:lpstr>Toàn bộ</vt:lpstr>
      <vt:lpstr>Thống kê CĐ</vt:lpstr>
      <vt:lpstr>Thống kê lỗi N-A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Ngoc Bao Tran</cp:lastModifiedBy>
  <dcterms:created xsi:type="dcterms:W3CDTF">2026-10-13T15:58:01Z</dcterms:created>
  <dcterms:modified xsi:type="dcterms:W3CDTF">2026-10-14T09:22:50Z</dcterms:modified>
</cp:coreProperties>
</file>